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Incremental\Clientes Atuais\Jaguare\Preço Papel\"/>
    </mc:Choice>
  </mc:AlternateContent>
  <xr:revisionPtr revIDLastSave="0" documentId="13_ncr:1_{DDAF71C2-AC85-4FC4-AB82-F554592A1382}" xr6:coauthVersionLast="47" xr6:coauthVersionMax="47" xr10:uidLastSave="{00000000-0000-0000-0000-000000000000}"/>
  <bookViews>
    <workbookView xWindow="-120" yWindow="-120" windowWidth="29040" windowHeight="15840" firstSheet="35" activeTab="41" xr2:uid="{1FAD3417-7105-4DC1-A467-CC17E5784FCC}"/>
  </bookViews>
  <sheets>
    <sheet name="Julho-2022" sheetId="1" r:id="rId1"/>
    <sheet name="Agosto-2022" sheetId="2" r:id="rId2"/>
    <sheet name="Setembro-2022" sheetId="3" r:id="rId3"/>
    <sheet name="Outubro-2022" sheetId="4" r:id="rId4"/>
    <sheet name="Novembro-2022" sheetId="5" r:id="rId5"/>
    <sheet name="Dezembro-2022" sheetId="6" r:id="rId6"/>
    <sheet name="Janeiro-2023" sheetId="7" r:id="rId7"/>
    <sheet name="Fevereiro-2023" sheetId="8" r:id="rId8"/>
    <sheet name="Março-2023" sheetId="9" r:id="rId9"/>
    <sheet name="Abril-2023" sheetId="10" r:id="rId10"/>
    <sheet name="Maio-2023" sheetId="11" r:id="rId11"/>
    <sheet name="Junho-2023" sheetId="12" r:id="rId12"/>
    <sheet name="Julho-2023" sheetId="13" r:id="rId13"/>
    <sheet name="Agosto-2023" sheetId="14" r:id="rId14"/>
    <sheet name="Setembro-2023" sheetId="15" r:id="rId15"/>
    <sheet name="Outubro-2023" sheetId="16" r:id="rId16"/>
    <sheet name="Novembro-2023" sheetId="17" r:id="rId17"/>
    <sheet name="Dezembro-2023" sheetId="18" r:id="rId18"/>
    <sheet name="Janeiro-2024" sheetId="19" r:id="rId19"/>
    <sheet name="Fevereiro-2024" sheetId="20" r:id="rId20"/>
    <sheet name="Março-2024" sheetId="21" r:id="rId21"/>
    <sheet name="Abril-2024" sheetId="22" r:id="rId22"/>
    <sheet name="Maio-2024" sheetId="23" r:id="rId23"/>
    <sheet name="Junho-2024" sheetId="24" r:id="rId24"/>
    <sheet name="Julho-2024" sheetId="25" r:id="rId25"/>
    <sheet name="Agosto-2024" sheetId="26" r:id="rId26"/>
    <sheet name="Setembro-2024" sheetId="27" r:id="rId27"/>
    <sheet name="Outubro-2024" sheetId="28" r:id="rId28"/>
    <sheet name="Novembro-2024" sheetId="29" r:id="rId29"/>
    <sheet name="Dezembro-2024" sheetId="30" r:id="rId30"/>
    <sheet name="Janeiro-2025" sheetId="31" r:id="rId31"/>
    <sheet name="Fevereiro-2025" sheetId="32" r:id="rId32"/>
    <sheet name="Março-2025" sheetId="33" r:id="rId33"/>
    <sheet name="Abril-2025" sheetId="35" r:id="rId34"/>
    <sheet name="Maio-2025" sheetId="36" r:id="rId35"/>
    <sheet name="Junho-2025" sheetId="37" r:id="rId36"/>
    <sheet name="Julho-2025" sheetId="38" r:id="rId37"/>
    <sheet name="Agosto-2025" sheetId="39" r:id="rId38"/>
    <sheet name="Setembro-2025" sheetId="40" r:id="rId39"/>
    <sheet name="Outubro-2025" sheetId="41" r:id="rId40"/>
    <sheet name="Novembro-2025" sheetId="42" r:id="rId41"/>
    <sheet name="Dezembro-2025" sheetId="43" r:id="rId42"/>
    <sheet name="Planilha2" sheetId="34" r:id="rId43"/>
  </sheets>
  <definedNames>
    <definedName name="_xlnm._FilterDatabase" localSheetId="9" hidden="1">'Abril-2023'!$A$1:$E$58</definedName>
    <definedName name="_xlnm._FilterDatabase" localSheetId="21" hidden="1">'Abril-2024'!$A$1:$E$60</definedName>
    <definedName name="_xlnm._FilterDatabase" localSheetId="33" hidden="1">'Abril-2025'!$A$1:$I$87</definedName>
    <definedName name="_xlnm._FilterDatabase" localSheetId="13" hidden="1">'Agosto-2023'!$A$1:$E$60</definedName>
    <definedName name="_xlnm._FilterDatabase" localSheetId="25" hidden="1">'Agosto-2024'!$A$1:$E$81</definedName>
    <definedName name="_xlnm._FilterDatabase" localSheetId="37" hidden="1">'Agosto-2025'!$A$1:$I$89</definedName>
    <definedName name="_xlnm._FilterDatabase" localSheetId="5" hidden="1">'Dezembro-2022'!$A$1:$E$58</definedName>
    <definedName name="_xlnm._FilterDatabase" localSheetId="17" hidden="1">'Dezembro-2023'!$A$1:$E$60</definedName>
    <definedName name="_xlnm._FilterDatabase" localSheetId="29" hidden="1">'Dezembro-2024'!$A$1:$E$83</definedName>
    <definedName name="_xlnm._FilterDatabase" localSheetId="41" hidden="1">'Dezembro-2025'!$A$1:$I$89</definedName>
    <definedName name="_xlnm._FilterDatabase" localSheetId="7" hidden="1">'Fevereiro-2023'!$A$1:$E$58</definedName>
    <definedName name="_xlnm._FilterDatabase" localSheetId="19" hidden="1">'Fevereiro-2024'!$A$1:$E$60</definedName>
    <definedName name="_xlnm._FilterDatabase" localSheetId="31" hidden="1">'Fevereiro-2025'!$A$1:$E$83</definedName>
    <definedName name="_xlnm._FilterDatabase" localSheetId="6" hidden="1">'Janeiro-2023'!$A$1:$E$58</definedName>
    <definedName name="_xlnm._FilterDatabase" localSheetId="18" hidden="1">'Janeiro-2024'!$A$1:$E$79</definedName>
    <definedName name="_xlnm._FilterDatabase" localSheetId="30" hidden="1">'Janeiro-2025'!$A$1:$E$83</definedName>
    <definedName name="_xlnm._FilterDatabase" localSheetId="12" hidden="1">'Julho-2023'!$A$1:$E$58</definedName>
    <definedName name="_xlnm._FilterDatabase" localSheetId="24" hidden="1">'Julho-2024'!$A$1:$E$60</definedName>
    <definedName name="_xlnm._FilterDatabase" localSheetId="36" hidden="1">'Julho-2025'!$A$1:$I$89</definedName>
    <definedName name="_xlnm._FilterDatabase" localSheetId="11" hidden="1">'Junho-2023'!$A$1:$E$58</definedName>
    <definedName name="_xlnm._FilterDatabase" localSheetId="23" hidden="1">'Junho-2024'!$A$1:$E$60</definedName>
    <definedName name="_xlnm._FilterDatabase" localSheetId="35" hidden="1">'Junho-2025'!$A$1:$I$89</definedName>
    <definedName name="_xlnm._FilterDatabase" localSheetId="10" hidden="1">'Maio-2023'!$A$1:$E$58</definedName>
    <definedName name="_xlnm._FilterDatabase" localSheetId="22" hidden="1">'Maio-2024'!$A$1:$E$60</definedName>
    <definedName name="_xlnm._FilterDatabase" localSheetId="34" hidden="1">'Maio-2025'!$A$1:$I$87</definedName>
    <definedName name="_xlnm._FilterDatabase" localSheetId="8" hidden="1">'Março-2023'!$A$1:$E$58</definedName>
    <definedName name="_xlnm._FilterDatabase" localSheetId="20" hidden="1">'Março-2024'!$A$1:$E$60</definedName>
    <definedName name="_xlnm._FilterDatabase" localSheetId="32" hidden="1">'Março-2025'!$A$1:$I$87</definedName>
    <definedName name="_xlnm._FilterDatabase" localSheetId="16" hidden="1">'Novembro-2023'!$A$1:$E$60</definedName>
    <definedName name="_xlnm._FilterDatabase" localSheetId="28" hidden="1">'Novembro-2024'!$A$1:$E$83</definedName>
    <definedName name="_xlnm._FilterDatabase" localSheetId="40" hidden="1">'Novembro-2025'!$A$1:$I$89</definedName>
    <definedName name="_xlnm._FilterDatabase" localSheetId="15" hidden="1">'Outubro-2023'!$A$1:$E$60</definedName>
    <definedName name="_xlnm._FilterDatabase" localSheetId="27" hidden="1">'Outubro-2024'!$A$1:$E$83</definedName>
    <definedName name="_xlnm._FilterDatabase" localSheetId="39" hidden="1">'Outubro-2025'!$A$1:$I$89</definedName>
    <definedName name="_xlnm._FilterDatabase" localSheetId="14" hidden="1">'Setembro-2023'!$A$1:$E$60</definedName>
    <definedName name="_xlnm._FilterDatabase" localSheetId="26" hidden="1">'Setembro-2024'!$A$1:$E$80</definedName>
    <definedName name="_xlnm._FilterDatabase" localSheetId="38" hidden="1">'Setembro-2025'!$A$1:$I$89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34" l="1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G35" i="43" s="1"/>
  <c r="H35" i="43" s="1"/>
  <c r="I35" i="43" s="1"/>
  <c r="D32" i="34"/>
  <c r="D33" i="34"/>
  <c r="D34" i="34"/>
  <c r="D6" i="34"/>
  <c r="G3" i="43" s="1"/>
  <c r="H3" i="43" s="1"/>
  <c r="I3" i="43" s="1"/>
  <c r="G5" i="43"/>
  <c r="G6" i="43"/>
  <c r="G9" i="43"/>
  <c r="G12" i="43"/>
  <c r="G13" i="43"/>
  <c r="G18" i="43"/>
  <c r="G19" i="43"/>
  <c r="G21" i="43"/>
  <c r="G23" i="43"/>
  <c r="G25" i="43"/>
  <c r="G26" i="43"/>
  <c r="G29" i="43"/>
  <c r="G30" i="43"/>
  <c r="G33" i="43"/>
  <c r="G34" i="43"/>
  <c r="G37" i="43"/>
  <c r="G39" i="43"/>
  <c r="G40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9" i="43"/>
  <c r="G60" i="43"/>
  <c r="G61" i="43"/>
  <c r="G62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3" i="43"/>
  <c r="G84" i="43"/>
  <c r="H84" i="43" s="1"/>
  <c r="I84" i="43" s="1"/>
  <c r="G85" i="43"/>
  <c r="G86" i="43"/>
  <c r="G88" i="43"/>
  <c r="G89" i="43"/>
  <c r="K89" i="43"/>
  <c r="K88" i="43"/>
  <c r="K87" i="43"/>
  <c r="K86" i="43"/>
  <c r="H86" i="43"/>
  <c r="I86" i="43" s="1"/>
  <c r="K85" i="43"/>
  <c r="H85" i="43"/>
  <c r="I85" i="43" s="1"/>
  <c r="K84" i="43"/>
  <c r="K83" i="43"/>
  <c r="H83" i="43"/>
  <c r="I83" i="43" s="1"/>
  <c r="K82" i="43"/>
  <c r="K81" i="43"/>
  <c r="H81" i="43"/>
  <c r="I81" i="43" s="1"/>
  <c r="K80" i="43"/>
  <c r="H80" i="43"/>
  <c r="I80" i="43" s="1"/>
  <c r="K79" i="43"/>
  <c r="H79" i="43"/>
  <c r="I79" i="43" s="1"/>
  <c r="K78" i="43"/>
  <c r="H78" i="43"/>
  <c r="I78" i="43" s="1"/>
  <c r="K77" i="43"/>
  <c r="H77" i="43"/>
  <c r="I77" i="43" s="1"/>
  <c r="K76" i="43"/>
  <c r="H76" i="43"/>
  <c r="I76" i="43" s="1"/>
  <c r="K75" i="43"/>
  <c r="H75" i="43"/>
  <c r="I75" i="43" s="1"/>
  <c r="K74" i="43"/>
  <c r="H74" i="43"/>
  <c r="I74" i="43" s="1"/>
  <c r="K73" i="43"/>
  <c r="H73" i="43"/>
  <c r="I73" i="43" s="1"/>
  <c r="K72" i="43"/>
  <c r="H72" i="43"/>
  <c r="I72" i="43" s="1"/>
  <c r="K71" i="43"/>
  <c r="H71" i="43"/>
  <c r="I71" i="43" s="1"/>
  <c r="K70" i="43"/>
  <c r="H70" i="43"/>
  <c r="I70" i="43" s="1"/>
  <c r="K69" i="43"/>
  <c r="H69" i="43"/>
  <c r="I69" i="43" s="1"/>
  <c r="K68" i="43"/>
  <c r="H68" i="43"/>
  <c r="I68" i="43" s="1"/>
  <c r="K67" i="43"/>
  <c r="H67" i="43"/>
  <c r="I67" i="43" s="1"/>
  <c r="K66" i="43"/>
  <c r="H66" i="43"/>
  <c r="I66" i="43" s="1"/>
  <c r="K65" i="43"/>
  <c r="H65" i="43"/>
  <c r="I65" i="43" s="1"/>
  <c r="K64" i="43"/>
  <c r="H64" i="43"/>
  <c r="I64" i="43" s="1"/>
  <c r="K63" i="43"/>
  <c r="K62" i="43"/>
  <c r="H62" i="43"/>
  <c r="I62" i="43" s="1"/>
  <c r="K61" i="43"/>
  <c r="H61" i="43"/>
  <c r="I61" i="43" s="1"/>
  <c r="K60" i="43"/>
  <c r="H60" i="43"/>
  <c r="I60" i="43" s="1"/>
  <c r="K59" i="43"/>
  <c r="H59" i="43"/>
  <c r="I59" i="43" s="1"/>
  <c r="K58" i="43"/>
  <c r="K57" i="43"/>
  <c r="H57" i="43"/>
  <c r="I57" i="43" s="1"/>
  <c r="K56" i="43"/>
  <c r="H56" i="43"/>
  <c r="I56" i="43" s="1"/>
  <c r="K55" i="43"/>
  <c r="H55" i="43"/>
  <c r="I55" i="43" s="1"/>
  <c r="K54" i="43"/>
  <c r="H54" i="43"/>
  <c r="I54" i="43" s="1"/>
  <c r="K53" i="43"/>
  <c r="H53" i="43"/>
  <c r="I53" i="43" s="1"/>
  <c r="K52" i="43"/>
  <c r="H52" i="43"/>
  <c r="I52" i="43" s="1"/>
  <c r="K51" i="43"/>
  <c r="H51" i="43"/>
  <c r="I51" i="43" s="1"/>
  <c r="K50" i="43"/>
  <c r="H50" i="43"/>
  <c r="I50" i="43" s="1"/>
  <c r="K49" i="43"/>
  <c r="H49" i="43"/>
  <c r="I49" i="43" s="1"/>
  <c r="K48" i="43"/>
  <c r="H48" i="43"/>
  <c r="I48" i="43" s="1"/>
  <c r="K47" i="43"/>
  <c r="H47" i="43"/>
  <c r="I47" i="43" s="1"/>
  <c r="K46" i="43"/>
  <c r="H46" i="43"/>
  <c r="I46" i="43" s="1"/>
  <c r="K45" i="43"/>
  <c r="H45" i="43"/>
  <c r="I45" i="43" s="1"/>
  <c r="K44" i="43"/>
  <c r="H44" i="43"/>
  <c r="I44" i="43" s="1"/>
  <c r="K43" i="43"/>
  <c r="K42" i="43"/>
  <c r="K41" i="43"/>
  <c r="K40" i="43"/>
  <c r="H40" i="43"/>
  <c r="I40" i="43" s="1"/>
  <c r="K39" i="43"/>
  <c r="H39" i="43"/>
  <c r="I39" i="43" s="1"/>
  <c r="K38" i="43"/>
  <c r="K37" i="43"/>
  <c r="H37" i="43"/>
  <c r="I37" i="43" s="1"/>
  <c r="K36" i="43"/>
  <c r="K35" i="43"/>
  <c r="K34" i="43"/>
  <c r="H34" i="43"/>
  <c r="I34" i="43" s="1"/>
  <c r="K33" i="43"/>
  <c r="H33" i="43"/>
  <c r="I33" i="43" s="1"/>
  <c r="K32" i="43"/>
  <c r="K31" i="43"/>
  <c r="K30" i="43"/>
  <c r="H30" i="43"/>
  <c r="I30" i="43" s="1"/>
  <c r="K29" i="43"/>
  <c r="H29" i="43"/>
  <c r="I29" i="43" s="1"/>
  <c r="K28" i="43"/>
  <c r="K27" i="43"/>
  <c r="K26" i="43"/>
  <c r="H26" i="43"/>
  <c r="I26" i="43" s="1"/>
  <c r="K25" i="43"/>
  <c r="H25" i="43"/>
  <c r="I25" i="43" s="1"/>
  <c r="K24" i="43"/>
  <c r="K23" i="43"/>
  <c r="H23" i="43"/>
  <c r="I23" i="43" s="1"/>
  <c r="K22" i="43"/>
  <c r="K21" i="43"/>
  <c r="H21" i="43"/>
  <c r="I21" i="43" s="1"/>
  <c r="K20" i="43"/>
  <c r="K19" i="43"/>
  <c r="H19" i="43"/>
  <c r="I19" i="43" s="1"/>
  <c r="K18" i="43"/>
  <c r="H18" i="43"/>
  <c r="I18" i="43" s="1"/>
  <c r="K17" i="43"/>
  <c r="K16" i="43"/>
  <c r="K15" i="43"/>
  <c r="K14" i="43"/>
  <c r="K13" i="43"/>
  <c r="H13" i="43"/>
  <c r="I13" i="43" s="1"/>
  <c r="K12" i="43"/>
  <c r="H12" i="43"/>
  <c r="I12" i="43" s="1"/>
  <c r="K11" i="43"/>
  <c r="K10" i="43"/>
  <c r="K9" i="43"/>
  <c r="H9" i="43"/>
  <c r="I9" i="43" s="1"/>
  <c r="K8" i="43"/>
  <c r="K7" i="43"/>
  <c r="K6" i="43"/>
  <c r="H6" i="43"/>
  <c r="I6" i="43" s="1"/>
  <c r="K5" i="43"/>
  <c r="H5" i="43"/>
  <c r="I5" i="43" s="1"/>
  <c r="K4" i="43"/>
  <c r="K3" i="43"/>
  <c r="G4" i="43"/>
  <c r="H4" i="43" s="1"/>
  <c r="I4" i="43" s="1"/>
  <c r="G14" i="43"/>
  <c r="H14" i="43" s="1"/>
  <c r="I14" i="43" s="1"/>
  <c r="G7" i="43"/>
  <c r="H7" i="43" s="1"/>
  <c r="I7" i="43" s="1"/>
  <c r="G10" i="43"/>
  <c r="H10" i="43" s="1"/>
  <c r="I10" i="43" s="1"/>
  <c r="G11" i="43"/>
  <c r="H11" i="43" s="1"/>
  <c r="I11" i="43" s="1"/>
  <c r="G15" i="43"/>
  <c r="H15" i="43" s="1"/>
  <c r="I15" i="43" s="1"/>
  <c r="G41" i="43"/>
  <c r="H41" i="43" s="1"/>
  <c r="I41" i="43" s="1"/>
  <c r="G42" i="43"/>
  <c r="H42" i="43" s="1"/>
  <c r="I42" i="43" s="1"/>
  <c r="G43" i="43"/>
  <c r="H43" i="43" s="1"/>
  <c r="I43" i="43" s="1"/>
  <c r="G38" i="43"/>
  <c r="H38" i="43" s="1"/>
  <c r="I38" i="43" s="1"/>
  <c r="G82" i="43"/>
  <c r="H82" i="43" s="1"/>
  <c r="I82" i="43" s="1"/>
  <c r="G36" i="43"/>
  <c r="H36" i="43" s="1"/>
  <c r="I36" i="43" s="1"/>
  <c r="G20" i="43"/>
  <c r="H20" i="43" s="1"/>
  <c r="I20" i="43" s="1"/>
  <c r="G22" i="43"/>
  <c r="H22" i="43" s="1"/>
  <c r="I22" i="43" s="1"/>
  <c r="G87" i="43"/>
  <c r="H87" i="43" s="1"/>
  <c r="I87" i="43" s="1"/>
  <c r="G24" i="43"/>
  <c r="H24" i="43" s="1"/>
  <c r="I24" i="43" s="1"/>
  <c r="G27" i="43"/>
  <c r="H27" i="43" s="1"/>
  <c r="I27" i="43" s="1"/>
  <c r="G28" i="43"/>
  <c r="H28" i="43" s="1"/>
  <c r="I28" i="43" s="1"/>
  <c r="G31" i="43"/>
  <c r="H31" i="43" s="1"/>
  <c r="I31" i="43" s="1"/>
  <c r="G17" i="43"/>
  <c r="H17" i="43" s="1"/>
  <c r="I17" i="43" s="1"/>
  <c r="G58" i="43"/>
  <c r="H58" i="43" s="1"/>
  <c r="I58" i="43" s="1"/>
  <c r="K89" i="42"/>
  <c r="K88" i="42"/>
  <c r="K87" i="42"/>
  <c r="K86" i="42"/>
  <c r="H86" i="42"/>
  <c r="I86" i="42" s="1"/>
  <c r="K85" i="42"/>
  <c r="H85" i="42"/>
  <c r="I85" i="42" s="1"/>
  <c r="K84" i="42"/>
  <c r="H84" i="42"/>
  <c r="I84" i="42" s="1"/>
  <c r="K83" i="42"/>
  <c r="H83" i="42"/>
  <c r="I83" i="42" s="1"/>
  <c r="K82" i="42"/>
  <c r="K81" i="42"/>
  <c r="H81" i="42"/>
  <c r="I81" i="42" s="1"/>
  <c r="K80" i="42"/>
  <c r="H80" i="42"/>
  <c r="I80" i="42" s="1"/>
  <c r="K79" i="42"/>
  <c r="H79" i="42"/>
  <c r="I79" i="42" s="1"/>
  <c r="K78" i="42"/>
  <c r="H78" i="42"/>
  <c r="I78" i="42" s="1"/>
  <c r="K77" i="42"/>
  <c r="H77" i="42"/>
  <c r="I77" i="42" s="1"/>
  <c r="K76" i="42"/>
  <c r="H76" i="42"/>
  <c r="I76" i="42" s="1"/>
  <c r="K75" i="42"/>
  <c r="H75" i="42"/>
  <c r="I75" i="42" s="1"/>
  <c r="K74" i="42"/>
  <c r="H74" i="42"/>
  <c r="I74" i="42" s="1"/>
  <c r="K73" i="42"/>
  <c r="H73" i="42"/>
  <c r="I73" i="42" s="1"/>
  <c r="K72" i="42"/>
  <c r="H72" i="42"/>
  <c r="I72" i="42" s="1"/>
  <c r="K71" i="42"/>
  <c r="H71" i="42"/>
  <c r="I71" i="42" s="1"/>
  <c r="K70" i="42"/>
  <c r="H70" i="42"/>
  <c r="I70" i="42" s="1"/>
  <c r="K69" i="42"/>
  <c r="H69" i="42"/>
  <c r="I69" i="42" s="1"/>
  <c r="K68" i="42"/>
  <c r="H68" i="42"/>
  <c r="I68" i="42" s="1"/>
  <c r="K67" i="42"/>
  <c r="H67" i="42"/>
  <c r="I67" i="42" s="1"/>
  <c r="K66" i="42"/>
  <c r="H66" i="42"/>
  <c r="I66" i="42" s="1"/>
  <c r="K65" i="42"/>
  <c r="H65" i="42"/>
  <c r="I65" i="42" s="1"/>
  <c r="K64" i="42"/>
  <c r="H64" i="42"/>
  <c r="I64" i="42" s="1"/>
  <c r="K63" i="42"/>
  <c r="K62" i="42"/>
  <c r="H62" i="42"/>
  <c r="I62" i="42" s="1"/>
  <c r="K61" i="42"/>
  <c r="H61" i="42"/>
  <c r="I61" i="42" s="1"/>
  <c r="K60" i="42"/>
  <c r="H60" i="42"/>
  <c r="I60" i="42" s="1"/>
  <c r="K59" i="42"/>
  <c r="H59" i="42"/>
  <c r="I59" i="42" s="1"/>
  <c r="K58" i="42"/>
  <c r="K57" i="42"/>
  <c r="H57" i="42"/>
  <c r="I57" i="42" s="1"/>
  <c r="K56" i="42"/>
  <c r="H56" i="42"/>
  <c r="I56" i="42" s="1"/>
  <c r="K55" i="42"/>
  <c r="H55" i="42"/>
  <c r="I55" i="42" s="1"/>
  <c r="K54" i="42"/>
  <c r="H54" i="42"/>
  <c r="I54" i="42" s="1"/>
  <c r="K53" i="42"/>
  <c r="H53" i="42"/>
  <c r="I53" i="42" s="1"/>
  <c r="K52" i="42"/>
  <c r="H52" i="42"/>
  <c r="I52" i="42" s="1"/>
  <c r="K51" i="42"/>
  <c r="H51" i="42"/>
  <c r="I51" i="42" s="1"/>
  <c r="K50" i="42"/>
  <c r="H50" i="42"/>
  <c r="I50" i="42" s="1"/>
  <c r="K49" i="42"/>
  <c r="H49" i="42"/>
  <c r="I49" i="42" s="1"/>
  <c r="K48" i="42"/>
  <c r="H48" i="42"/>
  <c r="I48" i="42" s="1"/>
  <c r="K47" i="42"/>
  <c r="H47" i="42"/>
  <c r="I47" i="42" s="1"/>
  <c r="K46" i="42"/>
  <c r="H46" i="42"/>
  <c r="I46" i="42" s="1"/>
  <c r="K45" i="42"/>
  <c r="H45" i="42"/>
  <c r="I45" i="42" s="1"/>
  <c r="K44" i="42"/>
  <c r="H44" i="42"/>
  <c r="I44" i="42" s="1"/>
  <c r="K43" i="42"/>
  <c r="K42" i="42"/>
  <c r="K41" i="42"/>
  <c r="K40" i="42"/>
  <c r="H40" i="42"/>
  <c r="I40" i="42" s="1"/>
  <c r="K39" i="42"/>
  <c r="H39" i="42"/>
  <c r="I39" i="42" s="1"/>
  <c r="K38" i="42"/>
  <c r="K37" i="42"/>
  <c r="H37" i="42"/>
  <c r="I37" i="42" s="1"/>
  <c r="K36" i="42"/>
  <c r="K35" i="42"/>
  <c r="K34" i="42"/>
  <c r="H34" i="42"/>
  <c r="I34" i="42" s="1"/>
  <c r="K33" i="42"/>
  <c r="H33" i="42"/>
  <c r="I33" i="42" s="1"/>
  <c r="K32" i="42"/>
  <c r="K31" i="42"/>
  <c r="K30" i="42"/>
  <c r="H30" i="42"/>
  <c r="I30" i="42" s="1"/>
  <c r="K29" i="42"/>
  <c r="H29" i="42"/>
  <c r="I29" i="42" s="1"/>
  <c r="K28" i="42"/>
  <c r="K27" i="42"/>
  <c r="K26" i="42"/>
  <c r="H26" i="42"/>
  <c r="I26" i="42" s="1"/>
  <c r="K25" i="42"/>
  <c r="H25" i="42"/>
  <c r="I25" i="42" s="1"/>
  <c r="K24" i="42"/>
  <c r="K23" i="42"/>
  <c r="H23" i="42"/>
  <c r="I23" i="42" s="1"/>
  <c r="K22" i="42"/>
  <c r="K21" i="42"/>
  <c r="H21" i="42"/>
  <c r="I21" i="42" s="1"/>
  <c r="K20" i="42"/>
  <c r="K19" i="42"/>
  <c r="H19" i="42"/>
  <c r="I19" i="42" s="1"/>
  <c r="K18" i="42"/>
  <c r="H18" i="42"/>
  <c r="I18" i="42" s="1"/>
  <c r="K17" i="42"/>
  <c r="K16" i="42"/>
  <c r="K15" i="42"/>
  <c r="K14" i="42"/>
  <c r="K13" i="42"/>
  <c r="H13" i="42"/>
  <c r="I13" i="42" s="1"/>
  <c r="K12" i="42"/>
  <c r="H12" i="42"/>
  <c r="I12" i="42" s="1"/>
  <c r="K11" i="42"/>
  <c r="K10" i="42"/>
  <c r="K9" i="42"/>
  <c r="H9" i="42"/>
  <c r="I9" i="42" s="1"/>
  <c r="K8" i="42"/>
  <c r="K7" i="42"/>
  <c r="K6" i="42"/>
  <c r="H6" i="42"/>
  <c r="I6" i="42" s="1"/>
  <c r="K5" i="42"/>
  <c r="H5" i="42"/>
  <c r="I5" i="42" s="1"/>
  <c r="K4" i="42"/>
  <c r="K3" i="42"/>
  <c r="H4" i="42"/>
  <c r="I4" i="42" s="1"/>
  <c r="H14" i="42"/>
  <c r="I14" i="42" s="1"/>
  <c r="H7" i="42"/>
  <c r="I7" i="42" s="1"/>
  <c r="H10" i="42"/>
  <c r="I10" i="42" s="1"/>
  <c r="H11" i="42"/>
  <c r="I11" i="42" s="1"/>
  <c r="H41" i="42"/>
  <c r="I41" i="42" s="1"/>
  <c r="H42" i="42"/>
  <c r="I42" i="42" s="1"/>
  <c r="H43" i="42"/>
  <c r="I43" i="42" s="1"/>
  <c r="H38" i="42"/>
  <c r="I38" i="42" s="1"/>
  <c r="H82" i="42"/>
  <c r="I82" i="42" s="1"/>
  <c r="H36" i="42"/>
  <c r="I36" i="42" s="1"/>
  <c r="G20" i="37"/>
  <c r="H20" i="37" s="1"/>
  <c r="I20" i="37" s="1"/>
  <c r="H22" i="42"/>
  <c r="I22" i="42" s="1"/>
  <c r="H87" i="42"/>
  <c r="I87" i="42" s="1"/>
  <c r="H24" i="42"/>
  <c r="I24" i="42" s="1"/>
  <c r="H27" i="41"/>
  <c r="I27" i="41" s="1"/>
  <c r="H28" i="42"/>
  <c r="I28" i="42" s="1"/>
  <c r="H31" i="42"/>
  <c r="I31" i="42" s="1"/>
  <c r="H17" i="41"/>
  <c r="I17" i="41" s="1"/>
  <c r="H35" i="42"/>
  <c r="I35" i="42" s="1"/>
  <c r="H58" i="42"/>
  <c r="I58" i="42" s="1"/>
  <c r="H8" i="41"/>
  <c r="I8" i="41" s="1"/>
  <c r="H3" i="41"/>
  <c r="I3" i="41" s="1"/>
  <c r="K89" i="41"/>
  <c r="K88" i="41"/>
  <c r="K87" i="41"/>
  <c r="K86" i="41"/>
  <c r="H86" i="41"/>
  <c r="I86" i="41" s="1"/>
  <c r="K85" i="41"/>
  <c r="H85" i="41"/>
  <c r="I85" i="41" s="1"/>
  <c r="K84" i="41"/>
  <c r="H84" i="41"/>
  <c r="I84" i="41" s="1"/>
  <c r="K83" i="41"/>
  <c r="H83" i="41"/>
  <c r="I83" i="41" s="1"/>
  <c r="K82" i="41"/>
  <c r="K81" i="41"/>
  <c r="H81" i="41"/>
  <c r="I81" i="41" s="1"/>
  <c r="K80" i="41"/>
  <c r="H80" i="41"/>
  <c r="I80" i="41" s="1"/>
  <c r="K79" i="41"/>
  <c r="H79" i="41"/>
  <c r="I79" i="41" s="1"/>
  <c r="K78" i="41"/>
  <c r="H78" i="41"/>
  <c r="I78" i="41" s="1"/>
  <c r="K77" i="41"/>
  <c r="H77" i="41"/>
  <c r="I77" i="41" s="1"/>
  <c r="K76" i="41"/>
  <c r="H76" i="41"/>
  <c r="I76" i="41" s="1"/>
  <c r="K75" i="41"/>
  <c r="H75" i="41"/>
  <c r="I75" i="41" s="1"/>
  <c r="K74" i="41"/>
  <c r="H74" i="41"/>
  <c r="I74" i="41" s="1"/>
  <c r="K73" i="41"/>
  <c r="H73" i="41"/>
  <c r="I73" i="41" s="1"/>
  <c r="K72" i="41"/>
  <c r="H72" i="41"/>
  <c r="I72" i="41" s="1"/>
  <c r="K71" i="41"/>
  <c r="H71" i="41"/>
  <c r="I71" i="41" s="1"/>
  <c r="K70" i="41"/>
  <c r="H70" i="41"/>
  <c r="I70" i="41" s="1"/>
  <c r="K69" i="41"/>
  <c r="H69" i="41"/>
  <c r="I69" i="41" s="1"/>
  <c r="K68" i="41"/>
  <c r="H68" i="41"/>
  <c r="I68" i="41" s="1"/>
  <c r="K67" i="41"/>
  <c r="H67" i="41"/>
  <c r="I67" i="41" s="1"/>
  <c r="K66" i="41"/>
  <c r="H66" i="41"/>
  <c r="I66" i="41" s="1"/>
  <c r="K65" i="41"/>
  <c r="H65" i="41"/>
  <c r="I65" i="41" s="1"/>
  <c r="K64" i="41"/>
  <c r="H64" i="41"/>
  <c r="I64" i="41" s="1"/>
  <c r="K63" i="41"/>
  <c r="K62" i="41"/>
  <c r="H62" i="41"/>
  <c r="I62" i="41" s="1"/>
  <c r="K61" i="41"/>
  <c r="H61" i="41"/>
  <c r="I61" i="41" s="1"/>
  <c r="K60" i="41"/>
  <c r="H60" i="41"/>
  <c r="I60" i="41" s="1"/>
  <c r="K59" i="41"/>
  <c r="H59" i="41"/>
  <c r="I59" i="41" s="1"/>
  <c r="K58" i="41"/>
  <c r="K57" i="41"/>
  <c r="H57" i="41"/>
  <c r="I57" i="41" s="1"/>
  <c r="K56" i="41"/>
  <c r="H56" i="41"/>
  <c r="I56" i="41" s="1"/>
  <c r="K55" i="41"/>
  <c r="H55" i="41"/>
  <c r="I55" i="41" s="1"/>
  <c r="K54" i="41"/>
  <c r="H54" i="41"/>
  <c r="I54" i="41" s="1"/>
  <c r="K53" i="41"/>
  <c r="H53" i="41"/>
  <c r="I53" i="41" s="1"/>
  <c r="K52" i="41"/>
  <c r="H52" i="41"/>
  <c r="I52" i="41" s="1"/>
  <c r="K51" i="41"/>
  <c r="H51" i="41"/>
  <c r="I51" i="41" s="1"/>
  <c r="K50" i="41"/>
  <c r="H50" i="41"/>
  <c r="I50" i="41" s="1"/>
  <c r="K49" i="41"/>
  <c r="H49" i="41"/>
  <c r="I49" i="41" s="1"/>
  <c r="K48" i="41"/>
  <c r="H48" i="41"/>
  <c r="I48" i="41" s="1"/>
  <c r="K47" i="41"/>
  <c r="H47" i="41"/>
  <c r="I47" i="41" s="1"/>
  <c r="K46" i="41"/>
  <c r="H46" i="41"/>
  <c r="I46" i="41" s="1"/>
  <c r="K45" i="41"/>
  <c r="H45" i="41"/>
  <c r="I45" i="41" s="1"/>
  <c r="K44" i="41"/>
  <c r="H44" i="41"/>
  <c r="I44" i="41" s="1"/>
  <c r="K43" i="41"/>
  <c r="K42" i="41"/>
  <c r="K41" i="41"/>
  <c r="K40" i="41"/>
  <c r="H40" i="41"/>
  <c r="I40" i="41" s="1"/>
  <c r="K39" i="41"/>
  <c r="H39" i="41"/>
  <c r="I39" i="41" s="1"/>
  <c r="K38" i="41"/>
  <c r="K37" i="41"/>
  <c r="H37" i="41"/>
  <c r="I37" i="41" s="1"/>
  <c r="K36" i="41"/>
  <c r="K35" i="41"/>
  <c r="K34" i="41"/>
  <c r="H34" i="41"/>
  <c r="I34" i="41" s="1"/>
  <c r="K33" i="41"/>
  <c r="H33" i="41"/>
  <c r="I33" i="41" s="1"/>
  <c r="K32" i="41"/>
  <c r="K31" i="41"/>
  <c r="K30" i="41"/>
  <c r="H30" i="41"/>
  <c r="I30" i="41" s="1"/>
  <c r="K29" i="41"/>
  <c r="H29" i="41"/>
  <c r="I29" i="41" s="1"/>
  <c r="K28" i="41"/>
  <c r="K27" i="41"/>
  <c r="K26" i="41"/>
  <c r="H26" i="41"/>
  <c r="I26" i="41" s="1"/>
  <c r="K25" i="41"/>
  <c r="H25" i="41"/>
  <c r="I25" i="41" s="1"/>
  <c r="K24" i="41"/>
  <c r="K23" i="41"/>
  <c r="H23" i="41"/>
  <c r="I23" i="41" s="1"/>
  <c r="K22" i="41"/>
  <c r="K21" i="41"/>
  <c r="H21" i="41"/>
  <c r="I21" i="41" s="1"/>
  <c r="K20" i="41"/>
  <c r="K19" i="41"/>
  <c r="H19" i="41"/>
  <c r="I19" i="41" s="1"/>
  <c r="K18" i="41"/>
  <c r="H18" i="41"/>
  <c r="I18" i="41" s="1"/>
  <c r="K17" i="41"/>
  <c r="K16" i="41"/>
  <c r="K15" i="41"/>
  <c r="K14" i="41"/>
  <c r="K13" i="41"/>
  <c r="H13" i="41"/>
  <c r="I13" i="41" s="1"/>
  <c r="K12" i="41"/>
  <c r="H12" i="41"/>
  <c r="I12" i="41" s="1"/>
  <c r="K11" i="41"/>
  <c r="K10" i="41"/>
  <c r="K9" i="41"/>
  <c r="H9" i="41"/>
  <c r="I9" i="41" s="1"/>
  <c r="K8" i="41"/>
  <c r="K7" i="41"/>
  <c r="K6" i="41"/>
  <c r="H6" i="41"/>
  <c r="I6" i="41" s="1"/>
  <c r="K5" i="41"/>
  <c r="H5" i="41"/>
  <c r="I5" i="41" s="1"/>
  <c r="K4" i="41"/>
  <c r="K3" i="41"/>
  <c r="H4" i="41"/>
  <c r="I4" i="41" s="1"/>
  <c r="H14" i="41"/>
  <c r="I14" i="41" s="1"/>
  <c r="H7" i="41"/>
  <c r="I7" i="41" s="1"/>
  <c r="G10" i="37"/>
  <c r="H10" i="37" s="1"/>
  <c r="I10" i="37" s="1"/>
  <c r="H11" i="41"/>
  <c r="I11" i="41" s="1"/>
  <c r="G15" i="37"/>
  <c r="H15" i="37" s="1"/>
  <c r="I15" i="37" s="1"/>
  <c r="H41" i="41"/>
  <c r="I41" i="41" s="1"/>
  <c r="H42" i="41"/>
  <c r="I42" i="41" s="1"/>
  <c r="H43" i="41"/>
  <c r="I43" i="41" s="1"/>
  <c r="H38" i="41"/>
  <c r="I38" i="41" s="1"/>
  <c r="G82" i="37"/>
  <c r="H82" i="37" s="1"/>
  <c r="I82" i="37" s="1"/>
  <c r="H36" i="41"/>
  <c r="I36" i="41" s="1"/>
  <c r="H22" i="41"/>
  <c r="I22" i="41" s="1"/>
  <c r="H24" i="41"/>
  <c r="I24" i="41" s="1"/>
  <c r="H28" i="41"/>
  <c r="I28" i="41" s="1"/>
  <c r="H31" i="41"/>
  <c r="I31" i="41" s="1"/>
  <c r="H35" i="41"/>
  <c r="I35" i="41" s="1"/>
  <c r="H58" i="41"/>
  <c r="I58" i="41" s="1"/>
  <c r="K10" i="40"/>
  <c r="H4" i="40"/>
  <c r="I4" i="40" s="1"/>
  <c r="H5" i="40"/>
  <c r="I5" i="40" s="1"/>
  <c r="H6" i="40"/>
  <c r="I6" i="40" s="1"/>
  <c r="H8" i="40"/>
  <c r="I8" i="40" s="1"/>
  <c r="H9" i="40"/>
  <c r="I9" i="40" s="1"/>
  <c r="H12" i="40"/>
  <c r="I12" i="40" s="1"/>
  <c r="H13" i="40"/>
  <c r="I13" i="40" s="1"/>
  <c r="H15" i="40"/>
  <c r="I15" i="40" s="1"/>
  <c r="H18" i="40"/>
  <c r="I18" i="40" s="1"/>
  <c r="H19" i="40"/>
  <c r="I19" i="40" s="1"/>
  <c r="H23" i="40"/>
  <c r="I23" i="40" s="1"/>
  <c r="H24" i="40"/>
  <c r="I24" i="40" s="1"/>
  <c r="H25" i="40"/>
  <c r="I25" i="40" s="1"/>
  <c r="H26" i="40"/>
  <c r="I26" i="40" s="1"/>
  <c r="H29" i="40"/>
  <c r="I29" i="40" s="1"/>
  <c r="H30" i="40"/>
  <c r="I30" i="40" s="1"/>
  <c r="H31" i="40"/>
  <c r="I31" i="40" s="1"/>
  <c r="H32" i="40"/>
  <c r="I32" i="40" s="1"/>
  <c r="H33" i="40"/>
  <c r="I33" i="40" s="1"/>
  <c r="H34" i="40"/>
  <c r="I34" i="40" s="1"/>
  <c r="H36" i="40"/>
  <c r="I36" i="40" s="1"/>
  <c r="H37" i="40"/>
  <c r="I37" i="40" s="1"/>
  <c r="H39" i="40"/>
  <c r="I39" i="40" s="1"/>
  <c r="H40" i="40"/>
  <c r="I40" i="40" s="1"/>
  <c r="H42" i="40"/>
  <c r="I42" i="40" s="1"/>
  <c r="H44" i="40"/>
  <c r="I44" i="40" s="1"/>
  <c r="H46" i="40"/>
  <c r="I46" i="40" s="1"/>
  <c r="H47" i="40"/>
  <c r="I47" i="40" s="1"/>
  <c r="H48" i="40"/>
  <c r="I48" i="40" s="1"/>
  <c r="H50" i="40"/>
  <c r="I50" i="40" s="1"/>
  <c r="H51" i="40"/>
  <c r="I51" i="40" s="1"/>
  <c r="H53" i="40"/>
  <c r="I53" i="40" s="1"/>
  <c r="H54" i="40"/>
  <c r="I54" i="40" s="1"/>
  <c r="H55" i="40"/>
  <c r="I55" i="40" s="1"/>
  <c r="H56" i="40"/>
  <c r="I56" i="40" s="1"/>
  <c r="H57" i="40"/>
  <c r="I57" i="40" s="1"/>
  <c r="H58" i="40"/>
  <c r="I58" i="40" s="1"/>
  <c r="H59" i="40"/>
  <c r="I59" i="40" s="1"/>
  <c r="H62" i="40"/>
  <c r="I62" i="40" s="1"/>
  <c r="H64" i="40"/>
  <c r="I64" i="40" s="1"/>
  <c r="H65" i="40"/>
  <c r="I65" i="40" s="1"/>
  <c r="H66" i="40"/>
  <c r="I66" i="40" s="1"/>
  <c r="H67" i="40"/>
  <c r="I67" i="40" s="1"/>
  <c r="H68" i="40"/>
  <c r="I68" i="40" s="1"/>
  <c r="H69" i="40"/>
  <c r="I69" i="40" s="1"/>
  <c r="H70" i="40"/>
  <c r="I70" i="40" s="1"/>
  <c r="H71" i="40"/>
  <c r="I71" i="40" s="1"/>
  <c r="H72" i="40"/>
  <c r="I72" i="40" s="1"/>
  <c r="H74" i="40"/>
  <c r="I74" i="40" s="1"/>
  <c r="H75" i="40"/>
  <c r="I75" i="40" s="1"/>
  <c r="H76" i="40"/>
  <c r="I76" i="40" s="1"/>
  <c r="H77" i="40"/>
  <c r="I77" i="40" s="1"/>
  <c r="H78" i="40"/>
  <c r="I78" i="40" s="1"/>
  <c r="H79" i="40"/>
  <c r="I79" i="40" s="1"/>
  <c r="H80" i="40"/>
  <c r="I80" i="40" s="1"/>
  <c r="H81" i="40"/>
  <c r="I81" i="40" s="1"/>
  <c r="H83" i="40"/>
  <c r="I83" i="40" s="1"/>
  <c r="H84" i="40"/>
  <c r="I84" i="40" s="1"/>
  <c r="H85" i="40"/>
  <c r="I85" i="40" s="1"/>
  <c r="H86" i="40"/>
  <c r="I86" i="40" s="1"/>
  <c r="K89" i="40"/>
  <c r="K88" i="40"/>
  <c r="K87" i="40"/>
  <c r="K86" i="40"/>
  <c r="K85" i="40"/>
  <c r="K84" i="40"/>
  <c r="K83" i="40"/>
  <c r="K82" i="40"/>
  <c r="K81" i="40"/>
  <c r="K80" i="40"/>
  <c r="K79" i="40"/>
  <c r="K78" i="40"/>
  <c r="K77" i="40"/>
  <c r="K76" i="40"/>
  <c r="K75" i="40"/>
  <c r="K74" i="40"/>
  <c r="K73" i="40"/>
  <c r="H73" i="40"/>
  <c r="I73" i="40" s="1"/>
  <c r="K72" i="40"/>
  <c r="K71" i="40"/>
  <c r="K70" i="40"/>
  <c r="K69" i="40"/>
  <c r="K68" i="40"/>
  <c r="K67" i="40"/>
  <c r="K66" i="40"/>
  <c r="K65" i="40"/>
  <c r="K64" i="40"/>
  <c r="K63" i="40"/>
  <c r="K62" i="40"/>
  <c r="K61" i="40"/>
  <c r="H61" i="40"/>
  <c r="I61" i="40" s="1"/>
  <c r="K60" i="40"/>
  <c r="H60" i="40"/>
  <c r="I60" i="40" s="1"/>
  <c r="K59" i="40"/>
  <c r="K58" i="40"/>
  <c r="K57" i="40"/>
  <c r="K56" i="40"/>
  <c r="K55" i="40"/>
  <c r="K54" i="40"/>
  <c r="K53" i="40"/>
  <c r="K52" i="40"/>
  <c r="H52" i="40"/>
  <c r="I52" i="40" s="1"/>
  <c r="K51" i="40"/>
  <c r="K50" i="40"/>
  <c r="K49" i="40"/>
  <c r="H49" i="40"/>
  <c r="I49" i="40" s="1"/>
  <c r="K48" i="40"/>
  <c r="K47" i="40"/>
  <c r="K46" i="40"/>
  <c r="K45" i="40"/>
  <c r="H45" i="40"/>
  <c r="I45" i="40" s="1"/>
  <c r="K44" i="40"/>
  <c r="K43" i="40"/>
  <c r="K42" i="40"/>
  <c r="K41" i="40"/>
  <c r="K40" i="40"/>
  <c r="K39" i="40"/>
  <c r="K38" i="40"/>
  <c r="K37" i="40"/>
  <c r="K36" i="40"/>
  <c r="K35" i="40"/>
  <c r="K34" i="40"/>
  <c r="K33" i="40"/>
  <c r="K32" i="40"/>
  <c r="K31" i="40"/>
  <c r="K30" i="40"/>
  <c r="K29" i="40"/>
  <c r="K28" i="40"/>
  <c r="K27" i="40"/>
  <c r="K26" i="40"/>
  <c r="K25" i="40"/>
  <c r="K24" i="40"/>
  <c r="K23" i="40"/>
  <c r="K22" i="40"/>
  <c r="K21" i="40"/>
  <c r="H21" i="40"/>
  <c r="I21" i="40" s="1"/>
  <c r="K20" i="40"/>
  <c r="K19" i="40"/>
  <c r="K18" i="40"/>
  <c r="K17" i="40"/>
  <c r="K16" i="40"/>
  <c r="K15" i="40"/>
  <c r="K14" i="40"/>
  <c r="K13" i="40"/>
  <c r="K12" i="40"/>
  <c r="K11" i="40"/>
  <c r="K9" i="40"/>
  <c r="K8" i="40"/>
  <c r="K7" i="40"/>
  <c r="K6" i="40"/>
  <c r="K5" i="40"/>
  <c r="K4" i="40"/>
  <c r="K3" i="40"/>
  <c r="H14" i="40"/>
  <c r="I14" i="40" s="1"/>
  <c r="H7" i="39"/>
  <c r="I7" i="39" s="1"/>
  <c r="H41" i="40"/>
  <c r="I41" i="40" s="1"/>
  <c r="H38" i="39"/>
  <c r="I38" i="39" s="1"/>
  <c r="H22" i="39"/>
  <c r="I22" i="39" s="1"/>
  <c r="H27" i="39"/>
  <c r="I27" i="39" s="1"/>
  <c r="H28" i="40"/>
  <c r="I28" i="40" s="1"/>
  <c r="K89" i="39"/>
  <c r="K88" i="39"/>
  <c r="K87" i="39"/>
  <c r="H87" i="39"/>
  <c r="I87" i="39" s="1"/>
  <c r="K86" i="39"/>
  <c r="H86" i="39"/>
  <c r="I86" i="39" s="1"/>
  <c r="K85" i="39"/>
  <c r="H85" i="39"/>
  <c r="I85" i="39" s="1"/>
  <c r="K84" i="39"/>
  <c r="H84" i="39"/>
  <c r="I84" i="39" s="1"/>
  <c r="K83" i="39"/>
  <c r="H83" i="39"/>
  <c r="I83" i="39" s="1"/>
  <c r="K82" i="39"/>
  <c r="H82" i="39"/>
  <c r="I82" i="39" s="1"/>
  <c r="K81" i="39"/>
  <c r="H81" i="39"/>
  <c r="I81" i="39" s="1"/>
  <c r="K80" i="39"/>
  <c r="H80" i="39"/>
  <c r="I80" i="39" s="1"/>
  <c r="K79" i="39"/>
  <c r="H79" i="39"/>
  <c r="I79" i="39" s="1"/>
  <c r="K78" i="39"/>
  <c r="H78" i="39"/>
  <c r="I78" i="39" s="1"/>
  <c r="K77" i="39"/>
  <c r="H77" i="39"/>
  <c r="I77" i="39" s="1"/>
  <c r="K76" i="39"/>
  <c r="H76" i="39"/>
  <c r="I76" i="39" s="1"/>
  <c r="K75" i="39"/>
  <c r="H75" i="39"/>
  <c r="I75" i="39" s="1"/>
  <c r="K74" i="39"/>
  <c r="H74" i="39"/>
  <c r="I74" i="39" s="1"/>
  <c r="K73" i="39"/>
  <c r="H73" i="39"/>
  <c r="I73" i="39" s="1"/>
  <c r="K72" i="39"/>
  <c r="H72" i="39"/>
  <c r="I72" i="39" s="1"/>
  <c r="K71" i="39"/>
  <c r="H71" i="39"/>
  <c r="I71" i="39" s="1"/>
  <c r="K70" i="39"/>
  <c r="H70" i="39"/>
  <c r="I70" i="39" s="1"/>
  <c r="K69" i="39"/>
  <c r="H69" i="39"/>
  <c r="I69" i="39" s="1"/>
  <c r="K68" i="39"/>
  <c r="H68" i="39"/>
  <c r="I68" i="39" s="1"/>
  <c r="K67" i="39"/>
  <c r="H67" i="39"/>
  <c r="I67" i="39" s="1"/>
  <c r="K66" i="39"/>
  <c r="H66" i="39"/>
  <c r="I66" i="39" s="1"/>
  <c r="K65" i="39"/>
  <c r="H65" i="39"/>
  <c r="I65" i="39" s="1"/>
  <c r="K64" i="39"/>
  <c r="H64" i="39"/>
  <c r="I64" i="39" s="1"/>
  <c r="K63" i="39"/>
  <c r="H63" i="39"/>
  <c r="I63" i="39" s="1"/>
  <c r="K62" i="39"/>
  <c r="H62" i="39"/>
  <c r="I62" i="39" s="1"/>
  <c r="K61" i="39"/>
  <c r="H61" i="39"/>
  <c r="I61" i="39" s="1"/>
  <c r="K60" i="39"/>
  <c r="H60" i="39"/>
  <c r="I60" i="39" s="1"/>
  <c r="K59" i="39"/>
  <c r="H59" i="39"/>
  <c r="I59" i="39" s="1"/>
  <c r="K58" i="39"/>
  <c r="I58" i="39"/>
  <c r="H58" i="39"/>
  <c r="K57" i="39"/>
  <c r="H57" i="39"/>
  <c r="I57" i="39" s="1"/>
  <c r="K56" i="39"/>
  <c r="H56" i="39"/>
  <c r="I56" i="39" s="1"/>
  <c r="K55" i="39"/>
  <c r="H55" i="39"/>
  <c r="I55" i="39" s="1"/>
  <c r="K54" i="39"/>
  <c r="H54" i="39"/>
  <c r="I54" i="39" s="1"/>
  <c r="K53" i="39"/>
  <c r="H53" i="39"/>
  <c r="I53" i="39" s="1"/>
  <c r="K52" i="39"/>
  <c r="H52" i="39"/>
  <c r="I52" i="39" s="1"/>
  <c r="K51" i="39"/>
  <c r="H51" i="39"/>
  <c r="I51" i="39" s="1"/>
  <c r="K50" i="39"/>
  <c r="H50" i="39"/>
  <c r="I50" i="39" s="1"/>
  <c r="K49" i="39"/>
  <c r="H49" i="39"/>
  <c r="I49" i="39" s="1"/>
  <c r="K48" i="39"/>
  <c r="H48" i="39"/>
  <c r="I48" i="39" s="1"/>
  <c r="K47" i="39"/>
  <c r="H47" i="39"/>
  <c r="I47" i="39" s="1"/>
  <c r="K46" i="39"/>
  <c r="H46" i="39"/>
  <c r="I46" i="39" s="1"/>
  <c r="K45" i="39"/>
  <c r="H45" i="39"/>
  <c r="I45" i="39" s="1"/>
  <c r="K44" i="39"/>
  <c r="H44" i="39"/>
  <c r="I44" i="39" s="1"/>
  <c r="K43" i="39"/>
  <c r="H43" i="39"/>
  <c r="I43" i="39" s="1"/>
  <c r="K42" i="39"/>
  <c r="H42" i="39"/>
  <c r="I42" i="39" s="1"/>
  <c r="K41" i="39"/>
  <c r="H41" i="39"/>
  <c r="I41" i="39" s="1"/>
  <c r="K40" i="39"/>
  <c r="H40" i="39"/>
  <c r="I40" i="39" s="1"/>
  <c r="K39" i="39"/>
  <c r="H39" i="39"/>
  <c r="I39" i="39" s="1"/>
  <c r="K38" i="39"/>
  <c r="K37" i="39"/>
  <c r="H37" i="39"/>
  <c r="I37" i="39" s="1"/>
  <c r="K36" i="39"/>
  <c r="H36" i="39"/>
  <c r="I36" i="39" s="1"/>
  <c r="K35" i="39"/>
  <c r="H35" i="39"/>
  <c r="I35" i="39" s="1"/>
  <c r="K34" i="39"/>
  <c r="H34" i="39"/>
  <c r="I34" i="39" s="1"/>
  <c r="K33" i="39"/>
  <c r="H33" i="39"/>
  <c r="I33" i="39" s="1"/>
  <c r="K32" i="39"/>
  <c r="H32" i="39"/>
  <c r="I32" i="39" s="1"/>
  <c r="K31" i="39"/>
  <c r="H31" i="39"/>
  <c r="I31" i="39" s="1"/>
  <c r="K30" i="39"/>
  <c r="H30" i="39"/>
  <c r="I30" i="39" s="1"/>
  <c r="K29" i="39"/>
  <c r="H29" i="39"/>
  <c r="I29" i="39" s="1"/>
  <c r="K28" i="39"/>
  <c r="H28" i="39"/>
  <c r="I28" i="39" s="1"/>
  <c r="K27" i="39"/>
  <c r="K26" i="39"/>
  <c r="H26" i="39"/>
  <c r="I26" i="39" s="1"/>
  <c r="K25" i="39"/>
  <c r="H25" i="39"/>
  <c r="I25" i="39" s="1"/>
  <c r="K24" i="39"/>
  <c r="H24" i="39"/>
  <c r="I24" i="39" s="1"/>
  <c r="K23" i="39"/>
  <c r="H23" i="39"/>
  <c r="I23" i="39" s="1"/>
  <c r="K22" i="39"/>
  <c r="K21" i="39"/>
  <c r="H21" i="39"/>
  <c r="I21" i="39" s="1"/>
  <c r="K20" i="39"/>
  <c r="K19" i="39"/>
  <c r="H19" i="39"/>
  <c r="I19" i="39" s="1"/>
  <c r="K18" i="39"/>
  <c r="H18" i="39"/>
  <c r="I18" i="39" s="1"/>
  <c r="K17" i="39"/>
  <c r="H17" i="39"/>
  <c r="I17" i="39" s="1"/>
  <c r="K16" i="39"/>
  <c r="K15" i="39"/>
  <c r="H15" i="39"/>
  <c r="I15" i="39" s="1"/>
  <c r="K14" i="39"/>
  <c r="H14" i="39"/>
  <c r="I14" i="39" s="1"/>
  <c r="K13" i="39"/>
  <c r="H13" i="39"/>
  <c r="I13" i="39" s="1"/>
  <c r="K12" i="39"/>
  <c r="H12" i="39"/>
  <c r="I12" i="39" s="1"/>
  <c r="K11" i="39"/>
  <c r="H11" i="39"/>
  <c r="I11" i="39" s="1"/>
  <c r="K10" i="39"/>
  <c r="K9" i="39"/>
  <c r="H9" i="39"/>
  <c r="I9" i="39" s="1"/>
  <c r="K8" i="39"/>
  <c r="H8" i="39"/>
  <c r="I8" i="39" s="1"/>
  <c r="K7" i="39"/>
  <c r="K6" i="39"/>
  <c r="H6" i="39"/>
  <c r="I6" i="39" s="1"/>
  <c r="K5" i="39"/>
  <c r="H5" i="39"/>
  <c r="I5" i="39" s="1"/>
  <c r="K4" i="39"/>
  <c r="H4" i="39"/>
  <c r="I4" i="39" s="1"/>
  <c r="K3" i="39"/>
  <c r="I3" i="38"/>
  <c r="K4" i="38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K48" i="38"/>
  <c r="K49" i="38"/>
  <c r="K50" i="38"/>
  <c r="K51" i="38"/>
  <c r="K52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K70" i="38"/>
  <c r="K71" i="38"/>
  <c r="K72" i="38"/>
  <c r="K73" i="38"/>
  <c r="K74" i="38"/>
  <c r="K75" i="38"/>
  <c r="K76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3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6" i="38"/>
  <c r="I55" i="38"/>
  <c r="I54" i="38"/>
  <c r="I53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9" i="38"/>
  <c r="I8" i="38"/>
  <c r="I7" i="38"/>
  <c r="I6" i="38"/>
  <c r="I5" i="38"/>
  <c r="I4" i="38"/>
  <c r="G86" i="37"/>
  <c r="H86" i="37" s="1"/>
  <c r="I86" i="37" s="1"/>
  <c r="G85" i="37"/>
  <c r="H85" i="37" s="1"/>
  <c r="I85" i="37" s="1"/>
  <c r="G84" i="37"/>
  <c r="H84" i="37" s="1"/>
  <c r="I84" i="37" s="1"/>
  <c r="G83" i="37"/>
  <c r="H83" i="37" s="1"/>
  <c r="I83" i="37" s="1"/>
  <c r="G81" i="37"/>
  <c r="H81" i="37" s="1"/>
  <c r="I81" i="37" s="1"/>
  <c r="G80" i="37"/>
  <c r="H80" i="37" s="1"/>
  <c r="I80" i="37" s="1"/>
  <c r="G79" i="37"/>
  <c r="H79" i="37" s="1"/>
  <c r="I79" i="37" s="1"/>
  <c r="G78" i="37"/>
  <c r="H78" i="37" s="1"/>
  <c r="I78" i="37" s="1"/>
  <c r="G77" i="37"/>
  <c r="H77" i="37" s="1"/>
  <c r="I77" i="37" s="1"/>
  <c r="G76" i="37"/>
  <c r="H76" i="37" s="1"/>
  <c r="I76" i="37" s="1"/>
  <c r="G75" i="37"/>
  <c r="H75" i="37" s="1"/>
  <c r="I75" i="37" s="1"/>
  <c r="G74" i="37"/>
  <c r="H74" i="37" s="1"/>
  <c r="I74" i="37" s="1"/>
  <c r="G73" i="37"/>
  <c r="H73" i="37" s="1"/>
  <c r="I73" i="37" s="1"/>
  <c r="G72" i="37"/>
  <c r="H72" i="37" s="1"/>
  <c r="I72" i="37" s="1"/>
  <c r="G71" i="37"/>
  <c r="H71" i="37" s="1"/>
  <c r="I71" i="37" s="1"/>
  <c r="G70" i="37"/>
  <c r="H70" i="37" s="1"/>
  <c r="I70" i="37" s="1"/>
  <c r="G69" i="37"/>
  <c r="H69" i="37" s="1"/>
  <c r="I69" i="37" s="1"/>
  <c r="G68" i="37"/>
  <c r="H68" i="37" s="1"/>
  <c r="I68" i="37" s="1"/>
  <c r="G67" i="37"/>
  <c r="H67" i="37" s="1"/>
  <c r="I67" i="37" s="1"/>
  <c r="G66" i="37"/>
  <c r="H66" i="37" s="1"/>
  <c r="I66" i="37" s="1"/>
  <c r="G65" i="37"/>
  <c r="H65" i="37" s="1"/>
  <c r="I65" i="37" s="1"/>
  <c r="G64" i="37"/>
  <c r="H64" i="37" s="1"/>
  <c r="I64" i="37" s="1"/>
  <c r="G62" i="37"/>
  <c r="H62" i="37" s="1"/>
  <c r="I62" i="37" s="1"/>
  <c r="G61" i="37"/>
  <c r="H61" i="37" s="1"/>
  <c r="I61" i="37" s="1"/>
  <c r="G60" i="37"/>
  <c r="H60" i="37" s="1"/>
  <c r="I60" i="37" s="1"/>
  <c r="G59" i="37"/>
  <c r="H59" i="37" s="1"/>
  <c r="I59" i="37" s="1"/>
  <c r="G57" i="37"/>
  <c r="H57" i="37" s="1"/>
  <c r="G56" i="37"/>
  <c r="H56" i="37" s="1"/>
  <c r="G55" i="37"/>
  <c r="H55" i="37" s="1"/>
  <c r="I55" i="37" s="1"/>
  <c r="G54" i="37"/>
  <c r="H54" i="37" s="1"/>
  <c r="G53" i="37"/>
  <c r="H53" i="37" s="1"/>
  <c r="I53" i="37" s="1"/>
  <c r="G52" i="37"/>
  <c r="H52" i="37" s="1"/>
  <c r="G51" i="37"/>
  <c r="H51" i="37" s="1"/>
  <c r="G50" i="37"/>
  <c r="H50" i="37" s="1"/>
  <c r="G49" i="37"/>
  <c r="H49" i="37" s="1"/>
  <c r="G48" i="37"/>
  <c r="H48" i="37" s="1"/>
  <c r="G47" i="37"/>
  <c r="H47" i="37" s="1"/>
  <c r="G46" i="37"/>
  <c r="H46" i="37" s="1"/>
  <c r="I46" i="37" s="1"/>
  <c r="G45" i="37"/>
  <c r="H45" i="37" s="1"/>
  <c r="I45" i="37" s="1"/>
  <c r="G44" i="37"/>
  <c r="H44" i="37" s="1"/>
  <c r="I44" i="37" s="1"/>
  <c r="G42" i="37"/>
  <c r="H42" i="37" s="1"/>
  <c r="I42" i="37" s="1"/>
  <c r="G40" i="37"/>
  <c r="H40" i="37" s="1"/>
  <c r="G39" i="37"/>
  <c r="H39" i="37" s="1"/>
  <c r="I39" i="37" s="1"/>
  <c r="G37" i="37"/>
  <c r="H37" i="37" s="1"/>
  <c r="I37" i="37" s="1"/>
  <c r="G36" i="37"/>
  <c r="H36" i="37" s="1"/>
  <c r="I36" i="37" s="1"/>
  <c r="G34" i="37"/>
  <c r="H34" i="37" s="1"/>
  <c r="G33" i="37"/>
  <c r="H33" i="37" s="1"/>
  <c r="I33" i="37" s="1"/>
  <c r="G30" i="37"/>
  <c r="H30" i="37" s="1"/>
  <c r="I30" i="37" s="1"/>
  <c r="G29" i="37"/>
  <c r="H29" i="37" s="1"/>
  <c r="I29" i="37" s="1"/>
  <c r="G26" i="37"/>
  <c r="H26" i="37" s="1"/>
  <c r="I26" i="37" s="1"/>
  <c r="G25" i="37"/>
  <c r="H25" i="37" s="1"/>
  <c r="I25" i="37" s="1"/>
  <c r="G24" i="37"/>
  <c r="H24" i="37" s="1"/>
  <c r="I24" i="37" s="1"/>
  <c r="G23" i="37"/>
  <c r="H23" i="37" s="1"/>
  <c r="I23" i="37" s="1"/>
  <c r="G21" i="37"/>
  <c r="H21" i="37" s="1"/>
  <c r="I21" i="37" s="1"/>
  <c r="G19" i="37"/>
  <c r="H19" i="37" s="1"/>
  <c r="I19" i="37" s="1"/>
  <c r="G18" i="37"/>
  <c r="H18" i="37" s="1"/>
  <c r="I18" i="37" s="1"/>
  <c r="G14" i="37"/>
  <c r="H14" i="37" s="1"/>
  <c r="I14" i="37" s="1"/>
  <c r="G13" i="37"/>
  <c r="H13" i="37" s="1"/>
  <c r="I13" i="37" s="1"/>
  <c r="G12" i="37"/>
  <c r="H12" i="37" s="1"/>
  <c r="I12" i="37" s="1"/>
  <c r="G11" i="37"/>
  <c r="H11" i="37" s="1"/>
  <c r="I11" i="37" s="1"/>
  <c r="G9" i="37"/>
  <c r="H9" i="37" s="1"/>
  <c r="I9" i="37" s="1"/>
  <c r="G7" i="37"/>
  <c r="H7" i="37" s="1"/>
  <c r="I7" i="37" s="1"/>
  <c r="G6" i="37"/>
  <c r="H6" i="37" s="1"/>
  <c r="I6" i="37" s="1"/>
  <c r="G5" i="37"/>
  <c r="H5" i="37" s="1"/>
  <c r="I5" i="37" s="1"/>
  <c r="G4" i="37"/>
  <c r="H4" i="37" s="1"/>
  <c r="I4" i="37" s="1"/>
  <c r="E73" i="36"/>
  <c r="G4" i="36"/>
  <c r="H4" i="36" s="1"/>
  <c r="I4" i="36" s="1"/>
  <c r="G5" i="36"/>
  <c r="H5" i="36" s="1"/>
  <c r="I5" i="36" s="1"/>
  <c r="G6" i="36"/>
  <c r="H6" i="36" s="1"/>
  <c r="I6" i="36" s="1"/>
  <c r="G7" i="36"/>
  <c r="H7" i="36" s="1"/>
  <c r="I7" i="36" s="1"/>
  <c r="G9" i="36"/>
  <c r="H9" i="36" s="1"/>
  <c r="I9" i="36" s="1"/>
  <c r="G11" i="36"/>
  <c r="H11" i="36" s="1"/>
  <c r="I11" i="36" s="1"/>
  <c r="G12" i="36"/>
  <c r="H12" i="36" s="1"/>
  <c r="I12" i="36" s="1"/>
  <c r="G13" i="36"/>
  <c r="H13" i="36" s="1"/>
  <c r="I13" i="36" s="1"/>
  <c r="G14" i="36"/>
  <c r="H14" i="36" s="1"/>
  <c r="I14" i="36" s="1"/>
  <c r="G18" i="36"/>
  <c r="H18" i="36" s="1"/>
  <c r="I18" i="36" s="1"/>
  <c r="G19" i="36"/>
  <c r="H19" i="36" s="1"/>
  <c r="I19" i="36" s="1"/>
  <c r="G21" i="36"/>
  <c r="H21" i="36" s="1"/>
  <c r="I21" i="36" s="1"/>
  <c r="G23" i="36"/>
  <c r="H23" i="36" s="1"/>
  <c r="I23" i="36" s="1"/>
  <c r="G24" i="36"/>
  <c r="H24" i="36" s="1"/>
  <c r="I24" i="36" s="1"/>
  <c r="G25" i="36"/>
  <c r="H25" i="36" s="1"/>
  <c r="I25" i="36" s="1"/>
  <c r="H26" i="36"/>
  <c r="I26" i="36" s="1"/>
  <c r="H27" i="36"/>
  <c r="I27" i="36" s="1"/>
  <c r="H29" i="36"/>
  <c r="I29" i="36" s="1"/>
  <c r="H30" i="36"/>
  <c r="I30" i="36" s="1"/>
  <c r="H31" i="36"/>
  <c r="I31" i="36" s="1"/>
  <c r="H33" i="36"/>
  <c r="I33" i="36" s="1"/>
  <c r="H34" i="36"/>
  <c r="H35" i="36"/>
  <c r="I35" i="36" s="1"/>
  <c r="H38" i="36"/>
  <c r="I38" i="36" s="1"/>
  <c r="H39" i="36"/>
  <c r="I39" i="36" s="1"/>
  <c r="H41" i="36"/>
  <c r="I41" i="36" s="1"/>
  <c r="H42" i="36"/>
  <c r="I42" i="36" s="1"/>
  <c r="H43" i="36"/>
  <c r="I43" i="36" s="1"/>
  <c r="H45" i="36"/>
  <c r="I45" i="36" s="1"/>
  <c r="H46" i="36"/>
  <c r="I46" i="36" s="1"/>
  <c r="H49" i="36"/>
  <c r="H50" i="36"/>
  <c r="H51" i="36"/>
  <c r="H53" i="36"/>
  <c r="I53" i="36" s="1"/>
  <c r="H55" i="36"/>
  <c r="I55" i="36" s="1"/>
  <c r="H57" i="36"/>
  <c r="H58" i="36"/>
  <c r="I58" i="36" s="1"/>
  <c r="H59" i="36"/>
  <c r="I59" i="36" s="1"/>
  <c r="H62" i="36"/>
  <c r="I62" i="36" s="1"/>
  <c r="H63" i="36"/>
  <c r="I63" i="36" s="1"/>
  <c r="H65" i="36"/>
  <c r="I65" i="36" s="1"/>
  <c r="H66" i="36"/>
  <c r="I66" i="36" s="1"/>
  <c r="H67" i="36"/>
  <c r="I67" i="36" s="1"/>
  <c r="H68" i="36"/>
  <c r="I68" i="36" s="1"/>
  <c r="H69" i="36"/>
  <c r="I69" i="36" s="1"/>
  <c r="H70" i="36"/>
  <c r="I70" i="36" s="1"/>
  <c r="H71" i="36"/>
  <c r="I71" i="36" s="1"/>
  <c r="H73" i="36"/>
  <c r="I73" i="36" s="1"/>
  <c r="H74" i="36"/>
  <c r="I74" i="36" s="1"/>
  <c r="H75" i="36"/>
  <c r="I75" i="36" s="1"/>
  <c r="H76" i="36"/>
  <c r="I76" i="36" s="1"/>
  <c r="H77" i="36"/>
  <c r="I77" i="36" s="1"/>
  <c r="H78" i="36"/>
  <c r="I78" i="36" s="1"/>
  <c r="H79" i="36"/>
  <c r="I79" i="36" s="1"/>
  <c r="H81" i="36"/>
  <c r="I81" i="36" s="1"/>
  <c r="H82" i="36"/>
  <c r="I82" i="36" s="1"/>
  <c r="H83" i="36"/>
  <c r="I83" i="36" s="1"/>
  <c r="H84" i="36"/>
  <c r="I84" i="36" s="1"/>
  <c r="H85" i="36"/>
  <c r="I85" i="36" s="1"/>
  <c r="H86" i="36"/>
  <c r="I86" i="36" s="1"/>
  <c r="H87" i="36"/>
  <c r="I87" i="36" s="1"/>
  <c r="H47" i="36"/>
  <c r="H3" i="35"/>
  <c r="I3" i="35" s="1"/>
  <c r="H53" i="35"/>
  <c r="I53" i="35" s="1"/>
  <c r="E83" i="36"/>
  <c r="E81" i="36"/>
  <c r="H80" i="36"/>
  <c r="I80" i="36" s="1"/>
  <c r="E80" i="36"/>
  <c r="E79" i="36"/>
  <c r="E78" i="36"/>
  <c r="E75" i="36"/>
  <c r="E74" i="36"/>
  <c r="H72" i="36"/>
  <c r="I72" i="36" s="1"/>
  <c r="E72" i="36"/>
  <c r="E71" i="36"/>
  <c r="E70" i="36"/>
  <c r="E68" i="36"/>
  <c r="E67" i="36"/>
  <c r="E66" i="36"/>
  <c r="E65" i="36"/>
  <c r="H64" i="36"/>
  <c r="I64" i="36" s="1"/>
  <c r="H61" i="36"/>
  <c r="I61" i="36" s="1"/>
  <c r="E61" i="36"/>
  <c r="H60" i="36"/>
  <c r="I60" i="36" s="1"/>
  <c r="H56" i="36"/>
  <c r="E56" i="36"/>
  <c r="E57" i="36" s="1"/>
  <c r="H54" i="36"/>
  <c r="E53" i="36"/>
  <c r="E54" i="36" s="1"/>
  <c r="H52" i="36"/>
  <c r="H48" i="36"/>
  <c r="E47" i="36"/>
  <c r="E48" i="36" s="1"/>
  <c r="E49" i="36" s="1"/>
  <c r="E50" i="36" s="1"/>
  <c r="E51" i="36" s="1"/>
  <c r="E52" i="36" s="1"/>
  <c r="H44" i="36"/>
  <c r="I44" i="36" s="1"/>
  <c r="H40" i="36"/>
  <c r="E40" i="36"/>
  <c r="H37" i="36"/>
  <c r="I37" i="36" s="1"/>
  <c r="H36" i="36"/>
  <c r="I36" i="36" s="1"/>
  <c r="E34" i="36"/>
  <c r="H32" i="36"/>
  <c r="I32" i="36" s="1"/>
  <c r="H28" i="36"/>
  <c r="I28" i="36" s="1"/>
  <c r="E5" i="36"/>
  <c r="H87" i="35"/>
  <c r="I87" i="35" s="1"/>
  <c r="H86" i="35"/>
  <c r="I86" i="35" s="1"/>
  <c r="H85" i="35"/>
  <c r="I85" i="35" s="1"/>
  <c r="H84" i="35"/>
  <c r="I84" i="35" s="1"/>
  <c r="H83" i="35"/>
  <c r="I83" i="35" s="1"/>
  <c r="E83" i="35"/>
  <c r="H82" i="35"/>
  <c r="I82" i="35" s="1"/>
  <c r="H81" i="35"/>
  <c r="I81" i="35" s="1"/>
  <c r="E81" i="35"/>
  <c r="H80" i="35"/>
  <c r="I80" i="35" s="1"/>
  <c r="E80" i="35"/>
  <c r="H79" i="35"/>
  <c r="I79" i="35" s="1"/>
  <c r="E79" i="35"/>
  <c r="H78" i="35"/>
  <c r="I78" i="35" s="1"/>
  <c r="E78" i="35"/>
  <c r="H77" i="35"/>
  <c r="I77" i="35" s="1"/>
  <c r="H76" i="35"/>
  <c r="I76" i="35" s="1"/>
  <c r="H75" i="35"/>
  <c r="I75" i="35" s="1"/>
  <c r="E75" i="35"/>
  <c r="H74" i="35"/>
  <c r="I74" i="35" s="1"/>
  <c r="E74" i="35"/>
  <c r="H73" i="35"/>
  <c r="I73" i="35" s="1"/>
  <c r="E73" i="35"/>
  <c r="H72" i="35"/>
  <c r="I72" i="35" s="1"/>
  <c r="E72" i="35"/>
  <c r="H71" i="35"/>
  <c r="I71" i="35" s="1"/>
  <c r="E71" i="35"/>
  <c r="H70" i="35"/>
  <c r="I70" i="35" s="1"/>
  <c r="E70" i="35"/>
  <c r="H69" i="35"/>
  <c r="I69" i="35" s="1"/>
  <c r="H68" i="35"/>
  <c r="I68" i="35" s="1"/>
  <c r="E68" i="35"/>
  <c r="H67" i="35"/>
  <c r="I67" i="35" s="1"/>
  <c r="E67" i="35"/>
  <c r="H66" i="35"/>
  <c r="I66" i="35" s="1"/>
  <c r="E66" i="35"/>
  <c r="H65" i="35"/>
  <c r="I65" i="35" s="1"/>
  <c r="E65" i="35"/>
  <c r="H64" i="35"/>
  <c r="I64" i="35" s="1"/>
  <c r="H63" i="35"/>
  <c r="I63" i="35" s="1"/>
  <c r="H62" i="35"/>
  <c r="I62" i="35" s="1"/>
  <c r="H61" i="35"/>
  <c r="I61" i="35" s="1"/>
  <c r="E61" i="35"/>
  <c r="H60" i="35"/>
  <c r="I60" i="35" s="1"/>
  <c r="H59" i="35"/>
  <c r="I59" i="35" s="1"/>
  <c r="H58" i="35"/>
  <c r="I58" i="35" s="1"/>
  <c r="H57" i="35"/>
  <c r="H56" i="35"/>
  <c r="I56" i="35" s="1"/>
  <c r="E56" i="35"/>
  <c r="E57" i="35" s="1"/>
  <c r="H55" i="35"/>
  <c r="I55" i="35" s="1"/>
  <c r="H54" i="35"/>
  <c r="E53" i="35"/>
  <c r="E54" i="35" s="1"/>
  <c r="H52" i="35"/>
  <c r="H51" i="35"/>
  <c r="H50" i="35"/>
  <c r="H49" i="35"/>
  <c r="H48" i="35"/>
  <c r="H47" i="35"/>
  <c r="E47" i="35"/>
  <c r="E48" i="35" s="1"/>
  <c r="E49" i="35" s="1"/>
  <c r="E50" i="35" s="1"/>
  <c r="E51" i="35" s="1"/>
  <c r="E52" i="35" s="1"/>
  <c r="H46" i="35"/>
  <c r="I46" i="35" s="1"/>
  <c r="H45" i="35"/>
  <c r="I45" i="35" s="1"/>
  <c r="H44" i="35"/>
  <c r="I44" i="35" s="1"/>
  <c r="H43" i="35"/>
  <c r="I43" i="35" s="1"/>
  <c r="H42" i="35"/>
  <c r="I42" i="35" s="1"/>
  <c r="H41" i="35"/>
  <c r="I41" i="35" s="1"/>
  <c r="H40" i="35"/>
  <c r="I40" i="35" s="1"/>
  <c r="E40" i="35"/>
  <c r="H39" i="35"/>
  <c r="I39" i="35" s="1"/>
  <c r="H38" i="35"/>
  <c r="I38" i="35" s="1"/>
  <c r="H37" i="35"/>
  <c r="I37" i="35" s="1"/>
  <c r="H36" i="35"/>
  <c r="I36" i="35" s="1"/>
  <c r="H35" i="35"/>
  <c r="I35" i="35" s="1"/>
  <c r="H34" i="35"/>
  <c r="E34" i="35"/>
  <c r="H33" i="35"/>
  <c r="I33" i="35" s="1"/>
  <c r="H32" i="35"/>
  <c r="I32" i="35" s="1"/>
  <c r="H31" i="35"/>
  <c r="I31" i="35" s="1"/>
  <c r="H30" i="35"/>
  <c r="I30" i="35" s="1"/>
  <c r="H29" i="35"/>
  <c r="I29" i="35" s="1"/>
  <c r="H28" i="35"/>
  <c r="I28" i="35" s="1"/>
  <c r="H27" i="35"/>
  <c r="I27" i="35" s="1"/>
  <c r="H26" i="35"/>
  <c r="I26" i="35" s="1"/>
  <c r="H25" i="35"/>
  <c r="I25" i="35" s="1"/>
  <c r="H24" i="35"/>
  <c r="I24" i="35" s="1"/>
  <c r="H23" i="35"/>
  <c r="I23" i="35" s="1"/>
  <c r="H22" i="35"/>
  <c r="I22" i="35" s="1"/>
  <c r="H21" i="35"/>
  <c r="I21" i="35" s="1"/>
  <c r="H20" i="35"/>
  <c r="I20" i="35" s="1"/>
  <c r="H19" i="35"/>
  <c r="I19" i="35" s="1"/>
  <c r="H18" i="35"/>
  <c r="I18" i="35" s="1"/>
  <c r="H17" i="35"/>
  <c r="I17" i="35" s="1"/>
  <c r="H16" i="35"/>
  <c r="I16" i="35" s="1"/>
  <c r="H14" i="35"/>
  <c r="I14" i="35" s="1"/>
  <c r="H13" i="35"/>
  <c r="I13" i="35" s="1"/>
  <c r="H12" i="35"/>
  <c r="I12" i="35" s="1"/>
  <c r="H11" i="35"/>
  <c r="I11" i="35" s="1"/>
  <c r="H10" i="35"/>
  <c r="I10" i="35" s="1"/>
  <c r="H9" i="35"/>
  <c r="I9" i="35" s="1"/>
  <c r="H8" i="35"/>
  <c r="I8" i="35" s="1"/>
  <c r="H7" i="35"/>
  <c r="I7" i="35" s="1"/>
  <c r="H6" i="35"/>
  <c r="I6" i="35" s="1"/>
  <c r="H5" i="35"/>
  <c r="I5" i="35" s="1"/>
  <c r="E5" i="35"/>
  <c r="H4" i="35"/>
  <c r="I4" i="35" s="1"/>
  <c r="H84" i="33"/>
  <c r="I84" i="33" s="1"/>
  <c r="H85" i="33"/>
  <c r="I85" i="33" s="1"/>
  <c r="H86" i="33"/>
  <c r="I86" i="33" s="1"/>
  <c r="H87" i="33"/>
  <c r="I87" i="33" s="1"/>
  <c r="G16" i="36" l="1"/>
  <c r="H16" i="36" s="1"/>
  <c r="I16" i="36" s="1"/>
  <c r="G16" i="43"/>
  <c r="H16" i="43" s="1"/>
  <c r="I16" i="43" s="1"/>
  <c r="G63" i="37"/>
  <c r="H63" i="37" s="1"/>
  <c r="I63" i="37" s="1"/>
  <c r="G63" i="43"/>
  <c r="H63" i="43" s="1"/>
  <c r="I63" i="43" s="1"/>
  <c r="G32" i="37"/>
  <c r="H32" i="37" s="1"/>
  <c r="I32" i="37" s="1"/>
  <c r="G32" i="43"/>
  <c r="H32" i="43" s="1"/>
  <c r="I32" i="43" s="1"/>
  <c r="G8" i="43"/>
  <c r="H8" i="43" s="1"/>
  <c r="I8" i="43" s="1"/>
  <c r="G8" i="37"/>
  <c r="H8" i="37" s="1"/>
  <c r="I8" i="37" s="1"/>
  <c r="H15" i="42"/>
  <c r="I15" i="42" s="1"/>
  <c r="G87" i="37"/>
  <c r="H87" i="37" s="1"/>
  <c r="I87" i="37" s="1"/>
  <c r="H8" i="42"/>
  <c r="I8" i="42" s="1"/>
  <c r="H17" i="42"/>
  <c r="I17" i="42" s="1"/>
  <c r="H63" i="42"/>
  <c r="I63" i="42" s="1"/>
  <c r="H3" i="42"/>
  <c r="I3" i="42" s="1"/>
  <c r="H16" i="42"/>
  <c r="I16" i="42" s="1"/>
  <c r="H32" i="42"/>
  <c r="I32" i="42" s="1"/>
  <c r="H20" i="42"/>
  <c r="I20" i="42" s="1"/>
  <c r="H27" i="42"/>
  <c r="I27" i="42" s="1"/>
  <c r="G8" i="36"/>
  <c r="H8" i="36" s="1"/>
  <c r="I8" i="36" s="1"/>
  <c r="G31" i="37"/>
  <c r="H31" i="37" s="1"/>
  <c r="I31" i="37" s="1"/>
  <c r="G28" i="37"/>
  <c r="H28" i="37" s="1"/>
  <c r="I28" i="37" s="1"/>
  <c r="H15" i="41"/>
  <c r="I15" i="41" s="1"/>
  <c r="G3" i="36"/>
  <c r="H3" i="36" s="1"/>
  <c r="I3" i="36" s="1"/>
  <c r="G35" i="37"/>
  <c r="H35" i="37" s="1"/>
  <c r="I35" i="37" s="1"/>
  <c r="G58" i="37"/>
  <c r="H58" i="37" s="1"/>
  <c r="I58" i="37" s="1"/>
  <c r="H16" i="41"/>
  <c r="I16" i="41" s="1"/>
  <c r="H32" i="41"/>
  <c r="I32" i="41" s="1"/>
  <c r="G41" i="37"/>
  <c r="H41" i="37" s="1"/>
  <c r="I41" i="37" s="1"/>
  <c r="H10" i="41"/>
  <c r="I10" i="41" s="1"/>
  <c r="H63" i="41"/>
  <c r="I63" i="41" s="1"/>
  <c r="H82" i="41"/>
  <c r="I82" i="41" s="1"/>
  <c r="H87" i="41"/>
  <c r="I87" i="41" s="1"/>
  <c r="H20" i="41"/>
  <c r="I20" i="41" s="1"/>
  <c r="G15" i="36"/>
  <c r="H15" i="36" s="1"/>
  <c r="I15" i="36" s="1"/>
  <c r="G16" i="37"/>
  <c r="H16" i="37" s="1"/>
  <c r="I16" i="37" s="1"/>
  <c r="G43" i="37"/>
  <c r="H43" i="37" s="1"/>
  <c r="I43" i="37" s="1"/>
  <c r="G20" i="36"/>
  <c r="H20" i="36" s="1"/>
  <c r="I20" i="36" s="1"/>
  <c r="G27" i="37"/>
  <c r="H27" i="37" s="1"/>
  <c r="I27" i="37" s="1"/>
  <c r="G17" i="36"/>
  <c r="H17" i="36" s="1"/>
  <c r="I17" i="36" s="1"/>
  <c r="H10" i="40"/>
  <c r="I10" i="40" s="1"/>
  <c r="H82" i="40"/>
  <c r="I82" i="40" s="1"/>
  <c r="H35" i="40"/>
  <c r="I35" i="40" s="1"/>
  <c r="H11" i="40"/>
  <c r="I11" i="40" s="1"/>
  <c r="H87" i="40"/>
  <c r="I87" i="40" s="1"/>
  <c r="H63" i="40"/>
  <c r="I63" i="40" s="1"/>
  <c r="H43" i="40"/>
  <c r="I43" i="40" s="1"/>
  <c r="H16" i="40"/>
  <c r="I16" i="40" s="1"/>
  <c r="H20" i="40"/>
  <c r="I20" i="40" s="1"/>
  <c r="H22" i="40"/>
  <c r="I22" i="40" s="1"/>
  <c r="H38" i="40"/>
  <c r="I38" i="40" s="1"/>
  <c r="H3" i="40"/>
  <c r="I3" i="40" s="1"/>
  <c r="H7" i="40"/>
  <c r="I7" i="40" s="1"/>
  <c r="H17" i="40"/>
  <c r="I17" i="40" s="1"/>
  <c r="H27" i="40"/>
  <c r="I27" i="40" s="1"/>
  <c r="G22" i="36"/>
  <c r="H22" i="36" s="1"/>
  <c r="I22" i="36" s="1"/>
  <c r="H10" i="39"/>
  <c r="I10" i="39" s="1"/>
  <c r="G17" i="37"/>
  <c r="H17" i="37" s="1"/>
  <c r="I17" i="37" s="1"/>
  <c r="H16" i="39"/>
  <c r="I16" i="39" s="1"/>
  <c r="H20" i="39"/>
  <c r="I20" i="39" s="1"/>
  <c r="G10" i="36"/>
  <c r="H10" i="36" s="1"/>
  <c r="I10" i="36" s="1"/>
  <c r="G22" i="37"/>
  <c r="H22" i="37" s="1"/>
  <c r="I22" i="37" s="1"/>
  <c r="G38" i="37"/>
  <c r="H38" i="37" s="1"/>
  <c r="I38" i="37" s="1"/>
  <c r="H3" i="39"/>
  <c r="I3" i="39" s="1"/>
  <c r="G3" i="37"/>
  <c r="H3" i="37" s="1"/>
  <c r="I3" i="37" s="1"/>
  <c r="I48" i="38"/>
  <c r="I57" i="38"/>
  <c r="I56" i="37"/>
  <c r="I54" i="37"/>
  <c r="I57" i="37"/>
  <c r="I34" i="37"/>
  <c r="I40" i="36"/>
  <c r="I40" i="37"/>
  <c r="I47" i="37"/>
  <c r="I50" i="37"/>
  <c r="I48" i="37"/>
  <c r="I52" i="37"/>
  <c r="I51" i="37"/>
  <c r="I49" i="37"/>
  <c r="I48" i="36"/>
  <c r="I47" i="36"/>
  <c r="I52" i="36"/>
  <c r="I56" i="36"/>
  <c r="I34" i="36"/>
  <c r="I49" i="36"/>
  <c r="I50" i="36"/>
  <c r="I57" i="36"/>
  <c r="I51" i="36"/>
  <c r="I54" i="36"/>
  <c r="H15" i="35"/>
  <c r="I15" i="35" s="1"/>
  <c r="I34" i="35"/>
  <c r="I47" i="35"/>
  <c r="I48" i="35"/>
  <c r="I52" i="35"/>
  <c r="I49" i="35"/>
  <c r="I50" i="35"/>
  <c r="I57" i="35"/>
  <c r="I51" i="35"/>
  <c r="I54" i="35"/>
  <c r="H4" i="33"/>
  <c r="I4" i="33" s="1"/>
  <c r="H5" i="33"/>
  <c r="I5" i="33" s="1"/>
  <c r="H6" i="33"/>
  <c r="I6" i="33" s="1"/>
  <c r="H7" i="33"/>
  <c r="I7" i="33" s="1"/>
  <c r="H8" i="33"/>
  <c r="I8" i="33" s="1"/>
  <c r="H9" i="33"/>
  <c r="I9" i="33" s="1"/>
  <c r="H10" i="33"/>
  <c r="I10" i="33" s="1"/>
  <c r="H11" i="33"/>
  <c r="I11" i="33" s="1"/>
  <c r="H12" i="33"/>
  <c r="I12" i="33" s="1"/>
  <c r="H13" i="33"/>
  <c r="I13" i="33" s="1"/>
  <c r="H14" i="33"/>
  <c r="I14" i="33" s="1"/>
  <c r="H16" i="33"/>
  <c r="I16" i="33" s="1"/>
  <c r="H17" i="33"/>
  <c r="I17" i="33" s="1"/>
  <c r="H18" i="33"/>
  <c r="I18" i="33" s="1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H25" i="33"/>
  <c r="I25" i="33" s="1"/>
  <c r="H26" i="33"/>
  <c r="I26" i="33" s="1"/>
  <c r="H27" i="33"/>
  <c r="I27" i="33" s="1"/>
  <c r="H28" i="33"/>
  <c r="I28" i="33" s="1"/>
  <c r="H29" i="33"/>
  <c r="I29" i="33" s="1"/>
  <c r="H30" i="33"/>
  <c r="I30" i="33" s="1"/>
  <c r="H31" i="33"/>
  <c r="I31" i="33" s="1"/>
  <c r="H32" i="33"/>
  <c r="I32" i="33" s="1"/>
  <c r="H33" i="33"/>
  <c r="I33" i="33" s="1"/>
  <c r="H34" i="33"/>
  <c r="H35" i="33"/>
  <c r="I35" i="33" s="1"/>
  <c r="H36" i="33"/>
  <c r="I36" i="33" s="1"/>
  <c r="H37" i="33"/>
  <c r="I37" i="33" s="1"/>
  <c r="H38" i="33"/>
  <c r="I38" i="33" s="1"/>
  <c r="H39" i="33"/>
  <c r="I39" i="33" s="1"/>
  <c r="H40" i="33"/>
  <c r="H41" i="33"/>
  <c r="I41" i="33" s="1"/>
  <c r="H42" i="33"/>
  <c r="I42" i="33" s="1"/>
  <c r="H43" i="33"/>
  <c r="I43" i="33" s="1"/>
  <c r="H44" i="33"/>
  <c r="I44" i="33" s="1"/>
  <c r="H45" i="33"/>
  <c r="I45" i="33" s="1"/>
  <c r="H46" i="33"/>
  <c r="I46" i="33" s="1"/>
  <c r="H47" i="33"/>
  <c r="H48" i="33"/>
  <c r="H49" i="33"/>
  <c r="H50" i="33"/>
  <c r="H51" i="33"/>
  <c r="H52" i="33"/>
  <c r="H53" i="33"/>
  <c r="I53" i="33" s="1"/>
  <c r="H54" i="33"/>
  <c r="H55" i="33"/>
  <c r="I55" i="33" s="1"/>
  <c r="H56" i="33"/>
  <c r="H57" i="33"/>
  <c r="H58" i="33"/>
  <c r="I58" i="33" s="1"/>
  <c r="H59" i="33"/>
  <c r="I59" i="33" s="1"/>
  <c r="H60" i="33"/>
  <c r="I60" i="33" s="1"/>
  <c r="H61" i="33"/>
  <c r="I61" i="33" s="1"/>
  <c r="H62" i="33"/>
  <c r="I62" i="33" s="1"/>
  <c r="H63" i="33"/>
  <c r="I63" i="33" s="1"/>
  <c r="H64" i="33"/>
  <c r="I64" i="33" s="1"/>
  <c r="H65" i="33"/>
  <c r="I65" i="33" s="1"/>
  <c r="H66" i="33"/>
  <c r="I66" i="33" s="1"/>
  <c r="H67" i="33"/>
  <c r="I67" i="33" s="1"/>
  <c r="H68" i="33"/>
  <c r="I68" i="33" s="1"/>
  <c r="H69" i="33"/>
  <c r="I69" i="33" s="1"/>
  <c r="H70" i="33"/>
  <c r="I70" i="33" s="1"/>
  <c r="H71" i="33"/>
  <c r="I71" i="33" s="1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3" i="33"/>
  <c r="I3" i="33" s="1"/>
  <c r="E83" i="33"/>
  <c r="E81" i="33"/>
  <c r="E80" i="33"/>
  <c r="E79" i="33"/>
  <c r="E78" i="33"/>
  <c r="E75" i="33"/>
  <c r="E74" i="33"/>
  <c r="E73" i="33"/>
  <c r="E72" i="33"/>
  <c r="E71" i="33"/>
  <c r="E70" i="33"/>
  <c r="E68" i="33"/>
  <c r="E67" i="33"/>
  <c r="E66" i="33"/>
  <c r="E65" i="33"/>
  <c r="E61" i="33"/>
  <c r="E56" i="33"/>
  <c r="E57" i="33" s="1"/>
  <c r="E54" i="33"/>
  <c r="E53" i="33"/>
  <c r="E47" i="33"/>
  <c r="E48" i="33" s="1"/>
  <c r="E49" i="33" s="1"/>
  <c r="E50" i="33" s="1"/>
  <c r="E51" i="33" s="1"/>
  <c r="E52" i="33" s="1"/>
  <c r="E40" i="33"/>
  <c r="E34" i="33"/>
  <c r="E5" i="33"/>
  <c r="E83" i="32"/>
  <c r="E81" i="32"/>
  <c r="E80" i="32"/>
  <c r="E79" i="32"/>
  <c r="E78" i="32"/>
  <c r="E76" i="32"/>
  <c r="E75" i="32"/>
  <c r="E74" i="32"/>
  <c r="E73" i="32"/>
  <c r="E72" i="32"/>
  <c r="E71" i="32"/>
  <c r="E70" i="32"/>
  <c r="E68" i="32"/>
  <c r="E67" i="32"/>
  <c r="E66" i="32"/>
  <c r="E65" i="32"/>
  <c r="E63" i="32"/>
  <c r="E61" i="32"/>
  <c r="E60" i="32"/>
  <c r="E56" i="32"/>
  <c r="E54" i="32"/>
  <c r="E53" i="32"/>
  <c r="E47" i="32"/>
  <c r="E40" i="32"/>
  <c r="E34" i="32"/>
  <c r="E5" i="32"/>
  <c r="E36" i="20"/>
  <c r="E59" i="19"/>
  <c r="E35" i="30"/>
  <c r="E58" i="30"/>
  <c r="E58" i="29"/>
  <c r="E58" i="28"/>
  <c r="E35" i="28"/>
  <c r="E35" i="27"/>
  <c r="E58" i="27"/>
  <c r="E59" i="26"/>
  <c r="E59" i="25"/>
  <c r="E59" i="24"/>
  <c r="E59" i="23"/>
  <c r="E59" i="22"/>
  <c r="E59" i="21"/>
  <c r="I49" i="38" l="1"/>
  <c r="H15" i="33"/>
  <c r="I15" i="33" s="1"/>
  <c r="I51" i="33"/>
  <c r="I54" i="33"/>
  <c r="I50" i="33"/>
  <c r="I34" i="33"/>
  <c r="I47" i="33"/>
  <c r="I57" i="33"/>
  <c r="I49" i="33"/>
  <c r="I56" i="33"/>
  <c r="I52" i="33"/>
  <c r="I48" i="33"/>
  <c r="I40" i="33"/>
  <c r="E48" i="32"/>
  <c r="E57" i="32"/>
  <c r="E59" i="20"/>
  <c r="I50" i="38" l="1"/>
  <c r="E49" i="32"/>
  <c r="E83" i="31"/>
  <c r="E81" i="31"/>
  <c r="E80" i="31"/>
  <c r="E79" i="31"/>
  <c r="E78" i="31"/>
  <c r="E76" i="31"/>
  <c r="E75" i="31"/>
  <c r="E74" i="31"/>
  <c r="E73" i="31"/>
  <c r="E72" i="31"/>
  <c r="E71" i="31"/>
  <c r="E70" i="31"/>
  <c r="E68" i="31"/>
  <c r="E67" i="31"/>
  <c r="E66" i="31"/>
  <c r="E65" i="31"/>
  <c r="E63" i="31"/>
  <c r="E61" i="31"/>
  <c r="E60" i="31"/>
  <c r="E56" i="31"/>
  <c r="E57" i="31" s="1"/>
  <c r="E54" i="31"/>
  <c r="E53" i="31"/>
  <c r="E47" i="31"/>
  <c r="E48" i="31" s="1"/>
  <c r="E49" i="31" s="1"/>
  <c r="E50" i="31" s="1"/>
  <c r="E51" i="31" s="1"/>
  <c r="E52" i="31" s="1"/>
  <c r="E40" i="31"/>
  <c r="E34" i="31"/>
  <c r="E5" i="31"/>
  <c r="E83" i="30"/>
  <c r="E81" i="30"/>
  <c r="E80" i="30"/>
  <c r="E79" i="30"/>
  <c r="E78" i="30"/>
  <c r="E76" i="30"/>
  <c r="E75" i="30"/>
  <c r="E74" i="30"/>
  <c r="E73" i="30"/>
  <c r="E72" i="30"/>
  <c r="E71" i="30"/>
  <c r="E70" i="30"/>
  <c r="E68" i="30"/>
  <c r="E67" i="30"/>
  <c r="E66" i="30"/>
  <c r="E65" i="30"/>
  <c r="E63" i="30"/>
  <c r="E61" i="30"/>
  <c r="E60" i="30"/>
  <c r="E56" i="30"/>
  <c r="E57" i="30" s="1"/>
  <c r="E54" i="30"/>
  <c r="E53" i="30"/>
  <c r="E47" i="30"/>
  <c r="E48" i="30" s="1"/>
  <c r="E49" i="30" s="1"/>
  <c r="E50" i="30" s="1"/>
  <c r="E51" i="30" s="1"/>
  <c r="E52" i="30" s="1"/>
  <c r="E40" i="30"/>
  <c r="E34" i="30"/>
  <c r="G22" i="30"/>
  <c r="H7" i="30"/>
  <c r="E5" i="30"/>
  <c r="H3" i="30"/>
  <c r="E83" i="29"/>
  <c r="E81" i="29"/>
  <c r="E80" i="29"/>
  <c r="E79" i="29"/>
  <c r="E78" i="29"/>
  <c r="E76" i="29"/>
  <c r="E75" i="29"/>
  <c r="E74" i="29"/>
  <c r="E73" i="29"/>
  <c r="E72" i="29"/>
  <c r="E71" i="29"/>
  <c r="E70" i="29"/>
  <c r="E68" i="29"/>
  <c r="E67" i="29"/>
  <c r="E66" i="29"/>
  <c r="E65" i="29"/>
  <c r="E63" i="29"/>
  <c r="E61" i="29"/>
  <c r="E60" i="29"/>
  <c r="E56" i="29"/>
  <c r="E57" i="29" s="1"/>
  <c r="E53" i="29"/>
  <c r="E54" i="29" s="1"/>
  <c r="E47" i="29"/>
  <c r="E48" i="29" s="1"/>
  <c r="E49" i="29" s="1"/>
  <c r="E50" i="29" s="1"/>
  <c r="E51" i="29" s="1"/>
  <c r="E52" i="29" s="1"/>
  <c r="E40" i="29"/>
  <c r="E34" i="29"/>
  <c r="G22" i="29"/>
  <c r="H7" i="29"/>
  <c r="E5" i="29"/>
  <c r="H3" i="29"/>
  <c r="E83" i="28"/>
  <c r="E81" i="28"/>
  <c r="I52" i="38" l="1"/>
  <c r="I51" i="38"/>
  <c r="E50" i="32"/>
  <c r="E80" i="28"/>
  <c r="E79" i="28"/>
  <c r="E78" i="28"/>
  <c r="E76" i="28"/>
  <c r="E75" i="28"/>
  <c r="E74" i="28"/>
  <c r="E73" i="28"/>
  <c r="E72" i="28"/>
  <c r="E71" i="28"/>
  <c r="E70" i="28"/>
  <c r="E68" i="28"/>
  <c r="E67" i="28"/>
  <c r="E66" i="28"/>
  <c r="E65" i="28"/>
  <c r="E63" i="28"/>
  <c r="E61" i="28"/>
  <c r="E60" i="28"/>
  <c r="E56" i="28"/>
  <c r="E57" i="28" s="1"/>
  <c r="E53" i="28"/>
  <c r="E54" i="28" s="1"/>
  <c r="E47" i="28"/>
  <c r="E48" i="28" s="1"/>
  <c r="E49" i="28" s="1"/>
  <c r="E50" i="28" s="1"/>
  <c r="E51" i="28" s="1"/>
  <c r="E52" i="28" s="1"/>
  <c r="E40" i="28"/>
  <c r="E34" i="28"/>
  <c r="G22" i="28"/>
  <c r="H7" i="28"/>
  <c r="E5" i="28"/>
  <c r="H3" i="28"/>
  <c r="E5" i="27"/>
  <c r="E80" i="27"/>
  <c r="E79" i="27"/>
  <c r="E70" i="27"/>
  <c r="E53" i="27"/>
  <c r="E76" i="27"/>
  <c r="E78" i="27"/>
  <c r="E75" i="27"/>
  <c r="E74" i="27"/>
  <c r="E72" i="27"/>
  <c r="E73" i="27"/>
  <c r="E66" i="27"/>
  <c r="E65" i="27"/>
  <c r="E63" i="27"/>
  <c r="E71" i="27"/>
  <c r="E67" i="27"/>
  <c r="E60" i="27"/>
  <c r="E61" i="27"/>
  <c r="E40" i="27"/>
  <c r="E47" i="27"/>
  <c r="E48" i="27"/>
  <c r="E49" i="27" s="1"/>
  <c r="E50" i="27" s="1"/>
  <c r="E51" i="27" s="1"/>
  <c r="E52" i="27" s="1"/>
  <c r="E56" i="27"/>
  <c r="E57" i="27"/>
  <c r="E4" i="27"/>
  <c r="E34" i="27"/>
  <c r="E54" i="27"/>
  <c r="E68" i="27"/>
  <c r="H7" i="27"/>
  <c r="G22" i="27"/>
  <c r="H3" i="27"/>
  <c r="G23" i="26"/>
  <c r="E41" i="26"/>
  <c r="E48" i="26"/>
  <c r="E49" i="26"/>
  <c r="E50" i="26" s="1"/>
  <c r="E51" i="26" s="1"/>
  <c r="E52" i="26" s="1"/>
  <c r="E53" i="26" s="1"/>
  <c r="E57" i="26"/>
  <c r="E58" i="26" s="1"/>
  <c r="E4" i="26"/>
  <c r="E5" i="26"/>
  <c r="E35" i="26"/>
  <c r="E55" i="26"/>
  <c r="H8" i="26"/>
  <c r="H3" i="26"/>
  <c r="F65" i="25"/>
  <c r="E57" i="25"/>
  <c r="E58" i="25"/>
  <c r="E55" i="25"/>
  <c r="E48" i="25"/>
  <c r="E49" i="25"/>
  <c r="E50" i="25"/>
  <c r="E51" i="25"/>
  <c r="E52" i="25" s="1"/>
  <c r="E53" i="25" s="1"/>
  <c r="E41" i="25"/>
  <c r="E35" i="25"/>
  <c r="H8" i="25"/>
  <c r="E5" i="25"/>
  <c r="E4" i="25"/>
  <c r="H3" i="25"/>
  <c r="F65" i="24"/>
  <c r="E57" i="24"/>
  <c r="E58" i="24" s="1"/>
  <c r="E55" i="24"/>
  <c r="E48" i="24"/>
  <c r="E49" i="24" s="1"/>
  <c r="E50" i="24" s="1"/>
  <c r="E51" i="24" s="1"/>
  <c r="E52" i="24" s="1"/>
  <c r="E53" i="24" s="1"/>
  <c r="E41" i="24"/>
  <c r="E35" i="24"/>
  <c r="H8" i="24"/>
  <c r="E5" i="24"/>
  <c r="E4" i="24"/>
  <c r="H3" i="24"/>
  <c r="F65" i="23"/>
  <c r="E57" i="23"/>
  <c r="E58" i="23" s="1"/>
  <c r="E55" i="23"/>
  <c r="E48" i="23"/>
  <c r="E49" i="23" s="1"/>
  <c r="E50" i="23" s="1"/>
  <c r="E51" i="23" s="1"/>
  <c r="E52" i="23" s="1"/>
  <c r="E53" i="23" s="1"/>
  <c r="E41" i="23"/>
  <c r="E35" i="23"/>
  <c r="H8" i="23"/>
  <c r="E5" i="23"/>
  <c r="E4" i="23"/>
  <c r="H3" i="23"/>
  <c r="F65" i="22"/>
  <c r="E57" i="22"/>
  <c r="E58" i="22" s="1"/>
  <c r="E55" i="22"/>
  <c r="E48" i="22"/>
  <c r="E49" i="22"/>
  <c r="E50" i="22"/>
  <c r="E51" i="22"/>
  <c r="E52" i="22" s="1"/>
  <c r="E53" i="22" s="1"/>
  <c r="E41" i="22"/>
  <c r="E35" i="22"/>
  <c r="H8" i="22"/>
  <c r="E5" i="22"/>
  <c r="E4" i="22"/>
  <c r="H3" i="22"/>
  <c r="F65" i="21"/>
  <c r="E57" i="21"/>
  <c r="E58" i="21" s="1"/>
  <c r="E55" i="21"/>
  <c r="E48" i="21"/>
  <c r="E49" i="21"/>
  <c r="E50" i="21" s="1"/>
  <c r="E51" i="21" s="1"/>
  <c r="E52" i="21" s="1"/>
  <c r="E53" i="21" s="1"/>
  <c r="E41" i="21"/>
  <c r="E35" i="21"/>
  <c r="H8" i="21"/>
  <c r="E5" i="21"/>
  <c r="E4" i="21"/>
  <c r="H3" i="21"/>
  <c r="F65" i="20"/>
  <c r="E57" i="20"/>
  <c r="E58" i="20" s="1"/>
  <c r="E55" i="20"/>
  <c r="E48" i="20"/>
  <c r="E49" i="20" s="1"/>
  <c r="E50" i="20" s="1"/>
  <c r="E51" i="20" s="1"/>
  <c r="E52" i="20" s="1"/>
  <c r="E53" i="20" s="1"/>
  <c r="E41" i="20"/>
  <c r="E35" i="20"/>
  <c r="H8" i="20"/>
  <c r="E5" i="20"/>
  <c r="E4" i="20"/>
  <c r="H3" i="20"/>
  <c r="E57" i="19"/>
  <c r="E58" i="19"/>
  <c r="E48" i="19"/>
  <c r="E49" i="19" s="1"/>
  <c r="E50" i="19" s="1"/>
  <c r="E51" i="19" s="1"/>
  <c r="E52" i="19" s="1"/>
  <c r="E53" i="19" s="1"/>
  <c r="E55" i="19"/>
  <c r="E41" i="19"/>
  <c r="E35" i="19"/>
  <c r="H8" i="19"/>
  <c r="E5" i="19"/>
  <c r="E4" i="19"/>
  <c r="H3" i="19"/>
  <c r="F65" i="18"/>
  <c r="E58" i="18"/>
  <c r="E57" i="18"/>
  <c r="E49" i="18"/>
  <c r="E50" i="18"/>
  <c r="E51" i="18"/>
  <c r="E52" i="18"/>
  <c r="E53" i="18"/>
  <c r="E54" i="18"/>
  <c r="E55" i="18"/>
  <c r="E48" i="18"/>
  <c r="E41" i="18"/>
  <c r="E35" i="18"/>
  <c r="H8" i="18"/>
  <c r="E5" i="18"/>
  <c r="E4" i="18"/>
  <c r="H3" i="18"/>
  <c r="F65" i="17"/>
  <c r="E57" i="17"/>
  <c r="E48" i="17"/>
  <c r="E41" i="17"/>
  <c r="E35" i="17"/>
  <c r="H8" i="17"/>
  <c r="E5" i="17"/>
  <c r="E4" i="17"/>
  <c r="H3" i="17"/>
  <c r="F65" i="16"/>
  <c r="E57" i="16"/>
  <c r="E58" i="16"/>
  <c r="E48" i="16"/>
  <c r="E49" i="16"/>
  <c r="E50" i="16"/>
  <c r="E51" i="16"/>
  <c r="E52" i="16"/>
  <c r="E53" i="16"/>
  <c r="E54" i="16"/>
  <c r="E55" i="16"/>
  <c r="E41" i="16"/>
  <c r="E35" i="16"/>
  <c r="H8" i="16"/>
  <c r="E5" i="16"/>
  <c r="E4" i="16"/>
  <c r="H3" i="16"/>
  <c r="F65" i="15"/>
  <c r="E49" i="17"/>
  <c r="E50" i="17"/>
  <c r="E51" i="17"/>
  <c r="E52" i="17"/>
  <c r="E53" i="17"/>
  <c r="E54" i="17"/>
  <c r="E55" i="17"/>
  <c r="E58" i="17"/>
  <c r="E57" i="15"/>
  <c r="E58" i="15"/>
  <c r="E48" i="15"/>
  <c r="E49" i="15"/>
  <c r="E50" i="15"/>
  <c r="E51" i="15"/>
  <c r="E52" i="15"/>
  <c r="E53" i="15"/>
  <c r="E54" i="15"/>
  <c r="E55" i="15"/>
  <c r="E41" i="15"/>
  <c r="E35" i="15"/>
  <c r="H8" i="15"/>
  <c r="E5" i="15"/>
  <c r="E4" i="15"/>
  <c r="H3" i="15"/>
  <c r="E57" i="14"/>
  <c r="E58" i="14"/>
  <c r="E48" i="14"/>
  <c r="E49" i="14"/>
  <c r="E50" i="14"/>
  <c r="E51" i="14"/>
  <c r="E52" i="14"/>
  <c r="E53" i="14"/>
  <c r="E54" i="14"/>
  <c r="E55" i="14"/>
  <c r="E41" i="14"/>
  <c r="E35" i="14"/>
  <c r="E34" i="14"/>
  <c r="E12" i="14"/>
  <c r="H8" i="14"/>
  <c r="E5" i="14"/>
  <c r="E4" i="14"/>
  <c r="H3" i="14"/>
  <c r="E34" i="13"/>
  <c r="E57" i="13"/>
  <c r="E58" i="13"/>
  <c r="E48" i="13"/>
  <c r="E49" i="13"/>
  <c r="E50" i="13"/>
  <c r="E51" i="13"/>
  <c r="E52" i="13"/>
  <c r="E53" i="13"/>
  <c r="E54" i="13"/>
  <c r="E55" i="13"/>
  <c r="E41" i="13"/>
  <c r="E35" i="13"/>
  <c r="E12" i="13"/>
  <c r="H8" i="13"/>
  <c r="E5" i="13"/>
  <c r="E4" i="13"/>
  <c r="H3" i="13"/>
  <c r="H3" i="12"/>
  <c r="E57" i="12"/>
  <c r="E58" i="12"/>
  <c r="E48" i="12"/>
  <c r="E49" i="12"/>
  <c r="E50" i="12"/>
  <c r="E51" i="12"/>
  <c r="E52" i="12"/>
  <c r="E53" i="12"/>
  <c r="E54" i="12"/>
  <c r="E55" i="12"/>
  <c r="E41" i="12"/>
  <c r="E35" i="12"/>
  <c r="E34" i="12"/>
  <c r="E12" i="12"/>
  <c r="H8" i="12"/>
  <c r="E5" i="12"/>
  <c r="E4" i="12"/>
  <c r="E34" i="11"/>
  <c r="H8" i="11"/>
  <c r="E57" i="11"/>
  <c r="E58" i="11"/>
  <c r="E48" i="11"/>
  <c r="E49" i="11"/>
  <c r="E50" i="11"/>
  <c r="E51" i="11"/>
  <c r="E52" i="11"/>
  <c r="E53" i="11"/>
  <c r="E54" i="11"/>
  <c r="E55" i="11"/>
  <c r="E41" i="11"/>
  <c r="E35" i="11"/>
  <c r="E12" i="11"/>
  <c r="E5" i="11"/>
  <c r="E4" i="11"/>
  <c r="E35" i="10"/>
  <c r="E57" i="10"/>
  <c r="E58" i="10"/>
  <c r="E48" i="10"/>
  <c r="E49" i="10"/>
  <c r="E50" i="10"/>
  <c r="E51" i="10"/>
  <c r="E52" i="10"/>
  <c r="E53" i="10"/>
  <c r="E54" i="10"/>
  <c r="E55" i="10"/>
  <c r="E41" i="10"/>
  <c r="E12" i="10"/>
  <c r="E5" i="10"/>
  <c r="E4" i="10"/>
  <c r="E57" i="9"/>
  <c r="E58" i="9"/>
  <c r="E48" i="9"/>
  <c r="E49" i="9"/>
  <c r="E50" i="9"/>
  <c r="E51" i="9"/>
  <c r="E52" i="9"/>
  <c r="E53" i="9"/>
  <c r="E54" i="9"/>
  <c r="E55" i="9"/>
  <c r="E41" i="9"/>
  <c r="E35" i="9"/>
  <c r="E12" i="9"/>
  <c r="E5" i="9"/>
  <c r="E4" i="9"/>
  <c r="E57" i="8"/>
  <c r="E58" i="8"/>
  <c r="E48" i="8"/>
  <c r="E49" i="8"/>
  <c r="E50" i="8"/>
  <c r="E51" i="8"/>
  <c r="E52" i="8"/>
  <c r="E53" i="8"/>
  <c r="E54" i="8"/>
  <c r="E55" i="8"/>
  <c r="E41" i="8"/>
  <c r="E35" i="8"/>
  <c r="E12" i="8"/>
  <c r="E5" i="8"/>
  <c r="E4" i="8"/>
  <c r="E30" i="7"/>
  <c r="E23" i="7"/>
  <c r="E12" i="7"/>
  <c r="E8" i="7"/>
  <c r="E57" i="7"/>
  <c r="E58" i="7"/>
  <c r="E48" i="7"/>
  <c r="E49" i="7"/>
  <c r="E50" i="7"/>
  <c r="E51" i="7"/>
  <c r="E52" i="7"/>
  <c r="E53" i="7"/>
  <c r="E54" i="7"/>
  <c r="E55" i="7"/>
  <c r="E41" i="7"/>
  <c r="E35" i="7"/>
  <c r="E14" i="7"/>
  <c r="E5" i="7"/>
  <c r="E4" i="7"/>
  <c r="E57" i="6"/>
  <c r="E58" i="6"/>
  <c r="E48" i="6"/>
  <c r="E49" i="6"/>
  <c r="E50" i="6"/>
  <c r="E51" i="6"/>
  <c r="E52" i="6"/>
  <c r="E53" i="6"/>
  <c r="E54" i="6"/>
  <c r="E55" i="6"/>
  <c r="E41" i="6"/>
  <c r="E35" i="6"/>
  <c r="E14" i="6"/>
  <c r="E5" i="6"/>
  <c r="E4" i="6"/>
  <c r="E58" i="5"/>
  <c r="E57" i="5"/>
  <c r="E48" i="5"/>
  <c r="E49" i="5"/>
  <c r="E50" i="5"/>
  <c r="E51" i="5"/>
  <c r="E52" i="5"/>
  <c r="E53" i="5"/>
  <c r="E54" i="5"/>
  <c r="E55" i="5"/>
  <c r="E41" i="5"/>
  <c r="E35" i="5"/>
  <c r="E14" i="5"/>
  <c r="E13" i="5"/>
  <c r="E10" i="5"/>
  <c r="E9" i="5"/>
  <c r="E5" i="5"/>
  <c r="E4" i="5"/>
  <c r="E58" i="4"/>
  <c r="E48" i="4"/>
  <c r="E41" i="4"/>
  <c r="E35" i="4"/>
  <c r="E10" i="4"/>
  <c r="E9" i="4"/>
  <c r="E5" i="4"/>
  <c r="E4" i="4"/>
  <c r="G15" i="4"/>
  <c r="G3" i="4"/>
  <c r="E57" i="4"/>
  <c r="E49" i="4"/>
  <c r="E50" i="4"/>
  <c r="E51" i="4"/>
  <c r="E52" i="4"/>
  <c r="E53" i="4"/>
  <c r="E54" i="4"/>
  <c r="E55" i="4"/>
  <c r="E14" i="4"/>
  <c r="E13" i="4"/>
  <c r="E57" i="3"/>
  <c r="E49" i="3"/>
  <c r="E50" i="3"/>
  <c r="E51" i="3"/>
  <c r="E52" i="3"/>
  <c r="E53" i="3"/>
  <c r="E54" i="3"/>
  <c r="E55" i="3"/>
  <c r="E35" i="3"/>
  <c r="E36" i="3"/>
  <c r="E14" i="3"/>
  <c r="E13" i="3"/>
  <c r="E57" i="2"/>
  <c r="E49" i="2"/>
  <c r="E50" i="2"/>
  <c r="E51" i="2"/>
  <c r="E52" i="2"/>
  <c r="E53" i="2"/>
  <c r="E54" i="2"/>
  <c r="E55" i="2"/>
  <c r="E35" i="2"/>
  <c r="E36" i="2"/>
  <c r="E14" i="2"/>
  <c r="E13" i="2"/>
  <c r="E57" i="1"/>
  <c r="E49" i="1"/>
  <c r="E50" i="1"/>
  <c r="E51" i="1"/>
  <c r="E52" i="1"/>
  <c r="E53" i="1"/>
  <c r="E54" i="1"/>
  <c r="E55" i="1"/>
  <c r="E35" i="1"/>
  <c r="E36" i="1"/>
  <c r="E14" i="1"/>
  <c r="E13" i="1"/>
  <c r="E51" i="32" l="1"/>
  <c r="E52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8195E8A2-D102-433E-A58C-AFE29E526A2C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CFC7C7D9-97C1-4E6C-BBE7-D696D0264442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76566815-6F53-44FD-9672-AC40BADBDB3B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A53639B3-C003-43F6-A226-BB805E1C61EB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CB7B7642-D3D7-41FE-A4DD-E340BE55CF5D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A15CEACB-4EBC-45F0-8F92-17C19989AB9C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37421D74-3CF1-47DC-A310-9E4F0E830512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373270B2-FEB4-4A3E-A2A4-65513A2B2BCC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48E8F875-B82D-497E-BF53-9B3312A95FC8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C94CBC2E-7115-4EA7-8B30-3C9524895B1B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CB14C0F0-7B19-4281-9CA0-0F98EB336C3A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F9A958B2-C8C8-4509-9A9B-8C4352C18A00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00BD59C7-BD46-4272-ACED-3E0401B83B9F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EC1F89DC-44E1-427D-B29D-0382772E5924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49C43D40-5641-4CC8-B977-9261EB6217A3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3019EFF0-DB01-4A35-9429-643CB7C7C47E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EC3BBA97-4EF6-4923-AD69-770355E95F56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B88F0B78-7A9F-4360-9D80-B51E148FF66A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6569C280-D50D-4A0F-8108-BE19954750EE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B006C6E8-3233-4B33-A6EF-D8744ED8CC33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B44C7B1D-E030-48F8-810F-2DC27B71BCCC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91A3C70C-4A01-4539-B51B-547F96D0F30A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9E5881C9-F50C-49D7-A53A-299F73662B60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806F26AD-56BA-4604-97D7-87ED8AB98D1C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8164D121-4E40-41B5-B850-13B0F2479D89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3C1CB953-AE14-46C7-87FE-6483238C4A1F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9681895F-E4E8-4035-BFB1-71965BEB846C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54678206-A9B1-4A7A-8D30-118DAAC53388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A200E2C0-CE1F-4A46-A64A-467D6972FA06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408B4FC5-B8F4-497B-8694-F0C996BB4CEA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FD81C1B8-CF62-4F41-BE65-A2C8D4C00D48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EDBB528E-A781-4AE0-B979-B9AA5DB826B7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350CB8C5-6B78-4F88-A34D-BEE458BDC272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C7214711-5108-4820-ADE9-94CF9E07CDEF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A53268EC-F83B-4890-B043-76F7CF869AFD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3D12A266-78E0-4D6F-9DBB-2DA0EAA8340F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50BC0A74-8F25-4F76-A018-D0AFD8545EFE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018DA5B5-D7E2-4C56-8C4C-A3AA14FA1B56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FA36EF5D-6C52-4158-A0B2-3C22AB1A0DD5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55ABF3A2-70E5-4A03-AF25-FB5E724BD172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8CC307C4-CA3B-4A16-B44C-9279209A3994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F3B80211-DDE3-4E12-96E3-8B56D91946BE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07F0B3D5-2ECE-4DFF-9E64-97A793C9FD18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8144196C-2770-46A5-88E9-4652C094E856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307B035F-5177-4842-980A-C3277667FE23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1200C447-7396-441B-8978-8AE2199532CE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C3478C4F-4CCF-4D74-B3C5-426D3CC69276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42A32291-6B2A-41AD-8BC2-08F1030DC875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A75DCD61-9BF4-4205-AFC2-1EDFD8CDA983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5" authorId="0" shapeId="0" xr:uid="{228ADE0B-53EC-48C1-AAC9-DFB60733AB72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6" authorId="0" shapeId="0" xr:uid="{ADFA787C-31D5-403D-BF42-0532E43051C0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B9B5C599-E134-4DC5-81AD-BF070651D3FF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A8B80B5C-751D-4A5A-964A-2ED2F4C09F08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6D58D554-FA58-477E-82C3-A2B8E9252A30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38B190E3-285F-4D7F-AE8A-D9EFF0720879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58" authorId="0" shapeId="0" xr:uid="{81C40755-25A8-4B1D-B2EF-B23C9E806229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F787E495-D0AB-484B-9C86-B45E6C8F39F3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D204A5B3-211D-434A-BF42-18463A957697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7AE8E014-F903-4DF8-90CE-0E373208A29D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8138AC3E-68B7-4EA4-A5DE-64015E52F114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08D3FCAD-613B-4867-AD77-51782C3E9FF3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055DD223-000C-464B-8343-268D57B0764C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5C0A057F-1154-45F6-88EE-3D3213DDAB37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CEFEADF4-0327-4BB0-B5D7-C92C768B35F3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87B7A17F-7DE4-40CD-BB41-5C315D1D05D1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9865E01F-9CE0-4701-A949-2FB16C0BC5B3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1633CE43-44E4-46C5-B05A-F7AADA7D6D3A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FD8A08DD-D5F5-4076-A120-3B502461B2C5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480E7707-BB8A-4B83-8DEA-40D6D1A01631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460765AD-6882-4818-AA0F-AF43F224C540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9D4D9F52-C85B-4832-AEA6-56BE171E509B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BF3C9AAA-84C4-4205-A6BC-39390E5C0E2B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9FCC4F45-1A47-4654-AEE9-98FEADE30978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3B6F695D-303F-4843-85DB-0C030CCD5DDD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8472C7C9-7CA8-4537-BFE1-E56E943CBAC6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D32DFAC7-9C55-4473-A4E1-B61FED7839D2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BCE0A665-9775-4D24-AC3F-D08D95C68A9A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8AAA67F7-611C-4C38-A8CB-837C7FB7DCE7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F39F8650-7A19-4539-ABBA-28946377C52C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91A8363C-30F2-4CE9-8E3E-AEA4ACB472D1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4AFC8216-4FC6-41CE-8997-AACBB09C6DD5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mihpn</author>
  </authors>
  <commentList>
    <comment ref="E34" authorId="0" shapeId="0" xr:uid="{71F743F8-C838-47B1-B439-B934562D480E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  <comment ref="E35" authorId="0" shapeId="0" xr:uid="{66A58D96-DA66-4045-87A6-0BB6D5013847}">
      <text>
        <r>
          <rPr>
            <sz val="9"/>
            <color indexed="81"/>
            <rFont val="Tahoma"/>
            <family val="2"/>
          </rPr>
          <t xml:space="preserve">Beneficiamento de R$2.950/ton
Passou para R$ 3.670/ton em 01/03
Passou para R$ 3.860/ton em 01/04
Multicoating aumentou 01/05 para R$ 4.640.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<sst xmlns="http://schemas.openxmlformats.org/spreadsheetml/2006/main" count="7534" uniqueCount="179">
  <si>
    <t>Papel</t>
  </si>
  <si>
    <t>Descrição</t>
  </si>
  <si>
    <t>Grupo</t>
  </si>
  <si>
    <t>Gramatura (g/m²)</t>
  </si>
  <si>
    <t>Custo ($/t)|Valor REAL</t>
  </si>
  <si>
    <t>OUTROS</t>
  </si>
  <si>
    <t>20-40-60</t>
  </si>
  <si>
    <t>BRN 056</t>
  </si>
  <si>
    <t>BRANCO 56G/M²</t>
  </si>
  <si>
    <t>7-14-21</t>
  </si>
  <si>
    <t>BRN075</t>
  </si>
  <si>
    <t>BRANCO 70g</t>
  </si>
  <si>
    <t>BRANCO 75g</t>
  </si>
  <si>
    <t>BRN100</t>
  </si>
  <si>
    <t>BRN110</t>
  </si>
  <si>
    <t>Branco 110</t>
  </si>
  <si>
    <t>BRN120</t>
  </si>
  <si>
    <t>BRANCO WTL</t>
  </si>
  <si>
    <t>BRN130</t>
  </si>
  <si>
    <t>BRN140</t>
  </si>
  <si>
    <t>BRN150</t>
  </si>
  <si>
    <t>BRN175</t>
  </si>
  <si>
    <t>BRANCO WTL KLABIN</t>
  </si>
  <si>
    <t>BRN180</t>
  </si>
  <si>
    <t xml:space="preserve">BRANCO </t>
  </si>
  <si>
    <t>BRN63</t>
  </si>
  <si>
    <t>BRANCO</t>
  </si>
  <si>
    <t>BRN90</t>
  </si>
  <si>
    <t>BRANCO 90G/M²</t>
  </si>
  <si>
    <t>CNP190</t>
  </si>
  <si>
    <t>COUTING NEOPACK</t>
  </si>
  <si>
    <t>KKN 150</t>
  </si>
  <si>
    <t>KRAFT 150g</t>
  </si>
  <si>
    <t>KKN 375</t>
  </si>
  <si>
    <t>PAPEL KRAFT 375G</t>
  </si>
  <si>
    <t>KKN080</t>
  </si>
  <si>
    <t>KRAFT P/ ACOPLAGEM</t>
  </si>
  <si>
    <t>KKN90</t>
  </si>
  <si>
    <t>KRAFT</t>
  </si>
  <si>
    <t>KKN100</t>
  </si>
  <si>
    <t>KKN110</t>
  </si>
  <si>
    <t>KKN125</t>
  </si>
  <si>
    <t>KKN130</t>
  </si>
  <si>
    <t>KKN140</t>
  </si>
  <si>
    <t>KKN155</t>
  </si>
  <si>
    <t>KRAFT 155</t>
  </si>
  <si>
    <t>KKN160</t>
  </si>
  <si>
    <t>KRAFT NORMAL 160g</t>
  </si>
  <si>
    <t>KKN170</t>
  </si>
  <si>
    <t>KRAFT NORMAL 170G</t>
  </si>
  <si>
    <t>KKN175</t>
  </si>
  <si>
    <t>KKN185</t>
  </si>
  <si>
    <t>KKN190</t>
  </si>
  <si>
    <t>KKN200</t>
  </si>
  <si>
    <t>KKN240</t>
  </si>
  <si>
    <t>KKN280</t>
  </si>
  <si>
    <t>KRAFT 280</t>
  </si>
  <si>
    <t>KKP110</t>
  </si>
  <si>
    <t>KRAFT 110g PLASTIFICADO (15g)</t>
  </si>
  <si>
    <t>KKP125</t>
  </si>
  <si>
    <t>KKN125(125g) + Plastif(15g)</t>
  </si>
  <si>
    <t>MEN 190</t>
  </si>
  <si>
    <t>MIOLO ESPECIAL 190</t>
  </si>
  <si>
    <t>MEN 350</t>
  </si>
  <si>
    <t>MIOLO 350 GRAMAS ESPECIAL</t>
  </si>
  <si>
    <t>MEN150</t>
  </si>
  <si>
    <t>MIOLO RECICLADO</t>
  </si>
  <si>
    <t>MEN165</t>
  </si>
  <si>
    <t>MK 110</t>
  </si>
  <si>
    <t>MNN100</t>
  </si>
  <si>
    <t>MNN110</t>
  </si>
  <si>
    <t>MNN120</t>
  </si>
  <si>
    <t>MNN130</t>
  </si>
  <si>
    <t>MNN140</t>
  </si>
  <si>
    <t>MS 130</t>
  </si>
  <si>
    <t>MIOLO SIZE</t>
  </si>
  <si>
    <t>MT 100</t>
  </si>
  <si>
    <t>MT080</t>
  </si>
  <si>
    <t>MT110</t>
  </si>
  <si>
    <t>MT120</t>
  </si>
  <si>
    <t>MT140</t>
  </si>
  <si>
    <t>MT160</t>
  </si>
  <si>
    <t>MT185</t>
  </si>
  <si>
    <t>MTP120</t>
  </si>
  <si>
    <t>TL125</t>
  </si>
  <si>
    <t>Testliner de 125g</t>
  </si>
  <si>
    <t>TL180</t>
  </si>
  <si>
    <t>TESTLINER180</t>
  </si>
  <si>
    <t>TTL120</t>
  </si>
  <si>
    <t>TEST LINER - JBS</t>
  </si>
  <si>
    <t>de diferença em relação ao mês anterior</t>
  </si>
  <si>
    <t xml:space="preserve">Variação de 0,58% </t>
  </si>
  <si>
    <t>Variação de - 1,79%</t>
  </si>
  <si>
    <t>Variação de - 15,97%</t>
  </si>
  <si>
    <t>Variação de - 0,87%</t>
  </si>
  <si>
    <t>KKPT125</t>
  </si>
  <si>
    <t>KKN120 BO</t>
  </si>
  <si>
    <t>kraft 125</t>
  </si>
  <si>
    <t>KKN126</t>
  </si>
  <si>
    <t>KKN 090</t>
  </si>
  <si>
    <t>CKP220</t>
  </si>
  <si>
    <t>KKN 300</t>
  </si>
  <si>
    <t>CNP150</t>
  </si>
  <si>
    <t>KKN160WR</t>
  </si>
  <si>
    <t>KKN120 WR</t>
  </si>
  <si>
    <t>CKF190</t>
  </si>
  <si>
    <t>CNP200</t>
  </si>
  <si>
    <t>CNP205</t>
  </si>
  <si>
    <t>MT110 FTP</t>
  </si>
  <si>
    <t>CKF227</t>
  </si>
  <si>
    <t>MNN 135</t>
  </si>
  <si>
    <t>KKN075</t>
  </si>
  <si>
    <t>MNN 090</t>
  </si>
  <si>
    <t>MNN160 WR</t>
  </si>
  <si>
    <t>MNN120 WR</t>
  </si>
  <si>
    <t>KKN150_FTP</t>
  </si>
  <si>
    <t>MNN100 WR</t>
  </si>
  <si>
    <t>MT120FTP</t>
  </si>
  <si>
    <t>MT 090 FTP</t>
  </si>
  <si>
    <t>KKN 105 BO</t>
  </si>
  <si>
    <t>MEN 170</t>
  </si>
  <si>
    <t>KKN186</t>
  </si>
  <si>
    <t>Tipo</t>
  </si>
  <si>
    <t>Janeiro (25)</t>
  </si>
  <si>
    <t>Fevereiro (25)</t>
  </si>
  <si>
    <t>Março(25)</t>
  </si>
  <si>
    <t>Variação compra anterior</t>
  </si>
  <si>
    <t>Branco 50</t>
  </si>
  <si>
    <t>Branco 75</t>
  </si>
  <si>
    <t>Branco 90</t>
  </si>
  <si>
    <t>Branco 120</t>
  </si>
  <si>
    <t>Branco 150</t>
  </si>
  <si>
    <t>Branco 175</t>
  </si>
  <si>
    <t>cartão 190</t>
  </si>
  <si>
    <t>cartão 205</t>
  </si>
  <si>
    <t>Cartão 237</t>
  </si>
  <si>
    <t>Miolo 100</t>
  </si>
  <si>
    <t>Miolo 110</t>
  </si>
  <si>
    <t>Miolo 125</t>
  </si>
  <si>
    <t>Miolo 150</t>
  </si>
  <si>
    <t>Miolo 170</t>
  </si>
  <si>
    <t>Miolo 190</t>
  </si>
  <si>
    <t>Kraft100</t>
  </si>
  <si>
    <t>Kraft 125</t>
  </si>
  <si>
    <t>Kraft 135</t>
  </si>
  <si>
    <t>Kraft 140</t>
  </si>
  <si>
    <t>Kraft150</t>
  </si>
  <si>
    <t>Kraft 180</t>
  </si>
  <si>
    <t>Kraft 185</t>
  </si>
  <si>
    <t>Kraft 200</t>
  </si>
  <si>
    <t>Kraft 310</t>
  </si>
  <si>
    <t>Kraft 375</t>
  </si>
  <si>
    <t>TL 120</t>
  </si>
  <si>
    <t>TL 90</t>
  </si>
  <si>
    <t>CKF 205</t>
  </si>
  <si>
    <t>KKN135</t>
  </si>
  <si>
    <t>R$</t>
  </si>
  <si>
    <t>Kraft 240</t>
  </si>
  <si>
    <t>TL110_NVK</t>
  </si>
  <si>
    <t>MNN100_NVK</t>
  </si>
  <si>
    <t>Branco 130</t>
  </si>
  <si>
    <t>Janeiro (25</t>
  </si>
  <si>
    <t>Março(25</t>
  </si>
  <si>
    <t>Abril (25</t>
  </si>
  <si>
    <t>Maio (25</t>
  </si>
  <si>
    <t>Junho (25</t>
  </si>
  <si>
    <t>Julho(25</t>
  </si>
  <si>
    <t>Agosto(25</t>
  </si>
  <si>
    <t>Outubro(25</t>
  </si>
  <si>
    <t>Variação 1</t>
  </si>
  <si>
    <t>anoa</t>
  </si>
  <si>
    <t>anter</t>
  </si>
  <si>
    <t>Variação</t>
  </si>
  <si>
    <t>Dezembro (25</t>
  </si>
  <si>
    <t>Fevereiro</t>
  </si>
  <si>
    <t>Setembr</t>
  </si>
  <si>
    <t>Novembr</t>
  </si>
  <si>
    <t>Dezembr</t>
  </si>
  <si>
    <t>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</si>
</sst>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4" fontId="0" fillId="0" borderId="1" xfId="0" applyNumberFormat="1" applyBorder="1"/>
    <xf numFmtId="44" fontId="0" fillId="0" borderId="1" xfId="1" applyFont="1" applyFill="1" applyBorder="1"/>
    <xf numFmtId="44" fontId="0" fillId="0" borderId="1" xfId="2" applyNumberFormat="1" applyFont="1" applyBorder="1"/>
    <xf numFmtId="44" fontId="0" fillId="2" borderId="1" xfId="0" applyNumberFormat="1" applyFill="1" applyBorder="1"/>
    <xf numFmtId="9" fontId="0" fillId="0" borderId="0" xfId="3" applyFont="1"/>
    <xf numFmtId="44" fontId="0" fillId="2" borderId="1" xfId="1" applyFont="1" applyFill="1" applyBorder="1"/>
    <xf numFmtId="164" fontId="0" fillId="0" borderId="0" xfId="3" applyNumberFormat="1" applyFont="1"/>
    <xf numFmtId="10" fontId="0" fillId="0" borderId="0" xfId="0" applyNumberFormat="1"/>
    <xf numFmtId="43" fontId="0" fillId="0" borderId="0" xfId="4" applyFont="1"/>
    <xf numFmtId="0" fontId="0" fillId="0" borderId="2" xfId="0" applyBorder="1"/>
    <xf numFmtId="44" fontId="0" fillId="2" borderId="2" xfId="1" applyFont="1" applyFill="1" applyBorder="1"/>
    <xf numFmtId="44" fontId="0" fillId="0" borderId="0" xfId="0" applyNumberFormat="1"/>
    <xf numFmtId="43" fontId="0" fillId="2" borderId="1" xfId="1" applyNumberFormat="1" applyFont="1" applyFill="1" applyBorder="1"/>
    <xf numFmtId="43" fontId="0" fillId="0" borderId="0" xfId="0" applyNumberFormat="1"/>
    <xf numFmtId="17" fontId="0" fillId="0" borderId="0" xfId="0" applyNumberFormat="1"/>
  </cellXfs>
  <cellStyles count="5">
    <cellStyle name="Moeda" xfId="1" builtinId="4"/>
    <cellStyle name="Normal" xfId="0" builtinId="0"/>
    <cellStyle name="Normal 2" xfId="2" xr:uid="{13042691-A206-40F9-9AA8-9E1AA3D6BAF1}"/>
    <cellStyle name="Porcentagem" xfId="3" builtinId="5"/>
    <cellStyle name="Vírgula" xfId="4" builtinId="3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C59CC99-A741-448F-8555-97E7F912AB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E845-DB18-4E48-B5ED-AF8ED846024D}">
  <dimension ref="A1:E58"/>
  <sheetViews>
    <sheetView workbookViewId="0">
      <selection activeCell="E11" sqref="E11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 t="s">
        <v>5</v>
      </c>
      <c r="C2" s="1" t="s">
        <v>6</v>
      </c>
      <c r="D2" s="1">
        <v>1</v>
      </c>
      <c r="E2" s="2">
        <v>1</v>
      </c>
    </row>
    <row r="3" spans="1:5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6049.64</v>
      </c>
    </row>
    <row r="4" spans="1:5" x14ac:dyDescent="0.25">
      <c r="A4" s="1" t="s">
        <v>10</v>
      </c>
      <c r="B4" s="1" t="s">
        <v>11</v>
      </c>
      <c r="C4" s="1"/>
      <c r="D4" s="1">
        <v>75</v>
      </c>
      <c r="E4" s="2">
        <v>5497.94</v>
      </c>
    </row>
    <row r="5" spans="1:5" x14ac:dyDescent="0.25">
      <c r="A5" s="1" t="s">
        <v>10</v>
      </c>
      <c r="B5" s="1" t="s">
        <v>12</v>
      </c>
      <c r="C5" s="1"/>
      <c r="D5" s="1">
        <v>75</v>
      </c>
      <c r="E5" s="2">
        <v>5497.94</v>
      </c>
    </row>
    <row r="6" spans="1:5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5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5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6215.19</v>
      </c>
    </row>
    <row r="9" spans="1:5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5882.97</v>
      </c>
    </row>
    <row r="10" spans="1:5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5882.97</v>
      </c>
    </row>
    <row r="11" spans="1:5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5882.97</v>
      </c>
    </row>
    <row r="12" spans="1:5" x14ac:dyDescent="0.25">
      <c r="A12" s="1" t="s">
        <v>21</v>
      </c>
      <c r="B12" s="1" t="s">
        <v>22</v>
      </c>
      <c r="C12" s="1" t="s">
        <v>9</v>
      </c>
      <c r="D12" s="1">
        <v>175</v>
      </c>
      <c r="E12" s="3">
        <v>6644.74</v>
      </c>
    </row>
    <row r="13" spans="1:5" x14ac:dyDescent="0.25">
      <c r="A13" s="1" t="s">
        <v>23</v>
      </c>
      <c r="B13" s="1" t="s">
        <v>24</v>
      </c>
      <c r="C13" s="1" t="s">
        <v>9</v>
      </c>
      <c r="D13" s="1">
        <v>175</v>
      </c>
      <c r="E13" s="2">
        <f>E12</f>
        <v>6644.74</v>
      </c>
    </row>
    <row r="14" spans="1:5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f>E3</f>
        <v>6049.64</v>
      </c>
    </row>
    <row r="15" spans="1:5" x14ac:dyDescent="0.25">
      <c r="A15" s="1" t="s">
        <v>27</v>
      </c>
      <c r="B15" s="1" t="s">
        <v>28</v>
      </c>
      <c r="C15" s="1" t="s">
        <v>6</v>
      </c>
      <c r="D15" s="1">
        <v>90</v>
      </c>
      <c r="E15" s="2">
        <v>5980</v>
      </c>
    </row>
    <row r="16" spans="1:5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7756.23</v>
      </c>
    </row>
    <row r="17" spans="1:5" x14ac:dyDescent="0.25">
      <c r="A17" s="1" t="s">
        <v>31</v>
      </c>
      <c r="B17" s="1" t="s">
        <v>32</v>
      </c>
      <c r="C17" s="1"/>
      <c r="D17" s="1">
        <v>150</v>
      </c>
      <c r="E17" s="3">
        <v>5095.6000000000004</v>
      </c>
    </row>
    <row r="18" spans="1:5" x14ac:dyDescent="0.25">
      <c r="A18" s="1" t="s">
        <v>33</v>
      </c>
      <c r="B18" s="1" t="s">
        <v>34</v>
      </c>
      <c r="C18" s="1" t="s">
        <v>9</v>
      </c>
      <c r="D18" s="1">
        <v>375</v>
      </c>
      <c r="E18" s="3">
        <v>5095.6000000000004</v>
      </c>
    </row>
    <row r="19" spans="1:5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6119.67</v>
      </c>
    </row>
    <row r="20" spans="1:5" x14ac:dyDescent="0.25">
      <c r="A20" s="1" t="s">
        <v>37</v>
      </c>
      <c r="B20" s="1" t="s">
        <v>38</v>
      </c>
      <c r="C20" s="1" t="s">
        <v>9</v>
      </c>
      <c r="D20" s="1">
        <v>100</v>
      </c>
      <c r="E20" s="3">
        <v>5095.6000000000004</v>
      </c>
    </row>
    <row r="21" spans="1:5" x14ac:dyDescent="0.25">
      <c r="A21" s="1" t="s">
        <v>39</v>
      </c>
      <c r="B21" s="1" t="s">
        <v>38</v>
      </c>
      <c r="C21" s="1" t="s">
        <v>9</v>
      </c>
      <c r="D21" s="1">
        <v>100</v>
      </c>
      <c r="E21" s="3">
        <v>5095.6000000000004</v>
      </c>
    </row>
    <row r="22" spans="1:5" x14ac:dyDescent="0.25">
      <c r="A22" s="1" t="s">
        <v>40</v>
      </c>
      <c r="B22" s="1" t="s">
        <v>38</v>
      </c>
      <c r="C22" s="1" t="s">
        <v>9</v>
      </c>
      <c r="D22" s="1">
        <v>115</v>
      </c>
      <c r="E22" s="3">
        <v>5095.6000000000004</v>
      </c>
    </row>
    <row r="23" spans="1:5" x14ac:dyDescent="0.25">
      <c r="A23" s="1" t="s">
        <v>41</v>
      </c>
      <c r="B23" s="1" t="s">
        <v>38</v>
      </c>
      <c r="C23" s="1" t="s">
        <v>9</v>
      </c>
      <c r="D23" s="1">
        <v>125</v>
      </c>
      <c r="E23" s="3">
        <v>5095.6000000000004</v>
      </c>
    </row>
    <row r="24" spans="1:5" x14ac:dyDescent="0.25">
      <c r="A24" s="1" t="s">
        <v>42</v>
      </c>
      <c r="B24" s="1" t="s">
        <v>38</v>
      </c>
      <c r="C24" s="1" t="s">
        <v>9</v>
      </c>
      <c r="D24" s="1">
        <v>125</v>
      </c>
      <c r="E24" s="3">
        <v>5095.6000000000004</v>
      </c>
    </row>
    <row r="25" spans="1:5" x14ac:dyDescent="0.25">
      <c r="A25" s="1" t="s">
        <v>43</v>
      </c>
      <c r="B25" s="1" t="s">
        <v>38</v>
      </c>
      <c r="C25" s="1" t="s">
        <v>9</v>
      </c>
      <c r="D25" s="1">
        <v>140</v>
      </c>
      <c r="E25" s="3">
        <v>5095.6000000000004</v>
      </c>
    </row>
    <row r="26" spans="1:5" x14ac:dyDescent="0.25">
      <c r="A26" s="1" t="s">
        <v>44</v>
      </c>
      <c r="B26" s="1" t="s">
        <v>45</v>
      </c>
      <c r="C26" s="1"/>
      <c r="D26" s="1">
        <v>155</v>
      </c>
      <c r="E26" s="3">
        <v>5095.6000000000004</v>
      </c>
    </row>
    <row r="27" spans="1:5" x14ac:dyDescent="0.25">
      <c r="A27" s="1" t="s">
        <v>46</v>
      </c>
      <c r="B27" s="1" t="s">
        <v>47</v>
      </c>
      <c r="C27" s="1" t="s">
        <v>9</v>
      </c>
      <c r="D27" s="1">
        <v>170</v>
      </c>
      <c r="E27" s="3">
        <v>5095.6000000000004</v>
      </c>
    </row>
    <row r="28" spans="1:5" x14ac:dyDescent="0.25">
      <c r="A28" s="1" t="s">
        <v>48</v>
      </c>
      <c r="B28" s="1" t="s">
        <v>49</v>
      </c>
      <c r="C28" s="1" t="s">
        <v>9</v>
      </c>
      <c r="D28" s="1">
        <v>180</v>
      </c>
      <c r="E28" s="3">
        <v>5095.6000000000004</v>
      </c>
    </row>
    <row r="29" spans="1:5" x14ac:dyDescent="0.25">
      <c r="A29" s="1" t="s">
        <v>50</v>
      </c>
      <c r="B29" s="1" t="s">
        <v>38</v>
      </c>
      <c r="C29" s="1" t="s">
        <v>9</v>
      </c>
      <c r="D29" s="1">
        <v>185</v>
      </c>
      <c r="E29" s="3">
        <v>5095.6000000000004</v>
      </c>
    </row>
    <row r="30" spans="1:5" x14ac:dyDescent="0.25">
      <c r="A30" s="1" t="s">
        <v>51</v>
      </c>
      <c r="B30" s="1" t="s">
        <v>38</v>
      </c>
      <c r="C30" s="1" t="s">
        <v>9</v>
      </c>
      <c r="D30" s="1">
        <v>185</v>
      </c>
      <c r="E30" s="3">
        <v>5095.6000000000004</v>
      </c>
    </row>
    <row r="31" spans="1:5" x14ac:dyDescent="0.25">
      <c r="A31" s="1" t="s">
        <v>52</v>
      </c>
      <c r="B31" s="1" t="s">
        <v>38</v>
      </c>
      <c r="C31" s="1" t="s">
        <v>9</v>
      </c>
      <c r="D31" s="1">
        <v>200</v>
      </c>
      <c r="E31" s="3">
        <v>5095.6000000000004</v>
      </c>
    </row>
    <row r="32" spans="1:5" x14ac:dyDescent="0.25">
      <c r="A32" s="1" t="s">
        <v>53</v>
      </c>
      <c r="B32" s="1" t="s">
        <v>38</v>
      </c>
      <c r="C32" s="1" t="s">
        <v>9</v>
      </c>
      <c r="D32" s="1">
        <v>200</v>
      </c>
      <c r="E32" s="3">
        <v>5095.6000000000004</v>
      </c>
    </row>
    <row r="33" spans="1:5" x14ac:dyDescent="0.25">
      <c r="A33" s="1" t="s">
        <v>54</v>
      </c>
      <c r="B33" s="1" t="s">
        <v>38</v>
      </c>
      <c r="C33" s="1" t="s">
        <v>9</v>
      </c>
      <c r="D33" s="1">
        <v>240</v>
      </c>
      <c r="E33" s="3">
        <v>5095.6000000000004</v>
      </c>
    </row>
    <row r="34" spans="1:5" x14ac:dyDescent="0.25">
      <c r="A34" s="1" t="s">
        <v>55</v>
      </c>
      <c r="B34" s="1" t="s">
        <v>56</v>
      </c>
      <c r="C34" s="1" t="s">
        <v>9</v>
      </c>
      <c r="D34" s="1">
        <v>280</v>
      </c>
      <c r="E34" s="3">
        <v>5095.6000000000004</v>
      </c>
    </row>
    <row r="35" spans="1:5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E22+4640</f>
        <v>9735.6</v>
      </c>
    </row>
    <row r="36" spans="1:5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f>E35</f>
        <v>9735.6</v>
      </c>
    </row>
    <row r="37" spans="1:5" x14ac:dyDescent="0.25">
      <c r="A37" s="1" t="s">
        <v>61</v>
      </c>
      <c r="B37" s="1" t="s">
        <v>62</v>
      </c>
      <c r="C37" s="1" t="s">
        <v>9</v>
      </c>
      <c r="D37" s="1">
        <v>190</v>
      </c>
      <c r="E37" s="3">
        <v>2994.47</v>
      </c>
    </row>
    <row r="38" spans="1:5" x14ac:dyDescent="0.25">
      <c r="A38" s="1" t="s">
        <v>63</v>
      </c>
      <c r="B38" s="1" t="s">
        <v>64</v>
      </c>
      <c r="C38" s="1" t="s">
        <v>9</v>
      </c>
      <c r="D38" s="1">
        <v>350</v>
      </c>
      <c r="E38" s="3">
        <v>2994.47</v>
      </c>
    </row>
    <row r="39" spans="1:5" x14ac:dyDescent="0.25">
      <c r="A39" s="1" t="s">
        <v>65</v>
      </c>
      <c r="B39" s="1" t="s">
        <v>66</v>
      </c>
      <c r="C39" s="1" t="s">
        <v>9</v>
      </c>
      <c r="D39" s="1">
        <v>150</v>
      </c>
      <c r="E39" s="3">
        <v>2994.47</v>
      </c>
    </row>
    <row r="40" spans="1:5" x14ac:dyDescent="0.25">
      <c r="A40" s="1" t="s">
        <v>67</v>
      </c>
      <c r="B40" s="1" t="s">
        <v>66</v>
      </c>
      <c r="C40" s="1" t="s">
        <v>9</v>
      </c>
      <c r="D40" s="1">
        <v>165</v>
      </c>
      <c r="E40" s="3">
        <v>2994.47</v>
      </c>
    </row>
    <row r="41" spans="1:5" x14ac:dyDescent="0.25">
      <c r="A41" s="1" t="s">
        <v>68</v>
      </c>
      <c r="B41" s="1"/>
      <c r="C41" s="1"/>
      <c r="D41" s="1">
        <v>110</v>
      </c>
      <c r="E41" s="2">
        <v>4640.28</v>
      </c>
    </row>
    <row r="42" spans="1:5" x14ac:dyDescent="0.25">
      <c r="A42" s="1" t="s">
        <v>69</v>
      </c>
      <c r="B42" s="1" t="s">
        <v>66</v>
      </c>
      <c r="C42" s="1" t="s">
        <v>9</v>
      </c>
      <c r="D42" s="1">
        <v>100</v>
      </c>
      <c r="E42" s="3">
        <v>2994.47</v>
      </c>
    </row>
    <row r="43" spans="1:5" x14ac:dyDescent="0.25">
      <c r="A43" s="1" t="s">
        <v>70</v>
      </c>
      <c r="B43" s="1" t="s">
        <v>66</v>
      </c>
      <c r="C43" s="1" t="s">
        <v>9</v>
      </c>
      <c r="D43" s="1">
        <v>110</v>
      </c>
      <c r="E43" s="3">
        <v>2994.47</v>
      </c>
    </row>
    <row r="44" spans="1:5" x14ac:dyDescent="0.25">
      <c r="A44" s="1" t="s">
        <v>71</v>
      </c>
      <c r="B44" s="1" t="s">
        <v>66</v>
      </c>
      <c r="C44" s="1" t="s">
        <v>9</v>
      </c>
      <c r="D44" s="1">
        <v>125</v>
      </c>
      <c r="E44" s="3">
        <v>2994.47</v>
      </c>
    </row>
    <row r="45" spans="1:5" x14ac:dyDescent="0.25">
      <c r="A45" s="1" t="s">
        <v>72</v>
      </c>
      <c r="B45" s="1" t="s">
        <v>66</v>
      </c>
      <c r="C45" s="1" t="s">
        <v>9</v>
      </c>
      <c r="D45" s="1">
        <v>135</v>
      </c>
      <c r="E45" s="3">
        <v>2994.47</v>
      </c>
    </row>
    <row r="46" spans="1:5" x14ac:dyDescent="0.25">
      <c r="A46" s="1" t="s">
        <v>73</v>
      </c>
      <c r="B46" s="1" t="s">
        <v>66</v>
      </c>
      <c r="C46" s="1" t="s">
        <v>9</v>
      </c>
      <c r="D46" s="1">
        <v>140</v>
      </c>
      <c r="E46" s="3">
        <v>2994.47</v>
      </c>
    </row>
    <row r="47" spans="1:5" x14ac:dyDescent="0.25">
      <c r="A47" s="1" t="s">
        <v>74</v>
      </c>
      <c r="B47" s="1" t="s">
        <v>75</v>
      </c>
      <c r="C47" s="1"/>
      <c r="D47" s="1">
        <v>130</v>
      </c>
      <c r="E47" s="3">
        <v>2994.47</v>
      </c>
    </row>
    <row r="48" spans="1:5" x14ac:dyDescent="0.25">
      <c r="A48" s="1" t="s">
        <v>76</v>
      </c>
      <c r="B48" s="1"/>
      <c r="C48" s="1" t="s">
        <v>9</v>
      </c>
      <c r="D48" s="1">
        <v>100</v>
      </c>
      <c r="E48" s="2">
        <v>4103.17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4103.17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4103.17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4103.17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4103.17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4103.17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4103.17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4103.17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v>5818.97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6C64-D619-4198-A6E1-4F7A4A7866E4}">
  <dimension ref="A1:E58"/>
  <sheetViews>
    <sheetView topLeftCell="A7" workbookViewId="0">
      <selection activeCell="D32" sqref="D32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5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7093.63</v>
      </c>
    </row>
    <row r="4" spans="1:5" x14ac:dyDescent="0.25">
      <c r="A4" s="1" t="s">
        <v>10</v>
      </c>
      <c r="B4" s="1" t="s">
        <v>11</v>
      </c>
      <c r="C4" s="1"/>
      <c r="D4" s="1">
        <v>75</v>
      </c>
      <c r="E4" s="2">
        <v>5497.94</v>
      </c>
    </row>
    <row r="5" spans="1:5" x14ac:dyDescent="0.25">
      <c r="A5" s="1" t="s">
        <v>10</v>
      </c>
      <c r="B5" s="1" t="s">
        <v>12</v>
      </c>
      <c r="C5" s="1"/>
      <c r="D5" s="1">
        <v>75</v>
      </c>
      <c r="E5" s="2">
        <v>5497.94</v>
      </c>
    </row>
    <row r="6" spans="1:5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5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5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5280.81</v>
      </c>
    </row>
    <row r="9" spans="1:5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5280.81</v>
      </c>
    </row>
    <row r="10" spans="1:5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5280.81</v>
      </c>
    </row>
    <row r="11" spans="1:5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5280.81</v>
      </c>
    </row>
    <row r="12" spans="1:5" x14ac:dyDescent="0.25">
      <c r="A12" s="1" t="s">
        <v>21</v>
      </c>
      <c r="B12" s="1" t="s">
        <v>22</v>
      </c>
      <c r="C12" s="1" t="s">
        <v>9</v>
      </c>
      <c r="D12" s="1">
        <v>175</v>
      </c>
      <c r="E12" s="3">
        <v>6644.74</v>
      </c>
    </row>
    <row r="13" spans="1:5" x14ac:dyDescent="0.25">
      <c r="A13" s="1" t="s">
        <v>23</v>
      </c>
      <c r="B13" s="1" t="s">
        <v>24</v>
      </c>
      <c r="C13" s="1" t="s">
        <v>9</v>
      </c>
      <c r="D13" s="1">
        <v>175</v>
      </c>
      <c r="E13" s="2">
        <f>E12</f>
        <v>6644.74</v>
      </c>
    </row>
    <row r="14" spans="1:5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f>E3</f>
        <v>7093.63</v>
      </c>
    </row>
    <row r="15" spans="1:5" x14ac:dyDescent="0.25">
      <c r="A15" s="1" t="s">
        <v>27</v>
      </c>
      <c r="B15" s="1" t="s">
        <v>28</v>
      </c>
      <c r="C15" s="1" t="s">
        <v>6</v>
      </c>
      <c r="D15" s="1">
        <v>90</v>
      </c>
      <c r="E15" s="2">
        <v>7517.91</v>
      </c>
    </row>
    <row r="16" spans="1:5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7730.43</v>
      </c>
    </row>
    <row r="17" spans="1:5" x14ac:dyDescent="0.25">
      <c r="A17" s="1" t="s">
        <v>31</v>
      </c>
      <c r="B17" s="1" t="s">
        <v>32</v>
      </c>
      <c r="C17" s="1"/>
      <c r="D17" s="1">
        <v>150</v>
      </c>
      <c r="E17" s="3">
        <v>4968.79</v>
      </c>
    </row>
    <row r="18" spans="1:5" x14ac:dyDescent="0.25">
      <c r="A18" s="1" t="s">
        <v>33</v>
      </c>
      <c r="B18" s="1" t="s">
        <v>34</v>
      </c>
      <c r="C18" s="1" t="s">
        <v>9</v>
      </c>
      <c r="D18" s="1">
        <v>375</v>
      </c>
      <c r="E18" s="3">
        <v>4968.79</v>
      </c>
    </row>
    <row r="19" spans="1:5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6169.67</v>
      </c>
    </row>
    <row r="20" spans="1:5" x14ac:dyDescent="0.25">
      <c r="A20" s="1" t="s">
        <v>37</v>
      </c>
      <c r="B20" s="1" t="s">
        <v>38</v>
      </c>
      <c r="C20" s="1" t="s">
        <v>9</v>
      </c>
      <c r="D20" s="1">
        <v>100</v>
      </c>
      <c r="E20" s="3">
        <v>4968.79</v>
      </c>
    </row>
    <row r="21" spans="1:5" x14ac:dyDescent="0.25">
      <c r="A21" s="1" t="s">
        <v>39</v>
      </c>
      <c r="B21" s="1" t="s">
        <v>38</v>
      </c>
      <c r="C21" s="1" t="s">
        <v>9</v>
      </c>
      <c r="D21" s="1">
        <v>100</v>
      </c>
      <c r="E21" s="3">
        <v>4968.79</v>
      </c>
    </row>
    <row r="22" spans="1:5" x14ac:dyDescent="0.25">
      <c r="A22" s="1" t="s">
        <v>40</v>
      </c>
      <c r="B22" s="1" t="s">
        <v>38</v>
      </c>
      <c r="C22" s="1" t="s">
        <v>9</v>
      </c>
      <c r="D22" s="1">
        <v>115</v>
      </c>
      <c r="E22" s="3">
        <v>4968.79</v>
      </c>
    </row>
    <row r="23" spans="1:5" x14ac:dyDescent="0.25">
      <c r="A23" s="1" t="s">
        <v>41</v>
      </c>
      <c r="B23" s="1" t="s">
        <v>38</v>
      </c>
      <c r="C23" s="1" t="s">
        <v>9</v>
      </c>
      <c r="D23" s="1">
        <v>125</v>
      </c>
      <c r="E23" s="3">
        <v>4968.79</v>
      </c>
    </row>
    <row r="24" spans="1:5" x14ac:dyDescent="0.25">
      <c r="A24" s="1" t="s">
        <v>42</v>
      </c>
      <c r="B24" s="1" t="s">
        <v>38</v>
      </c>
      <c r="C24" s="1" t="s">
        <v>9</v>
      </c>
      <c r="D24" s="1">
        <v>125</v>
      </c>
      <c r="E24" s="3">
        <v>4968.79</v>
      </c>
    </row>
    <row r="25" spans="1:5" x14ac:dyDescent="0.25">
      <c r="A25" s="1" t="s">
        <v>43</v>
      </c>
      <c r="B25" s="1" t="s">
        <v>38</v>
      </c>
      <c r="C25" s="1" t="s">
        <v>9</v>
      </c>
      <c r="D25" s="1">
        <v>140</v>
      </c>
      <c r="E25" s="3">
        <v>4968.79</v>
      </c>
    </row>
    <row r="26" spans="1:5" x14ac:dyDescent="0.25">
      <c r="A26" s="1" t="s">
        <v>44</v>
      </c>
      <c r="B26" s="1" t="s">
        <v>45</v>
      </c>
      <c r="C26" s="1"/>
      <c r="D26" s="1">
        <v>155</v>
      </c>
      <c r="E26" s="3">
        <v>4968.79</v>
      </c>
    </row>
    <row r="27" spans="1:5" x14ac:dyDescent="0.25">
      <c r="A27" s="1" t="s">
        <v>46</v>
      </c>
      <c r="B27" s="1" t="s">
        <v>47</v>
      </c>
      <c r="C27" s="1" t="s">
        <v>9</v>
      </c>
      <c r="D27" s="1">
        <v>170</v>
      </c>
      <c r="E27" s="3">
        <v>4968.79</v>
      </c>
    </row>
    <row r="28" spans="1:5" x14ac:dyDescent="0.25">
      <c r="A28" s="1" t="s">
        <v>48</v>
      </c>
      <c r="B28" s="1" t="s">
        <v>49</v>
      </c>
      <c r="C28" s="1" t="s">
        <v>9</v>
      </c>
      <c r="D28" s="1">
        <v>180</v>
      </c>
      <c r="E28" s="3">
        <v>4968.79</v>
      </c>
    </row>
    <row r="29" spans="1:5" x14ac:dyDescent="0.25">
      <c r="A29" s="1" t="s">
        <v>50</v>
      </c>
      <c r="B29" s="1" t="s">
        <v>38</v>
      </c>
      <c r="C29" s="1" t="s">
        <v>9</v>
      </c>
      <c r="D29" s="1">
        <v>185</v>
      </c>
      <c r="E29" s="3">
        <v>4968.79</v>
      </c>
    </row>
    <row r="30" spans="1:5" x14ac:dyDescent="0.25">
      <c r="A30" s="1" t="s">
        <v>51</v>
      </c>
      <c r="B30" s="1" t="s">
        <v>38</v>
      </c>
      <c r="C30" s="1" t="s">
        <v>9</v>
      </c>
      <c r="D30" s="1">
        <v>185</v>
      </c>
      <c r="E30" s="3">
        <v>4968.79</v>
      </c>
    </row>
    <row r="31" spans="1:5" x14ac:dyDescent="0.25">
      <c r="A31" s="1" t="s">
        <v>52</v>
      </c>
      <c r="B31" s="1" t="s">
        <v>38</v>
      </c>
      <c r="C31" s="1" t="s">
        <v>9</v>
      </c>
      <c r="D31" s="1">
        <v>200</v>
      </c>
      <c r="E31" s="3">
        <v>4968.79</v>
      </c>
    </row>
    <row r="32" spans="1:5" x14ac:dyDescent="0.25">
      <c r="A32" s="1" t="s">
        <v>53</v>
      </c>
      <c r="B32" s="1" t="s">
        <v>38</v>
      </c>
      <c r="C32" s="1" t="s">
        <v>9</v>
      </c>
      <c r="D32" s="1">
        <v>200</v>
      </c>
      <c r="E32" s="3">
        <v>4968.79</v>
      </c>
    </row>
    <row r="33" spans="1:5" x14ac:dyDescent="0.25">
      <c r="A33" s="1" t="s">
        <v>54</v>
      </c>
      <c r="B33" s="1" t="s">
        <v>38</v>
      </c>
      <c r="C33" s="1" t="s">
        <v>9</v>
      </c>
      <c r="D33" s="1">
        <v>240</v>
      </c>
      <c r="E33" s="3">
        <v>4968.79</v>
      </c>
    </row>
    <row r="34" spans="1:5" x14ac:dyDescent="0.25">
      <c r="A34" s="1" t="s">
        <v>55</v>
      </c>
      <c r="B34" s="1" t="s">
        <v>56</v>
      </c>
      <c r="C34" s="1" t="s">
        <v>9</v>
      </c>
      <c r="D34" s="1">
        <v>280</v>
      </c>
      <c r="E34" s="3">
        <v>4968.79</v>
      </c>
    </row>
    <row r="35" spans="1:5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E22+4640</f>
        <v>9608.7900000000009</v>
      </c>
    </row>
    <row r="36" spans="1:5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f>E35</f>
        <v>9608.7900000000009</v>
      </c>
    </row>
    <row r="37" spans="1:5" x14ac:dyDescent="0.25">
      <c r="A37" s="1" t="s">
        <v>61</v>
      </c>
      <c r="B37" s="1" t="s">
        <v>62</v>
      </c>
      <c r="C37" s="1" t="s">
        <v>9</v>
      </c>
      <c r="D37" s="1">
        <v>190</v>
      </c>
      <c r="E37" s="3">
        <v>3310.25</v>
      </c>
    </row>
    <row r="38" spans="1:5" x14ac:dyDescent="0.25">
      <c r="A38" s="1" t="s">
        <v>63</v>
      </c>
      <c r="B38" s="1" t="s">
        <v>64</v>
      </c>
      <c r="C38" s="1" t="s">
        <v>9</v>
      </c>
      <c r="D38" s="1">
        <v>350</v>
      </c>
      <c r="E38" s="3">
        <v>3310.25</v>
      </c>
    </row>
    <row r="39" spans="1:5" x14ac:dyDescent="0.25">
      <c r="A39" s="1" t="s">
        <v>65</v>
      </c>
      <c r="B39" s="1" t="s">
        <v>66</v>
      </c>
      <c r="C39" s="1" t="s">
        <v>9</v>
      </c>
      <c r="D39" s="1">
        <v>150</v>
      </c>
      <c r="E39" s="3">
        <v>3310.25</v>
      </c>
    </row>
    <row r="40" spans="1:5" x14ac:dyDescent="0.25">
      <c r="A40" s="1" t="s">
        <v>67</v>
      </c>
      <c r="B40" s="1" t="s">
        <v>66</v>
      </c>
      <c r="C40" s="1" t="s">
        <v>9</v>
      </c>
      <c r="D40" s="1">
        <v>165</v>
      </c>
      <c r="E40" s="3">
        <v>3310.25</v>
      </c>
    </row>
    <row r="41" spans="1:5" x14ac:dyDescent="0.25">
      <c r="A41" s="1" t="s">
        <v>68</v>
      </c>
      <c r="B41" s="1"/>
      <c r="C41" s="1"/>
      <c r="D41" s="1">
        <v>110</v>
      </c>
      <c r="E41" s="2">
        <v>4640.28</v>
      </c>
    </row>
    <row r="42" spans="1:5" x14ac:dyDescent="0.25">
      <c r="A42" s="1" t="s">
        <v>69</v>
      </c>
      <c r="B42" s="1" t="s">
        <v>66</v>
      </c>
      <c r="C42" s="1" t="s">
        <v>9</v>
      </c>
      <c r="D42" s="1">
        <v>100</v>
      </c>
      <c r="E42" s="3">
        <v>3310.25</v>
      </c>
    </row>
    <row r="43" spans="1:5" x14ac:dyDescent="0.25">
      <c r="A43" s="1" t="s">
        <v>70</v>
      </c>
      <c r="B43" s="1" t="s">
        <v>66</v>
      </c>
      <c r="C43" s="1" t="s">
        <v>9</v>
      </c>
      <c r="D43" s="1">
        <v>110</v>
      </c>
      <c r="E43" s="3">
        <v>3310.25</v>
      </c>
    </row>
    <row r="44" spans="1:5" x14ac:dyDescent="0.25">
      <c r="A44" s="1" t="s">
        <v>71</v>
      </c>
      <c r="B44" s="1" t="s">
        <v>66</v>
      </c>
      <c r="C44" s="1" t="s">
        <v>9</v>
      </c>
      <c r="D44" s="1">
        <v>125</v>
      </c>
      <c r="E44" s="3">
        <v>3310.25</v>
      </c>
    </row>
    <row r="45" spans="1:5" x14ac:dyDescent="0.25">
      <c r="A45" s="1" t="s">
        <v>72</v>
      </c>
      <c r="B45" s="1" t="s">
        <v>66</v>
      </c>
      <c r="C45" s="1" t="s">
        <v>9</v>
      </c>
      <c r="D45" s="1">
        <v>135</v>
      </c>
      <c r="E45" s="3">
        <v>3310.25</v>
      </c>
    </row>
    <row r="46" spans="1:5" x14ac:dyDescent="0.25">
      <c r="A46" s="1" t="s">
        <v>73</v>
      </c>
      <c r="B46" s="1" t="s">
        <v>66</v>
      </c>
      <c r="C46" s="1" t="s">
        <v>9</v>
      </c>
      <c r="D46" s="1">
        <v>140</v>
      </c>
      <c r="E46" s="3">
        <v>3310.25</v>
      </c>
    </row>
    <row r="47" spans="1:5" x14ac:dyDescent="0.25">
      <c r="A47" s="1" t="s">
        <v>74</v>
      </c>
      <c r="B47" s="1" t="s">
        <v>75</v>
      </c>
      <c r="C47" s="1"/>
      <c r="D47" s="1">
        <v>130</v>
      </c>
      <c r="E47" s="3">
        <v>3310.25</v>
      </c>
    </row>
    <row r="48" spans="1:5" x14ac:dyDescent="0.25">
      <c r="A48" s="1" t="s">
        <v>76</v>
      </c>
      <c r="B48" s="1"/>
      <c r="C48" s="1" t="s">
        <v>9</v>
      </c>
      <c r="D48" s="1">
        <v>100</v>
      </c>
      <c r="E48" s="2">
        <v>4103.17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4103.17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4103.17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4103.17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4103.17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4103.17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4103.17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4103.17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v>5818.97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1C3A-A538-40C9-8553-4A2D3F026C57}">
  <dimension ref="A1:E58"/>
  <sheetViews>
    <sheetView topLeftCell="A4" workbookViewId="0">
      <selection activeCell="E63" sqref="E63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5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5486.54</v>
      </c>
    </row>
    <row r="4" spans="1:5" x14ac:dyDescent="0.25">
      <c r="A4" s="1" t="s">
        <v>10</v>
      </c>
      <c r="B4" s="1" t="s">
        <v>11</v>
      </c>
      <c r="C4" s="1"/>
      <c r="D4" s="1">
        <v>75</v>
      </c>
      <c r="E4" s="2">
        <v>5497.94</v>
      </c>
    </row>
    <row r="5" spans="1:5" x14ac:dyDescent="0.25">
      <c r="A5" s="1" t="s">
        <v>10</v>
      </c>
      <c r="B5" s="1" t="s">
        <v>12</v>
      </c>
      <c r="C5" s="1"/>
      <c r="D5" s="1">
        <v>75</v>
      </c>
      <c r="E5" s="2">
        <v>5497.94</v>
      </c>
    </row>
    <row r="6" spans="1:5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5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5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5482.58</v>
      </c>
    </row>
    <row r="9" spans="1:5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5482.58</v>
      </c>
    </row>
    <row r="10" spans="1:5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5482.58</v>
      </c>
    </row>
    <row r="11" spans="1:5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5100.51</v>
      </c>
    </row>
    <row r="12" spans="1:5" x14ac:dyDescent="0.25">
      <c r="A12" s="1" t="s">
        <v>21</v>
      </c>
      <c r="B12" s="1" t="s">
        <v>22</v>
      </c>
      <c r="C12" s="1" t="s">
        <v>9</v>
      </c>
      <c r="D12" s="1">
        <v>175</v>
      </c>
      <c r="E12" s="3">
        <v>6644.74</v>
      </c>
    </row>
    <row r="13" spans="1:5" x14ac:dyDescent="0.25">
      <c r="A13" s="1" t="s">
        <v>23</v>
      </c>
      <c r="B13" s="1" t="s">
        <v>24</v>
      </c>
      <c r="C13" s="1" t="s">
        <v>9</v>
      </c>
      <c r="D13" s="1">
        <v>175</v>
      </c>
      <c r="E13" s="2">
        <f>E12</f>
        <v>6644.74</v>
      </c>
    </row>
    <row r="14" spans="1:5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f>E3</f>
        <v>5486.54</v>
      </c>
    </row>
    <row r="15" spans="1:5" x14ac:dyDescent="0.25">
      <c r="A15" s="1" t="s">
        <v>27</v>
      </c>
      <c r="B15" s="1" t="s">
        <v>28</v>
      </c>
      <c r="C15" s="1" t="s">
        <v>6</v>
      </c>
      <c r="D15" s="1">
        <v>90</v>
      </c>
      <c r="E15" s="2">
        <v>4855.1499999999996</v>
      </c>
    </row>
    <row r="16" spans="1:5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8274.64</v>
      </c>
    </row>
    <row r="17" spans="1:5" x14ac:dyDescent="0.25">
      <c r="A17" s="1" t="s">
        <v>31</v>
      </c>
      <c r="B17" s="1" t="s">
        <v>32</v>
      </c>
      <c r="C17" s="1"/>
      <c r="D17" s="1">
        <v>150</v>
      </c>
      <c r="E17" s="3">
        <v>5125.1899999999996</v>
      </c>
    </row>
    <row r="18" spans="1:5" x14ac:dyDescent="0.25">
      <c r="A18" s="1" t="s">
        <v>33</v>
      </c>
      <c r="B18" s="1" t="s">
        <v>34</v>
      </c>
      <c r="C18" s="1" t="s">
        <v>9</v>
      </c>
      <c r="D18" s="1">
        <v>375</v>
      </c>
      <c r="E18" s="3">
        <v>5125.1899999999996</v>
      </c>
    </row>
    <row r="19" spans="1:5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6170.15</v>
      </c>
    </row>
    <row r="20" spans="1:5" x14ac:dyDescent="0.25">
      <c r="A20" s="1" t="s">
        <v>37</v>
      </c>
      <c r="B20" s="1" t="s">
        <v>38</v>
      </c>
      <c r="C20" s="1" t="s">
        <v>9</v>
      </c>
      <c r="D20" s="1">
        <v>100</v>
      </c>
      <c r="E20" s="3">
        <v>5125.1899999999996</v>
      </c>
    </row>
    <row r="21" spans="1:5" x14ac:dyDescent="0.25">
      <c r="A21" s="1" t="s">
        <v>39</v>
      </c>
      <c r="B21" s="1" t="s">
        <v>38</v>
      </c>
      <c r="C21" s="1" t="s">
        <v>9</v>
      </c>
      <c r="D21" s="1">
        <v>100</v>
      </c>
      <c r="E21" s="3">
        <v>5125.1899999999996</v>
      </c>
    </row>
    <row r="22" spans="1:5" x14ac:dyDescent="0.25">
      <c r="A22" s="1" t="s">
        <v>40</v>
      </c>
      <c r="B22" s="1" t="s">
        <v>38</v>
      </c>
      <c r="C22" s="1" t="s">
        <v>9</v>
      </c>
      <c r="D22" s="1">
        <v>115</v>
      </c>
      <c r="E22" s="3">
        <v>5125.1899999999996</v>
      </c>
    </row>
    <row r="23" spans="1:5" x14ac:dyDescent="0.25">
      <c r="A23" s="1" t="s">
        <v>41</v>
      </c>
      <c r="B23" s="1" t="s">
        <v>38</v>
      </c>
      <c r="C23" s="1" t="s">
        <v>9</v>
      </c>
      <c r="D23" s="1">
        <v>125</v>
      </c>
      <c r="E23" s="3">
        <v>5125.1899999999996</v>
      </c>
    </row>
    <row r="24" spans="1:5" x14ac:dyDescent="0.25">
      <c r="A24" s="1" t="s">
        <v>42</v>
      </c>
      <c r="B24" s="1" t="s">
        <v>38</v>
      </c>
      <c r="C24" s="1" t="s">
        <v>9</v>
      </c>
      <c r="D24" s="1">
        <v>125</v>
      </c>
      <c r="E24" s="3">
        <v>5125.1899999999996</v>
      </c>
    </row>
    <row r="25" spans="1:5" x14ac:dyDescent="0.25">
      <c r="A25" s="1" t="s">
        <v>43</v>
      </c>
      <c r="B25" s="1" t="s">
        <v>38</v>
      </c>
      <c r="C25" s="1" t="s">
        <v>9</v>
      </c>
      <c r="D25" s="1">
        <v>140</v>
      </c>
      <c r="E25" s="3">
        <v>5125.1899999999996</v>
      </c>
    </row>
    <row r="26" spans="1:5" x14ac:dyDescent="0.25">
      <c r="A26" s="1" t="s">
        <v>44</v>
      </c>
      <c r="B26" s="1" t="s">
        <v>45</v>
      </c>
      <c r="C26" s="1"/>
      <c r="D26" s="1">
        <v>155</v>
      </c>
      <c r="E26" s="3">
        <v>5125.1899999999996</v>
      </c>
    </row>
    <row r="27" spans="1:5" x14ac:dyDescent="0.25">
      <c r="A27" s="1" t="s">
        <v>46</v>
      </c>
      <c r="B27" s="1" t="s">
        <v>47</v>
      </c>
      <c r="C27" s="1" t="s">
        <v>9</v>
      </c>
      <c r="D27" s="1">
        <v>170</v>
      </c>
      <c r="E27" s="3">
        <v>5125.1899999999996</v>
      </c>
    </row>
    <row r="28" spans="1:5" x14ac:dyDescent="0.25">
      <c r="A28" s="1" t="s">
        <v>48</v>
      </c>
      <c r="B28" s="1" t="s">
        <v>49</v>
      </c>
      <c r="C28" s="1" t="s">
        <v>9</v>
      </c>
      <c r="D28" s="1">
        <v>180</v>
      </c>
      <c r="E28" s="3">
        <v>5125.1899999999996</v>
      </c>
    </row>
    <row r="29" spans="1:5" x14ac:dyDescent="0.25">
      <c r="A29" s="1" t="s">
        <v>50</v>
      </c>
      <c r="B29" s="1" t="s">
        <v>38</v>
      </c>
      <c r="C29" s="1" t="s">
        <v>9</v>
      </c>
      <c r="D29" s="1">
        <v>185</v>
      </c>
      <c r="E29" s="3">
        <v>5125.1899999999996</v>
      </c>
    </row>
    <row r="30" spans="1:5" x14ac:dyDescent="0.25">
      <c r="A30" s="1" t="s">
        <v>51</v>
      </c>
      <c r="B30" s="1" t="s">
        <v>38</v>
      </c>
      <c r="C30" s="1" t="s">
        <v>9</v>
      </c>
      <c r="D30" s="1">
        <v>185</v>
      </c>
      <c r="E30" s="3">
        <v>5125.1899999999996</v>
      </c>
    </row>
    <row r="31" spans="1:5" x14ac:dyDescent="0.25">
      <c r="A31" s="1" t="s">
        <v>52</v>
      </c>
      <c r="B31" s="1" t="s">
        <v>38</v>
      </c>
      <c r="C31" s="1" t="s">
        <v>9</v>
      </c>
      <c r="D31" s="1">
        <v>200</v>
      </c>
      <c r="E31" s="3">
        <v>5125.1899999999996</v>
      </c>
    </row>
    <row r="32" spans="1:5" x14ac:dyDescent="0.25">
      <c r="A32" s="1" t="s">
        <v>53</v>
      </c>
      <c r="B32" s="1" t="s">
        <v>38</v>
      </c>
      <c r="C32" s="1" t="s">
        <v>9</v>
      </c>
      <c r="D32" s="1">
        <v>200</v>
      </c>
      <c r="E32" s="3">
        <v>5125.1899999999996</v>
      </c>
    </row>
    <row r="33" spans="1:5" x14ac:dyDescent="0.25">
      <c r="A33" s="1" t="s">
        <v>54</v>
      </c>
      <c r="B33" s="1" t="s">
        <v>38</v>
      </c>
      <c r="C33" s="1" t="s">
        <v>9</v>
      </c>
      <c r="D33" s="1">
        <v>240</v>
      </c>
      <c r="E33" s="3">
        <v>5125.1899999999996</v>
      </c>
    </row>
    <row r="34" spans="1:5" x14ac:dyDescent="0.25">
      <c r="A34" s="1" t="s">
        <v>55</v>
      </c>
      <c r="B34" s="1" t="s">
        <v>56</v>
      </c>
      <c r="C34" s="1" t="s">
        <v>9</v>
      </c>
      <c r="D34" s="1">
        <v>280</v>
      </c>
      <c r="E34" s="3">
        <v>5125.1899999999996</v>
      </c>
    </row>
    <row r="35" spans="1:5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E22+4640</f>
        <v>9765.1899999999987</v>
      </c>
    </row>
    <row r="36" spans="1:5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f>E35</f>
        <v>9765.1899999999987</v>
      </c>
    </row>
    <row r="37" spans="1:5" x14ac:dyDescent="0.25">
      <c r="A37" s="1" t="s">
        <v>61</v>
      </c>
      <c r="B37" s="1" t="s">
        <v>62</v>
      </c>
      <c r="C37" s="1" t="s">
        <v>9</v>
      </c>
      <c r="D37" s="1">
        <v>190</v>
      </c>
      <c r="E37" s="3">
        <v>3290.05</v>
      </c>
    </row>
    <row r="38" spans="1:5" x14ac:dyDescent="0.25">
      <c r="A38" s="1" t="s">
        <v>63</v>
      </c>
      <c r="B38" s="1" t="s">
        <v>64</v>
      </c>
      <c r="C38" s="1" t="s">
        <v>9</v>
      </c>
      <c r="D38" s="1">
        <v>350</v>
      </c>
      <c r="E38" s="3">
        <v>3290.05</v>
      </c>
    </row>
    <row r="39" spans="1:5" x14ac:dyDescent="0.25">
      <c r="A39" s="1" t="s">
        <v>65</v>
      </c>
      <c r="B39" s="1" t="s">
        <v>66</v>
      </c>
      <c r="C39" s="1" t="s">
        <v>9</v>
      </c>
      <c r="D39" s="1">
        <v>150</v>
      </c>
      <c r="E39" s="3">
        <v>3290.05</v>
      </c>
    </row>
    <row r="40" spans="1:5" x14ac:dyDescent="0.25">
      <c r="A40" s="1" t="s">
        <v>67</v>
      </c>
      <c r="B40" s="1" t="s">
        <v>66</v>
      </c>
      <c r="C40" s="1" t="s">
        <v>9</v>
      </c>
      <c r="D40" s="1">
        <v>165</v>
      </c>
      <c r="E40" s="3">
        <v>3290.05</v>
      </c>
    </row>
    <row r="41" spans="1:5" x14ac:dyDescent="0.25">
      <c r="A41" s="1" t="s">
        <v>68</v>
      </c>
      <c r="B41" s="1"/>
      <c r="C41" s="1"/>
      <c r="D41" s="1">
        <v>110</v>
      </c>
      <c r="E41" s="2">
        <v>4640.28</v>
      </c>
    </row>
    <row r="42" spans="1:5" x14ac:dyDescent="0.25">
      <c r="A42" s="1" t="s">
        <v>69</v>
      </c>
      <c r="B42" s="1" t="s">
        <v>66</v>
      </c>
      <c r="C42" s="1" t="s">
        <v>9</v>
      </c>
      <c r="D42" s="1">
        <v>100</v>
      </c>
      <c r="E42" s="3">
        <v>3290.05</v>
      </c>
    </row>
    <row r="43" spans="1:5" x14ac:dyDescent="0.25">
      <c r="A43" s="1" t="s">
        <v>70</v>
      </c>
      <c r="B43" s="1" t="s">
        <v>66</v>
      </c>
      <c r="C43" s="1" t="s">
        <v>9</v>
      </c>
      <c r="D43" s="1">
        <v>110</v>
      </c>
      <c r="E43" s="3">
        <v>3290.05</v>
      </c>
    </row>
    <row r="44" spans="1:5" x14ac:dyDescent="0.25">
      <c r="A44" s="1" t="s">
        <v>71</v>
      </c>
      <c r="B44" s="1" t="s">
        <v>66</v>
      </c>
      <c r="C44" s="1" t="s">
        <v>9</v>
      </c>
      <c r="D44" s="1">
        <v>125</v>
      </c>
      <c r="E44" s="3">
        <v>3290.05</v>
      </c>
    </row>
    <row r="45" spans="1:5" x14ac:dyDescent="0.25">
      <c r="A45" s="1" t="s">
        <v>72</v>
      </c>
      <c r="B45" s="1" t="s">
        <v>66</v>
      </c>
      <c r="C45" s="1" t="s">
        <v>9</v>
      </c>
      <c r="D45" s="1">
        <v>135</v>
      </c>
      <c r="E45" s="3">
        <v>3290.05</v>
      </c>
    </row>
    <row r="46" spans="1:5" x14ac:dyDescent="0.25">
      <c r="A46" s="1" t="s">
        <v>73</v>
      </c>
      <c r="B46" s="1" t="s">
        <v>66</v>
      </c>
      <c r="C46" s="1" t="s">
        <v>9</v>
      </c>
      <c r="D46" s="1">
        <v>140</v>
      </c>
      <c r="E46" s="3">
        <v>3290.05</v>
      </c>
    </row>
    <row r="47" spans="1:5" x14ac:dyDescent="0.25">
      <c r="A47" s="1" t="s">
        <v>74</v>
      </c>
      <c r="B47" s="1" t="s">
        <v>75</v>
      </c>
      <c r="C47" s="1"/>
      <c r="D47" s="1">
        <v>130</v>
      </c>
      <c r="E47" s="3">
        <v>3290.05</v>
      </c>
    </row>
    <row r="48" spans="1:5" x14ac:dyDescent="0.25">
      <c r="A48" s="1" t="s">
        <v>76</v>
      </c>
      <c r="B48" s="1"/>
      <c r="C48" s="1" t="s">
        <v>9</v>
      </c>
      <c r="D48" s="1">
        <v>100</v>
      </c>
      <c r="E48" s="2">
        <v>4103.17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4103.17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4103.17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4103.17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4103.17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4103.17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4103.17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4103.17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v>5818.97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6892-2B23-4FA4-9279-9F8647A23E59}">
  <dimension ref="A1:H58"/>
  <sheetViews>
    <sheetView topLeftCell="A43" workbookViewId="0">
      <selection sqref="A1:E58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5">
        <v>7585.93</v>
      </c>
      <c r="G3" s="6">
        <f>E3/5486.54</f>
        <v>1.3826437062338013</v>
      </c>
      <c r="H3" t="s">
        <v>90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7585.93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7585.93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5902.73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f>E8</f>
        <v>5902.73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f>E8</f>
        <v>5902.73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5100.51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3">
        <v>6644.74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2">
        <f>E12</f>
        <v>6644.74</v>
      </c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f>E3</f>
        <v>7585.93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6413.91</v>
      </c>
      <c r="G15" s="6">
        <f>E15/4855.15</f>
        <v>1.3210529025879736</v>
      </c>
      <c r="H15" t="s">
        <v>90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5" x14ac:dyDescent="0.25">
      <c r="A17" s="1" t="s">
        <v>31</v>
      </c>
      <c r="B17" s="1" t="s">
        <v>32</v>
      </c>
      <c r="C17" s="1"/>
      <c r="D17" s="1">
        <v>150</v>
      </c>
      <c r="E17" s="3">
        <v>5014.28</v>
      </c>
    </row>
    <row r="18" spans="1:5" x14ac:dyDescent="0.25">
      <c r="A18" s="1" t="s">
        <v>33</v>
      </c>
      <c r="B18" s="1" t="s">
        <v>34</v>
      </c>
      <c r="C18" s="1" t="s">
        <v>9</v>
      </c>
      <c r="D18" s="1">
        <v>375</v>
      </c>
      <c r="E18" s="3">
        <v>5014.28</v>
      </c>
    </row>
    <row r="19" spans="1:5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6056.63</v>
      </c>
    </row>
    <row r="20" spans="1:5" x14ac:dyDescent="0.25">
      <c r="A20" s="1" t="s">
        <v>37</v>
      </c>
      <c r="B20" s="1" t="s">
        <v>38</v>
      </c>
      <c r="C20" s="1" t="s">
        <v>9</v>
      </c>
      <c r="D20" s="1">
        <v>100</v>
      </c>
      <c r="E20" s="3">
        <v>5014.28</v>
      </c>
    </row>
    <row r="21" spans="1:5" x14ac:dyDescent="0.25">
      <c r="A21" s="1" t="s">
        <v>39</v>
      </c>
      <c r="B21" s="1" t="s">
        <v>38</v>
      </c>
      <c r="C21" s="1" t="s">
        <v>9</v>
      </c>
      <c r="D21" s="1">
        <v>100</v>
      </c>
      <c r="E21" s="3">
        <v>5014.28</v>
      </c>
    </row>
    <row r="22" spans="1:5" x14ac:dyDescent="0.25">
      <c r="A22" s="1" t="s">
        <v>40</v>
      </c>
      <c r="B22" s="1" t="s">
        <v>38</v>
      </c>
      <c r="C22" s="1" t="s">
        <v>9</v>
      </c>
      <c r="D22" s="1">
        <v>115</v>
      </c>
      <c r="E22" s="3">
        <v>5014.28</v>
      </c>
    </row>
    <row r="23" spans="1:5" x14ac:dyDescent="0.25">
      <c r="A23" s="1" t="s">
        <v>41</v>
      </c>
      <c r="B23" s="1" t="s">
        <v>38</v>
      </c>
      <c r="C23" s="1" t="s">
        <v>9</v>
      </c>
      <c r="D23" s="1">
        <v>125</v>
      </c>
      <c r="E23" s="3">
        <v>5014.28</v>
      </c>
    </row>
    <row r="24" spans="1:5" x14ac:dyDescent="0.25">
      <c r="A24" s="1" t="s">
        <v>42</v>
      </c>
      <c r="B24" s="1" t="s">
        <v>38</v>
      </c>
      <c r="C24" s="1" t="s">
        <v>9</v>
      </c>
      <c r="D24" s="1">
        <v>125</v>
      </c>
      <c r="E24" s="3">
        <v>5014.28</v>
      </c>
    </row>
    <row r="25" spans="1:5" x14ac:dyDescent="0.25">
      <c r="A25" s="1" t="s">
        <v>43</v>
      </c>
      <c r="B25" s="1" t="s">
        <v>38</v>
      </c>
      <c r="C25" s="1" t="s">
        <v>9</v>
      </c>
      <c r="D25" s="1">
        <v>140</v>
      </c>
      <c r="E25" s="3">
        <v>5014.28</v>
      </c>
    </row>
    <row r="26" spans="1:5" x14ac:dyDescent="0.25">
      <c r="A26" s="1" t="s">
        <v>44</v>
      </c>
      <c r="B26" s="1" t="s">
        <v>45</v>
      </c>
      <c r="C26" s="1"/>
      <c r="D26" s="1">
        <v>155</v>
      </c>
      <c r="E26" s="3">
        <v>5014.28</v>
      </c>
    </row>
    <row r="27" spans="1:5" x14ac:dyDescent="0.25">
      <c r="A27" s="1" t="s">
        <v>46</v>
      </c>
      <c r="B27" s="1" t="s">
        <v>47</v>
      </c>
      <c r="C27" s="1" t="s">
        <v>9</v>
      </c>
      <c r="D27" s="1">
        <v>170</v>
      </c>
      <c r="E27" s="3">
        <v>5014.28</v>
      </c>
    </row>
    <row r="28" spans="1:5" x14ac:dyDescent="0.25">
      <c r="A28" s="1" t="s">
        <v>48</v>
      </c>
      <c r="B28" s="1" t="s">
        <v>49</v>
      </c>
      <c r="C28" s="1" t="s">
        <v>9</v>
      </c>
      <c r="D28" s="1">
        <v>180</v>
      </c>
      <c r="E28" s="3">
        <v>5014.28</v>
      </c>
    </row>
    <row r="29" spans="1:5" x14ac:dyDescent="0.25">
      <c r="A29" s="1" t="s">
        <v>50</v>
      </c>
      <c r="B29" s="1" t="s">
        <v>38</v>
      </c>
      <c r="C29" s="1" t="s">
        <v>9</v>
      </c>
      <c r="D29" s="1">
        <v>185</v>
      </c>
      <c r="E29" s="3">
        <v>5014.28</v>
      </c>
    </row>
    <row r="30" spans="1:5" x14ac:dyDescent="0.25">
      <c r="A30" s="1" t="s">
        <v>51</v>
      </c>
      <c r="B30" s="1" t="s">
        <v>38</v>
      </c>
      <c r="C30" s="1" t="s">
        <v>9</v>
      </c>
      <c r="D30" s="1">
        <v>185</v>
      </c>
      <c r="E30" s="3">
        <v>5014.28</v>
      </c>
    </row>
    <row r="31" spans="1:5" x14ac:dyDescent="0.25">
      <c r="A31" s="1" t="s">
        <v>52</v>
      </c>
      <c r="B31" s="1" t="s">
        <v>38</v>
      </c>
      <c r="C31" s="1" t="s">
        <v>9</v>
      </c>
      <c r="D31" s="1">
        <v>200</v>
      </c>
      <c r="E31" s="3">
        <v>5014.28</v>
      </c>
    </row>
    <row r="32" spans="1:5" x14ac:dyDescent="0.25">
      <c r="A32" s="1" t="s">
        <v>53</v>
      </c>
      <c r="B32" s="1" t="s">
        <v>38</v>
      </c>
      <c r="C32" s="1" t="s">
        <v>9</v>
      </c>
      <c r="D32" s="1">
        <v>200</v>
      </c>
      <c r="E32" s="3">
        <v>5014.28</v>
      </c>
    </row>
    <row r="33" spans="1:5" x14ac:dyDescent="0.25">
      <c r="A33" s="1" t="s">
        <v>54</v>
      </c>
      <c r="B33" s="1" t="s">
        <v>38</v>
      </c>
      <c r="C33" s="1" t="s">
        <v>9</v>
      </c>
      <c r="D33" s="1">
        <v>240</v>
      </c>
      <c r="E33" s="3">
        <v>5014.28</v>
      </c>
    </row>
    <row r="34" spans="1:5" x14ac:dyDescent="0.25">
      <c r="A34" s="1" t="s">
        <v>55</v>
      </c>
      <c r="B34" s="1" t="s">
        <v>56</v>
      </c>
      <c r="C34" s="1" t="s">
        <v>9</v>
      </c>
      <c r="D34" s="1">
        <v>280</v>
      </c>
      <c r="E34" s="3">
        <v>5014.28</v>
      </c>
    </row>
    <row r="35" spans="1:5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6703.03</v>
      </c>
    </row>
    <row r="36" spans="1:5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6703.03</v>
      </c>
    </row>
    <row r="37" spans="1:5" x14ac:dyDescent="0.25">
      <c r="A37" s="1" t="s">
        <v>61</v>
      </c>
      <c r="B37" s="1" t="s">
        <v>62</v>
      </c>
      <c r="C37" s="1" t="s">
        <v>9</v>
      </c>
      <c r="D37" s="1">
        <v>190</v>
      </c>
      <c r="E37" s="3">
        <v>3390.07</v>
      </c>
    </row>
    <row r="38" spans="1:5" x14ac:dyDescent="0.25">
      <c r="A38" s="1" t="s">
        <v>63</v>
      </c>
      <c r="B38" s="1" t="s">
        <v>64</v>
      </c>
      <c r="C38" s="1" t="s">
        <v>9</v>
      </c>
      <c r="D38" s="1">
        <v>350</v>
      </c>
      <c r="E38" s="3">
        <v>3390.07</v>
      </c>
    </row>
    <row r="39" spans="1:5" x14ac:dyDescent="0.25">
      <c r="A39" s="1" t="s">
        <v>65</v>
      </c>
      <c r="B39" s="1" t="s">
        <v>66</v>
      </c>
      <c r="C39" s="1" t="s">
        <v>9</v>
      </c>
      <c r="D39" s="1">
        <v>150</v>
      </c>
      <c r="E39" s="3">
        <v>3390.07</v>
      </c>
    </row>
    <row r="40" spans="1:5" x14ac:dyDescent="0.25">
      <c r="A40" s="1" t="s">
        <v>67</v>
      </c>
      <c r="B40" s="1" t="s">
        <v>66</v>
      </c>
      <c r="C40" s="1" t="s">
        <v>9</v>
      </c>
      <c r="D40" s="1">
        <v>165</v>
      </c>
      <c r="E40" s="3">
        <v>3390.07</v>
      </c>
    </row>
    <row r="41" spans="1:5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5" x14ac:dyDescent="0.25">
      <c r="A42" s="1" t="s">
        <v>69</v>
      </c>
      <c r="B42" s="1" t="s">
        <v>66</v>
      </c>
      <c r="C42" s="1" t="s">
        <v>9</v>
      </c>
      <c r="D42" s="1">
        <v>100</v>
      </c>
      <c r="E42" s="3">
        <v>3390.07</v>
      </c>
    </row>
    <row r="43" spans="1:5" x14ac:dyDescent="0.25">
      <c r="A43" s="1" t="s">
        <v>70</v>
      </c>
      <c r="B43" s="1" t="s">
        <v>66</v>
      </c>
      <c r="C43" s="1" t="s">
        <v>9</v>
      </c>
      <c r="D43" s="1">
        <v>110</v>
      </c>
      <c r="E43" s="3">
        <v>3390.07</v>
      </c>
    </row>
    <row r="44" spans="1:5" x14ac:dyDescent="0.25">
      <c r="A44" s="1" t="s">
        <v>71</v>
      </c>
      <c r="B44" s="1" t="s">
        <v>66</v>
      </c>
      <c r="C44" s="1" t="s">
        <v>9</v>
      </c>
      <c r="D44" s="1">
        <v>125</v>
      </c>
      <c r="E44" s="3">
        <v>3390.07</v>
      </c>
    </row>
    <row r="45" spans="1:5" x14ac:dyDescent="0.25">
      <c r="A45" s="1" t="s">
        <v>72</v>
      </c>
      <c r="B45" s="1" t="s">
        <v>66</v>
      </c>
      <c r="C45" s="1" t="s">
        <v>9</v>
      </c>
      <c r="D45" s="1">
        <v>135</v>
      </c>
      <c r="E45" s="3">
        <v>3390.07</v>
      </c>
    </row>
    <row r="46" spans="1:5" x14ac:dyDescent="0.25">
      <c r="A46" s="1" t="s">
        <v>73</v>
      </c>
      <c r="B46" s="1" t="s">
        <v>66</v>
      </c>
      <c r="C46" s="1" t="s">
        <v>9</v>
      </c>
      <c r="D46" s="1">
        <v>140</v>
      </c>
      <c r="E46" s="3">
        <v>3390.07</v>
      </c>
    </row>
    <row r="47" spans="1:5" x14ac:dyDescent="0.25">
      <c r="A47" s="1" t="s">
        <v>74</v>
      </c>
      <c r="B47" s="1" t="s">
        <v>75</v>
      </c>
      <c r="C47" s="1"/>
      <c r="D47" s="1">
        <v>130</v>
      </c>
      <c r="E47" s="3">
        <v>3390.07</v>
      </c>
    </row>
    <row r="48" spans="1:5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84B2-0EB4-4B17-B9A8-136C6F5C9372}">
  <dimension ref="A1:E58"/>
  <sheetViews>
    <sheetView workbookViewId="0">
      <selection sqref="A1:E58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5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7585.93</v>
      </c>
    </row>
    <row r="4" spans="1:5" x14ac:dyDescent="0.25">
      <c r="A4" s="1" t="s">
        <v>10</v>
      </c>
      <c r="B4" s="1" t="s">
        <v>11</v>
      </c>
      <c r="C4" s="1"/>
      <c r="D4" s="1">
        <v>75</v>
      </c>
      <c r="E4" s="2">
        <f>E3</f>
        <v>7585.93</v>
      </c>
    </row>
    <row r="5" spans="1:5" x14ac:dyDescent="0.25">
      <c r="A5" s="1" t="s">
        <v>10</v>
      </c>
      <c r="B5" s="1" t="s">
        <v>12</v>
      </c>
      <c r="C5" s="1"/>
      <c r="D5" s="1">
        <v>75</v>
      </c>
      <c r="E5" s="2">
        <f>E3</f>
        <v>7585.93</v>
      </c>
    </row>
    <row r="6" spans="1:5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5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5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5280.81</v>
      </c>
    </row>
    <row r="9" spans="1:5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f>E8</f>
        <v>5280.81</v>
      </c>
    </row>
    <row r="10" spans="1:5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f>E8</f>
        <v>5280.81</v>
      </c>
    </row>
    <row r="11" spans="1:5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5882.97</v>
      </c>
    </row>
    <row r="12" spans="1:5" x14ac:dyDescent="0.25">
      <c r="A12" s="1" t="s">
        <v>21</v>
      </c>
      <c r="B12" s="1" t="s">
        <v>22</v>
      </c>
      <c r="C12" s="1" t="s">
        <v>9</v>
      </c>
      <c r="D12" s="1">
        <v>175</v>
      </c>
      <c r="E12" s="3">
        <v>6644.74</v>
      </c>
    </row>
    <row r="13" spans="1:5" x14ac:dyDescent="0.25">
      <c r="A13" s="1" t="s">
        <v>23</v>
      </c>
      <c r="B13" s="1" t="s">
        <v>24</v>
      </c>
      <c r="C13" s="1" t="s">
        <v>9</v>
      </c>
      <c r="D13" s="1">
        <v>175</v>
      </c>
      <c r="E13" s="2">
        <f>E12</f>
        <v>6644.74</v>
      </c>
    </row>
    <row r="14" spans="1:5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f>E3</f>
        <v>7585.93</v>
      </c>
    </row>
    <row r="15" spans="1:5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6724.38</v>
      </c>
    </row>
    <row r="16" spans="1:5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5" x14ac:dyDescent="0.25">
      <c r="A17" s="1" t="s">
        <v>31</v>
      </c>
      <c r="B17" s="1" t="s">
        <v>32</v>
      </c>
      <c r="C17" s="1"/>
      <c r="D17" s="1">
        <v>150</v>
      </c>
      <c r="E17" s="3">
        <v>5385.42</v>
      </c>
    </row>
    <row r="18" spans="1:5" x14ac:dyDescent="0.25">
      <c r="A18" s="1" t="s">
        <v>33</v>
      </c>
      <c r="B18" s="1" t="s">
        <v>34</v>
      </c>
      <c r="C18" s="1" t="s">
        <v>9</v>
      </c>
      <c r="D18" s="1">
        <v>375</v>
      </c>
      <c r="E18" s="3">
        <v>5385.42</v>
      </c>
    </row>
    <row r="19" spans="1:5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6056.63</v>
      </c>
    </row>
    <row r="20" spans="1:5" x14ac:dyDescent="0.25">
      <c r="A20" s="1" t="s">
        <v>37</v>
      </c>
      <c r="B20" s="1" t="s">
        <v>38</v>
      </c>
      <c r="C20" s="1" t="s">
        <v>9</v>
      </c>
      <c r="D20" s="1">
        <v>100</v>
      </c>
      <c r="E20" s="3">
        <v>5385.42</v>
      </c>
    </row>
    <row r="21" spans="1:5" x14ac:dyDescent="0.25">
      <c r="A21" s="1" t="s">
        <v>39</v>
      </c>
      <c r="B21" s="1" t="s">
        <v>38</v>
      </c>
      <c r="C21" s="1" t="s">
        <v>9</v>
      </c>
      <c r="D21" s="1">
        <v>100</v>
      </c>
      <c r="E21" s="3">
        <v>5385.42</v>
      </c>
    </row>
    <row r="22" spans="1:5" x14ac:dyDescent="0.25">
      <c r="A22" s="1" t="s">
        <v>40</v>
      </c>
      <c r="B22" s="1" t="s">
        <v>38</v>
      </c>
      <c r="C22" s="1" t="s">
        <v>9</v>
      </c>
      <c r="D22" s="1">
        <v>115</v>
      </c>
      <c r="E22" s="3">
        <v>5385.42</v>
      </c>
    </row>
    <row r="23" spans="1:5" x14ac:dyDescent="0.25">
      <c r="A23" s="1" t="s">
        <v>41</v>
      </c>
      <c r="B23" s="1" t="s">
        <v>38</v>
      </c>
      <c r="C23" s="1" t="s">
        <v>9</v>
      </c>
      <c r="D23" s="1">
        <v>125</v>
      </c>
      <c r="E23" s="3">
        <v>5385.42</v>
      </c>
    </row>
    <row r="24" spans="1:5" x14ac:dyDescent="0.25">
      <c r="A24" s="1" t="s">
        <v>42</v>
      </c>
      <c r="B24" s="1" t="s">
        <v>38</v>
      </c>
      <c r="C24" s="1" t="s">
        <v>9</v>
      </c>
      <c r="D24" s="1">
        <v>125</v>
      </c>
      <c r="E24" s="3">
        <v>5385.42</v>
      </c>
    </row>
    <row r="25" spans="1:5" x14ac:dyDescent="0.25">
      <c r="A25" s="1" t="s">
        <v>43</v>
      </c>
      <c r="B25" s="1" t="s">
        <v>38</v>
      </c>
      <c r="C25" s="1" t="s">
        <v>9</v>
      </c>
      <c r="D25" s="1">
        <v>140</v>
      </c>
      <c r="E25" s="3">
        <v>5385.42</v>
      </c>
    </row>
    <row r="26" spans="1:5" x14ac:dyDescent="0.25">
      <c r="A26" s="1" t="s">
        <v>44</v>
      </c>
      <c r="B26" s="1" t="s">
        <v>45</v>
      </c>
      <c r="C26" s="1"/>
      <c r="D26" s="1">
        <v>155</v>
      </c>
      <c r="E26" s="3">
        <v>5385.42</v>
      </c>
    </row>
    <row r="27" spans="1:5" x14ac:dyDescent="0.25">
      <c r="A27" s="1" t="s">
        <v>46</v>
      </c>
      <c r="B27" s="1" t="s">
        <v>47</v>
      </c>
      <c r="C27" s="1" t="s">
        <v>9</v>
      </c>
      <c r="D27" s="1">
        <v>170</v>
      </c>
      <c r="E27" s="3">
        <v>5385.42</v>
      </c>
    </row>
    <row r="28" spans="1:5" x14ac:dyDescent="0.25">
      <c r="A28" s="1" t="s">
        <v>48</v>
      </c>
      <c r="B28" s="1" t="s">
        <v>49</v>
      </c>
      <c r="C28" s="1" t="s">
        <v>9</v>
      </c>
      <c r="D28" s="1">
        <v>180</v>
      </c>
      <c r="E28" s="3">
        <v>5385.42</v>
      </c>
    </row>
    <row r="29" spans="1:5" x14ac:dyDescent="0.25">
      <c r="A29" s="1" t="s">
        <v>50</v>
      </c>
      <c r="B29" s="1" t="s">
        <v>38</v>
      </c>
      <c r="C29" s="1" t="s">
        <v>9</v>
      </c>
      <c r="D29" s="1">
        <v>185</v>
      </c>
      <c r="E29" s="3">
        <v>5385.42</v>
      </c>
    </row>
    <row r="30" spans="1:5" x14ac:dyDescent="0.25">
      <c r="A30" s="1" t="s">
        <v>51</v>
      </c>
      <c r="B30" s="1" t="s">
        <v>38</v>
      </c>
      <c r="C30" s="1" t="s">
        <v>9</v>
      </c>
      <c r="D30" s="1">
        <v>185</v>
      </c>
      <c r="E30" s="3">
        <v>5385.42</v>
      </c>
    </row>
    <row r="31" spans="1:5" x14ac:dyDescent="0.25">
      <c r="A31" s="1" t="s">
        <v>52</v>
      </c>
      <c r="B31" s="1" t="s">
        <v>38</v>
      </c>
      <c r="C31" s="1" t="s">
        <v>9</v>
      </c>
      <c r="D31" s="1">
        <v>200</v>
      </c>
      <c r="E31" s="3">
        <v>5385.42</v>
      </c>
    </row>
    <row r="32" spans="1:5" x14ac:dyDescent="0.25">
      <c r="A32" s="1" t="s">
        <v>53</v>
      </c>
      <c r="B32" s="1" t="s">
        <v>38</v>
      </c>
      <c r="C32" s="1" t="s">
        <v>9</v>
      </c>
      <c r="D32" s="1">
        <v>200</v>
      </c>
      <c r="E32" s="3">
        <v>5385.42</v>
      </c>
    </row>
    <row r="33" spans="1:5" x14ac:dyDescent="0.25">
      <c r="A33" s="1" t="s">
        <v>54</v>
      </c>
      <c r="B33" s="1" t="s">
        <v>38</v>
      </c>
      <c r="C33" s="1" t="s">
        <v>9</v>
      </c>
      <c r="D33" s="1">
        <v>240</v>
      </c>
      <c r="E33" s="3">
        <v>5385.42</v>
      </c>
    </row>
    <row r="34" spans="1:5" x14ac:dyDescent="0.25">
      <c r="A34" s="1" t="s">
        <v>55</v>
      </c>
      <c r="B34" s="1" t="s">
        <v>56</v>
      </c>
      <c r="C34" s="1" t="s">
        <v>9</v>
      </c>
      <c r="D34" s="1">
        <v>280</v>
      </c>
      <c r="E34" s="3">
        <v>5385.42</v>
      </c>
    </row>
    <row r="35" spans="1:5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6703.03</v>
      </c>
    </row>
    <row r="36" spans="1:5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6703.03</v>
      </c>
    </row>
    <row r="37" spans="1:5" x14ac:dyDescent="0.25">
      <c r="A37" s="1" t="s">
        <v>61</v>
      </c>
      <c r="B37" s="1" t="s">
        <v>62</v>
      </c>
      <c r="C37" s="1" t="s">
        <v>9</v>
      </c>
      <c r="D37" s="1">
        <v>190</v>
      </c>
      <c r="E37" s="3">
        <v>3337.28</v>
      </c>
    </row>
    <row r="38" spans="1:5" x14ac:dyDescent="0.25">
      <c r="A38" s="1" t="s">
        <v>63</v>
      </c>
      <c r="B38" s="1" t="s">
        <v>64</v>
      </c>
      <c r="C38" s="1" t="s">
        <v>9</v>
      </c>
      <c r="D38" s="1">
        <v>350</v>
      </c>
      <c r="E38" s="3">
        <v>3337.28</v>
      </c>
    </row>
    <row r="39" spans="1:5" x14ac:dyDescent="0.25">
      <c r="A39" s="1" t="s">
        <v>65</v>
      </c>
      <c r="B39" s="1" t="s">
        <v>66</v>
      </c>
      <c r="C39" s="1" t="s">
        <v>9</v>
      </c>
      <c r="D39" s="1">
        <v>150</v>
      </c>
      <c r="E39" s="3">
        <v>3337.28</v>
      </c>
    </row>
    <row r="40" spans="1:5" x14ac:dyDescent="0.25">
      <c r="A40" s="1" t="s">
        <v>67</v>
      </c>
      <c r="B40" s="1" t="s">
        <v>66</v>
      </c>
      <c r="C40" s="1" t="s">
        <v>9</v>
      </c>
      <c r="D40" s="1">
        <v>165</v>
      </c>
      <c r="E40" s="3">
        <v>3337.28</v>
      </c>
    </row>
    <row r="41" spans="1:5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5" x14ac:dyDescent="0.25">
      <c r="A42" s="1" t="s">
        <v>69</v>
      </c>
      <c r="B42" s="1" t="s">
        <v>66</v>
      </c>
      <c r="C42" s="1" t="s">
        <v>9</v>
      </c>
      <c r="D42" s="1">
        <v>100</v>
      </c>
      <c r="E42" s="3">
        <v>3337.28</v>
      </c>
    </row>
    <row r="43" spans="1:5" x14ac:dyDescent="0.25">
      <c r="A43" s="1" t="s">
        <v>70</v>
      </c>
      <c r="B43" s="1" t="s">
        <v>66</v>
      </c>
      <c r="C43" s="1" t="s">
        <v>9</v>
      </c>
      <c r="D43" s="1">
        <v>110</v>
      </c>
      <c r="E43" s="3">
        <v>3337.28</v>
      </c>
    </row>
    <row r="44" spans="1:5" x14ac:dyDescent="0.25">
      <c r="A44" s="1" t="s">
        <v>71</v>
      </c>
      <c r="B44" s="1" t="s">
        <v>66</v>
      </c>
      <c r="C44" s="1" t="s">
        <v>9</v>
      </c>
      <c r="D44" s="1">
        <v>125</v>
      </c>
      <c r="E44" s="3">
        <v>3337.28</v>
      </c>
    </row>
    <row r="45" spans="1:5" x14ac:dyDescent="0.25">
      <c r="A45" s="1" t="s">
        <v>72</v>
      </c>
      <c r="B45" s="1" t="s">
        <v>66</v>
      </c>
      <c r="C45" s="1" t="s">
        <v>9</v>
      </c>
      <c r="D45" s="1">
        <v>135</v>
      </c>
      <c r="E45" s="3">
        <v>3337.28</v>
      </c>
    </row>
    <row r="46" spans="1:5" x14ac:dyDescent="0.25">
      <c r="A46" s="1" t="s">
        <v>73</v>
      </c>
      <c r="B46" s="1" t="s">
        <v>66</v>
      </c>
      <c r="C46" s="1" t="s">
        <v>9</v>
      </c>
      <c r="D46" s="1">
        <v>140</v>
      </c>
      <c r="E46" s="3">
        <v>3337.28</v>
      </c>
    </row>
    <row r="47" spans="1:5" x14ac:dyDescent="0.25">
      <c r="A47" s="1" t="s">
        <v>74</v>
      </c>
      <c r="B47" s="1" t="s">
        <v>75</v>
      </c>
      <c r="C47" s="1"/>
      <c r="D47" s="1">
        <v>130</v>
      </c>
      <c r="E47" s="3">
        <v>3337.28</v>
      </c>
    </row>
    <row r="48" spans="1:5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7C4A-F362-468A-939F-CC0F395C45A9}">
  <dimension ref="A1:I58"/>
  <sheetViews>
    <sheetView workbookViewId="0">
      <selection activeCell="J17" sqref="J17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7585.93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7585.93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7585.93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5650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5902.73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5902.73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6590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6590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6644.74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f>E3</f>
        <v>7585.93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5650.4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7400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6056.63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5289.26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5289.26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5289.26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5289.26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5289.26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5289.26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7370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6703.03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6703.03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3356.52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3356.52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3356.52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58" xr:uid="{1CDE7C4A-F362-468A-939F-CC0F395C45A9}"/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5AB5-E54B-4BE8-ACF2-3CF1AE35141B}">
  <dimension ref="A1:I58"/>
  <sheetViews>
    <sheetView workbookViewId="0">
      <selection activeCell="E8" sqref="E8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6694.71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6694.71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6694.71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f>6.356*1000</f>
        <v>6356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5902.73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5902.73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5458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f>6.296*1000</f>
        <v>6296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6644.74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f>E3</f>
        <v>6694.71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5650.4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5708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6284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4896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f>5.136*1000</f>
        <v>5136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5289.26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5289.26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f>5.213*1000</f>
        <v>5213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5289.26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7370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6703.03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6703.03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3487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3448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3177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58" xr:uid="{1CDE7C4A-F362-468A-939F-CC0F395C45A9}"/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BA04-9738-4F7F-B16C-3D53A04DEE3E}">
  <dimension ref="A1:I58"/>
  <sheetViews>
    <sheetView workbookViewId="0">
      <selection activeCell="E3" sqref="E3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6694.71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6694.71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6694.71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7568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5902.73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5394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f>6.296*1000</f>
        <v>6296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6644.74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5984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5708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7089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4896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5210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5289.26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5244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5244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5289.26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7370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3283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3382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3253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58" xr:uid="{1CDE7C4A-F362-468A-939F-CC0F395C45A9}"/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98CC-A026-458A-96C2-6DCD85082676}">
  <dimension ref="A1:I58"/>
  <sheetViews>
    <sheetView workbookViewId="0">
      <selection activeCell="E3" sqref="E3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6694.71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6694.71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6694.71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5943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5902.73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5440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f>6.296*1000</f>
        <v>6296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6644.74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5843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5708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7089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4896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5108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5108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5109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5109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7370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3353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3317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3109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58" xr:uid="{1CDE7C4A-F362-468A-939F-CC0F395C45A9}"/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DAAB-7B78-49B6-A95F-6FBB1FE56B57}">
  <dimension ref="A1:I58"/>
  <sheetViews>
    <sheetView workbookViewId="0">
      <selection activeCell="E3" sqref="E3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6694.71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6694.71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6694.71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2960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5943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5902.73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3070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f>6.296*1000</f>
        <v>6296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6644.74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5843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5703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6280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4896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5190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5230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7370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3270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3317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2960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58" xr:uid="{1CDE7C4A-F362-468A-939F-CC0F395C45A9}"/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389C-9B75-4231-AB59-1F189A1F77F6}">
  <dimension ref="A1:I58"/>
  <sheetViews>
    <sheetView workbookViewId="0">
      <selection activeCell="E3" sqref="E3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6694.71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6694.71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6694.71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2960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5897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5902.73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5440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f>6.296*1000</f>
        <v>6296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5843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5588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6284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4896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5069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5174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f>7.004*1000</f>
        <v>7004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3226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3127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2920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58" xr:uid="{1CDE7C4A-F362-468A-939F-CC0F395C45A9}"/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F45F-75D6-4ADA-B75D-4FDEBA535712}">
  <dimension ref="A1:I58"/>
  <sheetViews>
    <sheetView workbookViewId="0">
      <selection activeCell="L3" sqref="L3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6694.71</v>
      </c>
      <c r="G3">
        <v>6.6947099999999997</v>
      </c>
      <c r="H3">
        <f>G3*1000</f>
        <v>6694.71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6694.71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6694.71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2870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5996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5996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5331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f>6.296*1000</f>
        <v>6296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5843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5853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6284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4896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5161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4958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f>7.004*1000</f>
        <v>7004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3126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3058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2870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58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77D1-1482-4AEA-AFF6-B0D26A96D139}">
  <dimension ref="A1:I58"/>
  <sheetViews>
    <sheetView workbookViewId="0">
      <selection activeCell="H4" sqref="H4"/>
    </sheetView>
  </sheetViews>
  <sheetFormatPr defaultRowHeight="15" x14ac:dyDescent="0.25"/>
  <cols>
    <col min="1" max="1" width="8.42578125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6360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6360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6360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2640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6000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6000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5330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f>6.296*1000</f>
        <v>6296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5843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3810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6120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4896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4630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4180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f>7000</f>
        <v>7000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3070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2990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2640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58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5161-5ED9-4839-A892-EF2B1D6B6643}">
  <dimension ref="A1:I58"/>
  <sheetViews>
    <sheetView workbookViewId="0">
      <selection activeCell="A59" sqref="A59:A60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6360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6360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6360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2660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6000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6000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4472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f>6.296*1000</f>
        <v>6296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5955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7856.01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3810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6284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4896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4656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4713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f>7000</f>
        <v>7000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3142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3074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4640.28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2660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4640.28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4640.28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4640.28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4640.28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4640.28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4640.28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4640.28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4640.28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4640.28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4640.28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4640.28</v>
      </c>
    </row>
  </sheetData>
  <autoFilter ref="A1:E60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1057-E45F-4914-859A-5C08F0E21352}">
  <dimension ref="A1:I65"/>
  <sheetViews>
    <sheetView workbookViewId="0">
      <selection activeCell="E65" sqref="E65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6360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6360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6360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2639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6000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6000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4221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7796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5955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7796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5008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6422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4781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4868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3115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2881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4161.9400000000005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4161.9400000000005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216C-30EC-42EF-AD11-F47E145C647C}">
  <dimension ref="A1:I65"/>
  <sheetViews>
    <sheetView topLeftCell="A43" workbookViewId="0">
      <selection activeCell="B5" sqref="B5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6360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6360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6360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2649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6000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6000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4222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4089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6081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7796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4799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5930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4565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4893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3114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2911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4161.9400000000005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4161.9400000000005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40F7-88FE-4978-B551-95D56117FE89}">
  <dimension ref="A1:I65"/>
  <sheetViews>
    <sheetView topLeftCell="A7" workbookViewId="0">
      <selection activeCell="E4" sqref="E4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2659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6000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6000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4222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4089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6081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7232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5008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5930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4222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4461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5289.26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5289.26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5008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3138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2871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4161.9400000000005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4161.9400000000005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AEA4-8AFF-48A3-AC96-403CD3E0E4E5}">
  <dimension ref="A1:I65"/>
  <sheetViews>
    <sheetView workbookViewId="0">
      <selection activeCell="E6" sqref="E6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2554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6000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6000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4222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4222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6081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7232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4850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4222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4762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4135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4932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9170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9170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3150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2795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>
        <f t="shared" si="0"/>
        <v>4161.9400000000005</v>
      </c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4161.9400000000005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2006-EBD1-4B42-AF6F-B410F3346B52}">
  <dimension ref="A1:I79"/>
  <sheetViews>
    <sheetView topLeftCell="A37" workbookViewId="0">
      <selection activeCell="M43" sqref="M43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2518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6000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6000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4179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4179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5699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7232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4700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4222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4627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4179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4874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8046.4699999999993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8046.4699999999993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2990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2968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/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0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59" spans="1:5" x14ac:dyDescent="0.25">
      <c r="A59" s="1" t="s">
        <v>95</v>
      </c>
      <c r="B59" s="1"/>
      <c r="C59" s="1"/>
      <c r="D59" s="1"/>
      <c r="E59" s="4">
        <f>8.04647*1000</f>
        <v>8046.4699999999993</v>
      </c>
    </row>
    <row r="60" spans="1:5" x14ac:dyDescent="0.25">
      <c r="A60" s="1" t="s">
        <v>98</v>
      </c>
      <c r="B60" s="1"/>
      <c r="C60" s="1"/>
      <c r="D60" s="1"/>
      <c r="E60" s="1"/>
    </row>
    <row r="61" spans="1:5" x14ac:dyDescent="0.25">
      <c r="A61" s="1" t="s">
        <v>99</v>
      </c>
      <c r="B61" s="1"/>
      <c r="C61" s="1"/>
      <c r="D61" s="1"/>
      <c r="E61" s="1"/>
    </row>
    <row r="62" spans="1:5" x14ac:dyDescent="0.25">
      <c r="A62" s="1" t="s">
        <v>96</v>
      </c>
      <c r="B62" s="1"/>
      <c r="C62" s="1"/>
      <c r="D62" s="1"/>
      <c r="E62" s="1"/>
    </row>
    <row r="63" spans="1:5" x14ac:dyDescent="0.25">
      <c r="A63" s="1" t="s">
        <v>100</v>
      </c>
      <c r="B63" s="1"/>
      <c r="C63" s="1"/>
      <c r="D63" s="1"/>
      <c r="E63" s="1"/>
    </row>
    <row r="64" spans="1:5" x14ac:dyDescent="0.25">
      <c r="A64" s="1" t="s">
        <v>101</v>
      </c>
      <c r="B64" s="1"/>
      <c r="C64" s="1"/>
      <c r="D64" s="1"/>
      <c r="E64" s="1"/>
    </row>
    <row r="65" spans="1:5" x14ac:dyDescent="0.25">
      <c r="A65" s="1" t="s">
        <v>102</v>
      </c>
      <c r="B65" s="1"/>
      <c r="C65" s="1"/>
      <c r="D65" s="1"/>
      <c r="E65" s="1"/>
    </row>
    <row r="66" spans="1:5" x14ac:dyDescent="0.25">
      <c r="A66" s="1" t="s">
        <v>103</v>
      </c>
      <c r="B66" s="1"/>
      <c r="C66" s="1"/>
      <c r="D66" s="1"/>
      <c r="E66" s="1"/>
    </row>
    <row r="67" spans="1:5" x14ac:dyDescent="0.25">
      <c r="A67" s="1" t="s">
        <v>104</v>
      </c>
      <c r="B67" s="1"/>
      <c r="C67" s="1"/>
      <c r="D67" s="1"/>
      <c r="E67" s="1"/>
    </row>
    <row r="68" spans="1:5" x14ac:dyDescent="0.25">
      <c r="A68" s="1" t="s">
        <v>105</v>
      </c>
      <c r="B68" s="1"/>
      <c r="C68" s="1"/>
      <c r="D68" s="1"/>
      <c r="E68" s="1"/>
    </row>
    <row r="69" spans="1:5" x14ac:dyDescent="0.25">
      <c r="A69" s="1" t="s">
        <v>106</v>
      </c>
      <c r="B69" s="1"/>
      <c r="C69" s="1"/>
      <c r="D69" s="1"/>
      <c r="E69" s="1"/>
    </row>
    <row r="70" spans="1:5" x14ac:dyDescent="0.25">
      <c r="A70" s="1" t="s">
        <v>107</v>
      </c>
      <c r="B70" s="1"/>
      <c r="C70" s="1"/>
      <c r="D70" s="1"/>
      <c r="E70" s="1"/>
    </row>
    <row r="71" spans="1:5" x14ac:dyDescent="0.25">
      <c r="A71" s="1" t="s">
        <v>108</v>
      </c>
      <c r="B71" s="1"/>
      <c r="C71" s="1"/>
      <c r="D71" s="1"/>
      <c r="E71" s="1"/>
    </row>
    <row r="72" spans="1:5" x14ac:dyDescent="0.25">
      <c r="A72" s="1" t="s">
        <v>109</v>
      </c>
      <c r="B72" s="1"/>
      <c r="C72" s="1"/>
      <c r="D72" s="1"/>
      <c r="E72" s="1"/>
    </row>
    <row r="73" spans="1:5" x14ac:dyDescent="0.25">
      <c r="A73" s="1" t="s">
        <v>110</v>
      </c>
      <c r="B73" s="1"/>
      <c r="C73" s="1"/>
      <c r="D73" s="1"/>
      <c r="E73" s="1"/>
    </row>
    <row r="74" spans="1:5" x14ac:dyDescent="0.25">
      <c r="A74" s="1" t="s">
        <v>111</v>
      </c>
      <c r="B74" s="1"/>
      <c r="C74" s="1"/>
      <c r="D74" s="1"/>
      <c r="E74" s="1"/>
    </row>
    <row r="75" spans="1:5" x14ac:dyDescent="0.25">
      <c r="A75" s="1" t="s">
        <v>112</v>
      </c>
      <c r="B75" s="1"/>
      <c r="C75" s="1"/>
      <c r="D75" s="1"/>
      <c r="E75" s="1"/>
    </row>
    <row r="76" spans="1:5" x14ac:dyDescent="0.25">
      <c r="A76" s="1" t="s">
        <v>113</v>
      </c>
      <c r="B76" s="1"/>
      <c r="C76" s="1"/>
      <c r="D76" s="1"/>
      <c r="E76" s="1"/>
    </row>
    <row r="77" spans="1:5" x14ac:dyDescent="0.25">
      <c r="A77" s="1" t="s">
        <v>114</v>
      </c>
      <c r="B77" s="1"/>
      <c r="C77" s="1"/>
      <c r="D77" s="1"/>
      <c r="E77" s="1"/>
    </row>
    <row r="78" spans="1:5" x14ac:dyDescent="0.25">
      <c r="A78" s="1" t="s">
        <v>115</v>
      </c>
      <c r="B78" s="1"/>
      <c r="C78" s="1"/>
      <c r="D78" s="1"/>
      <c r="E78" s="1"/>
    </row>
    <row r="79" spans="1:5" x14ac:dyDescent="0.25">
      <c r="A79" s="1" t="s">
        <v>116</v>
      </c>
      <c r="B79" s="1"/>
      <c r="C79" s="1"/>
      <c r="D79" s="1"/>
      <c r="E79" s="1"/>
    </row>
  </sheetData>
  <autoFilter ref="A1:E79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84F2-162B-4B85-AD0E-2766F8C0A093}">
  <dimension ref="A1:I65"/>
  <sheetViews>
    <sheetView topLeftCell="A4" workbookViewId="0">
      <selection activeCell="M11" sqref="M11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2623</v>
      </c>
    </row>
    <row r="8" spans="1:8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6000</v>
      </c>
      <c r="G8">
        <v>5.8970000000000002</v>
      </c>
      <c r="H8">
        <f>G8*1000</f>
        <v>5897</v>
      </c>
    </row>
    <row r="9" spans="1:8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6000</v>
      </c>
    </row>
    <row r="10" spans="1:8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3496</v>
      </c>
    </row>
    <row r="12" spans="1:8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4179</v>
      </c>
      <c r="G12" t="s">
        <v>94</v>
      </c>
    </row>
    <row r="13" spans="1:8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5699</v>
      </c>
      <c r="G15" t="s">
        <v>93</v>
      </c>
    </row>
    <row r="16" spans="1:8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7547</v>
      </c>
    </row>
    <row r="17" spans="1:7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4843</v>
      </c>
    </row>
    <row r="19" spans="1:7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4222</v>
      </c>
    </row>
    <row r="21" spans="1:7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4525</v>
      </c>
    </row>
    <row r="24" spans="1:7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4421</v>
      </c>
    </row>
    <row r="26" spans="1:7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4965</v>
      </c>
    </row>
    <row r="31" spans="1:7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8046.03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2">
        <f>8.04603*1000</f>
        <v>8046.03</v>
      </c>
    </row>
    <row r="37" spans="1:7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2913</v>
      </c>
      <c r="G37" t="s">
        <v>91</v>
      </c>
    </row>
    <row r="38" spans="1:7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2911</v>
      </c>
    </row>
    <row r="40" spans="1:7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x14ac:dyDescent="0.25">
      <c r="A54" s="1" t="s">
        <v>82</v>
      </c>
      <c r="B54" s="1"/>
      <c r="C54" s="1" t="s">
        <v>9</v>
      </c>
      <c r="D54" s="1">
        <v>185</v>
      </c>
      <c r="E54" s="2"/>
    </row>
    <row r="55" spans="1:5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0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59" spans="1:5" x14ac:dyDescent="0.25">
      <c r="A59" s="1" t="s">
        <v>95</v>
      </c>
      <c r="B59" s="1"/>
      <c r="C59" s="1"/>
      <c r="D59" s="1"/>
      <c r="E59" s="2">
        <f>8.04603*1000</f>
        <v>8046.03</v>
      </c>
    </row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472E-67EE-48B1-9F60-7DEEC874D161}">
  <sheetPr filterMode="1"/>
  <dimension ref="A1:I65"/>
  <sheetViews>
    <sheetView workbookViewId="0">
      <selection activeCell="E36" sqref="E36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hidden="1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hidden="1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hidden="1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2445</v>
      </c>
    </row>
    <row r="8" spans="1:8" hidden="1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3326</v>
      </c>
      <c r="G8">
        <v>5.8970000000000002</v>
      </c>
      <c r="H8">
        <f>G8*1000</f>
        <v>5897</v>
      </c>
    </row>
    <row r="9" spans="1:8" hidden="1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3326</v>
      </c>
    </row>
    <row r="10" spans="1:8" hidden="1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hidden="1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3326</v>
      </c>
    </row>
    <row r="12" spans="1:8" hidden="1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3326</v>
      </c>
      <c r="G12" t="s">
        <v>94</v>
      </c>
    </row>
    <row r="13" spans="1:8" hidden="1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hidden="1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hidden="1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5465</v>
      </c>
      <c r="G15" t="s">
        <v>93</v>
      </c>
    </row>
    <row r="16" spans="1:8" hidden="1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7547</v>
      </c>
    </row>
    <row r="17" spans="1:7" hidden="1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hidden="1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5008</v>
      </c>
    </row>
    <row r="19" spans="1:7" hidden="1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hidden="1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4222</v>
      </c>
    </row>
    <row r="21" spans="1:7" hidden="1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hidden="1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hidden="1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4222</v>
      </c>
    </row>
    <row r="24" spans="1:7" hidden="1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hidden="1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4421</v>
      </c>
    </row>
    <row r="26" spans="1:7" hidden="1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hidden="1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hidden="1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hidden="1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hidden="1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4943</v>
      </c>
    </row>
    <row r="31" spans="1:7" hidden="1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hidden="1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hidden="1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hidden="1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hidden="1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8063.45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8063.45</v>
      </c>
    </row>
    <row r="37" spans="1:7" hidden="1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2881</v>
      </c>
      <c r="G37" t="s">
        <v>91</v>
      </c>
    </row>
    <row r="38" spans="1:7" hidden="1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hidden="1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2850</v>
      </c>
    </row>
    <row r="40" spans="1:7" hidden="1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hidden="1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hidden="1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hidden="1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hidden="1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hidden="1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hidden="1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hidden="1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hidden="1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hidden="1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hidden="1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hidden="1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hidden="1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hidden="1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hidden="1" x14ac:dyDescent="0.25">
      <c r="A54" s="1" t="s">
        <v>82</v>
      </c>
      <c r="B54" s="1"/>
      <c r="C54" s="1" t="s">
        <v>9</v>
      </c>
      <c r="D54" s="1">
        <v>185</v>
      </c>
      <c r="E54" s="2"/>
    </row>
    <row r="55" spans="1:5" hidden="1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0</v>
      </c>
    </row>
    <row r="56" spans="1:5" hidden="1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hidden="1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hidden="1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59" spans="1:5" x14ac:dyDescent="0.25">
      <c r="A59" s="1" t="s">
        <v>95</v>
      </c>
      <c r="B59" s="1"/>
      <c r="C59" s="1"/>
      <c r="D59" s="1"/>
      <c r="E59" s="2">
        <f>8.06345*1000</f>
        <v>8063.45</v>
      </c>
    </row>
    <row r="60" spans="1:5" hidden="1" x14ac:dyDescent="0.25"/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>
    <filterColumn colId="0">
      <filters>
        <filter val="KKP125"/>
        <filter val="KKPT125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5313-9C77-4201-A492-9DD75DD462AA}">
  <sheetPr filterMode="1"/>
  <dimension ref="A1:I65"/>
  <sheetViews>
    <sheetView workbookViewId="0">
      <selection activeCell="D66" sqref="D66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hidden="1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hidden="1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hidden="1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2637</v>
      </c>
    </row>
    <row r="8" spans="1:8" hidden="1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3326</v>
      </c>
      <c r="G8">
        <v>5.8970000000000002</v>
      </c>
      <c r="H8">
        <f>G8*1000</f>
        <v>5897</v>
      </c>
    </row>
    <row r="9" spans="1:8" hidden="1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3326</v>
      </c>
    </row>
    <row r="10" spans="1:8" hidden="1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hidden="1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4179</v>
      </c>
    </row>
    <row r="12" spans="1:8" hidden="1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3326</v>
      </c>
      <c r="G12" t="s">
        <v>94</v>
      </c>
    </row>
    <row r="13" spans="1:8" hidden="1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hidden="1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hidden="1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5106</v>
      </c>
      <c r="G15" t="s">
        <v>93</v>
      </c>
    </row>
    <row r="16" spans="1:8" hidden="1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7547</v>
      </c>
    </row>
    <row r="17" spans="1:7" hidden="1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hidden="1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4904</v>
      </c>
    </row>
    <row r="19" spans="1:7" hidden="1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hidden="1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4222</v>
      </c>
    </row>
    <row r="21" spans="1:7" hidden="1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hidden="1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4245</v>
      </c>
    </row>
    <row r="24" spans="1:7" hidden="1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hidden="1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4319</v>
      </c>
    </row>
    <row r="26" spans="1:7" hidden="1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hidden="1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hidden="1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hidden="1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hidden="1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4943</v>
      </c>
    </row>
    <row r="31" spans="1:7" hidden="1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hidden="1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hidden="1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hidden="1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hidden="1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8055.5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8055.5</v>
      </c>
    </row>
    <row r="37" spans="1:7" hidden="1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2849</v>
      </c>
      <c r="G37" t="s">
        <v>91</v>
      </c>
    </row>
    <row r="38" spans="1:7" hidden="1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hidden="1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2833</v>
      </c>
    </row>
    <row r="40" spans="1:7" hidden="1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hidden="1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hidden="1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hidden="1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hidden="1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hidden="1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hidden="1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hidden="1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hidden="1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hidden="1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hidden="1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hidden="1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hidden="1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hidden="1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hidden="1" x14ac:dyDescent="0.25">
      <c r="A54" s="1" t="s">
        <v>82</v>
      </c>
      <c r="B54" s="1"/>
      <c r="C54" s="1" t="s">
        <v>9</v>
      </c>
      <c r="D54" s="1">
        <v>185</v>
      </c>
      <c r="E54" s="2"/>
    </row>
    <row r="55" spans="1:5" hidden="1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0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hidden="1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hidden="1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59" spans="1:5" x14ac:dyDescent="0.25">
      <c r="A59" s="1" t="s">
        <v>95</v>
      </c>
      <c r="B59" s="1"/>
      <c r="C59" s="1"/>
      <c r="D59" s="1"/>
      <c r="E59" s="2">
        <f>8.0555*1000</f>
        <v>8055.5</v>
      </c>
    </row>
    <row r="60" spans="1:5" hidden="1" x14ac:dyDescent="0.25"/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>
    <filterColumn colId="0">
      <filters>
        <filter val="KKN125"/>
        <filter val="KKP125"/>
        <filter val="KKPT125"/>
        <filter val="TL125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E659-66C4-47A0-96A8-B928242755AE}">
  <sheetPr filterMode="1"/>
  <dimension ref="A1:I65"/>
  <sheetViews>
    <sheetView workbookViewId="0">
      <selection activeCell="E36" sqref="E36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hidden="1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hidden="1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hidden="1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2564</v>
      </c>
    </row>
    <row r="8" spans="1:8" hidden="1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3411</v>
      </c>
      <c r="G8">
        <v>5.8970000000000002</v>
      </c>
      <c r="H8">
        <f>G8*1000</f>
        <v>5897</v>
      </c>
    </row>
    <row r="9" spans="1:8" hidden="1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3411</v>
      </c>
    </row>
    <row r="10" spans="1:8" hidden="1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hidden="1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4269</v>
      </c>
    </row>
    <row r="12" spans="1:8" hidden="1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3326</v>
      </c>
      <c r="G12" t="s">
        <v>94</v>
      </c>
    </row>
    <row r="13" spans="1:8" hidden="1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hidden="1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hidden="1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5106</v>
      </c>
      <c r="G15" t="s">
        <v>93</v>
      </c>
    </row>
    <row r="16" spans="1:8" hidden="1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8021</v>
      </c>
    </row>
    <row r="17" spans="1:7" hidden="1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hidden="1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4904</v>
      </c>
    </row>
    <row r="19" spans="1:7" hidden="1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hidden="1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4212</v>
      </c>
    </row>
    <row r="21" spans="1:7" hidden="1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hidden="1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4406</v>
      </c>
    </row>
    <row r="24" spans="1:7" hidden="1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hidden="1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4179</v>
      </c>
    </row>
    <row r="26" spans="1:7" hidden="1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hidden="1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hidden="1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hidden="1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hidden="1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4861</v>
      </c>
    </row>
    <row r="31" spans="1:7" hidden="1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hidden="1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hidden="1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hidden="1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hidden="1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8095.1900000000005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8095.1900000000005</v>
      </c>
    </row>
    <row r="37" spans="1:7" hidden="1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2907</v>
      </c>
      <c r="G37" t="s">
        <v>91</v>
      </c>
    </row>
    <row r="38" spans="1:7" hidden="1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hidden="1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2916</v>
      </c>
    </row>
    <row r="40" spans="1:7" hidden="1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hidden="1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hidden="1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hidden="1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hidden="1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hidden="1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hidden="1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hidden="1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hidden="1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hidden="1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hidden="1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hidden="1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hidden="1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hidden="1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hidden="1" x14ac:dyDescent="0.25">
      <c r="A54" s="1" t="s">
        <v>82</v>
      </c>
      <c r="B54" s="1"/>
      <c r="C54" s="1" t="s">
        <v>9</v>
      </c>
      <c r="D54" s="1">
        <v>185</v>
      </c>
      <c r="E54" s="2"/>
    </row>
    <row r="55" spans="1:5" hidden="1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0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hidden="1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hidden="1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59" spans="1:5" x14ac:dyDescent="0.25">
      <c r="A59" t="s">
        <v>95</v>
      </c>
      <c r="D59" s="11">
        <v>125</v>
      </c>
      <c r="E59" s="12">
        <f>8.09519*1000</f>
        <v>8095.1900000000005</v>
      </c>
    </row>
    <row r="60" spans="1:5" hidden="1" x14ac:dyDescent="0.25"/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>
    <filterColumn colId="0">
      <filters>
        <filter val="KKN125"/>
        <filter val="KKP125"/>
        <filter val="KKPT125"/>
        <filter val="TL125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4244-39A5-4127-817F-441C03F925A4}">
  <sheetPr filterMode="1"/>
  <dimension ref="A1:I65"/>
  <sheetViews>
    <sheetView workbookViewId="0">
      <selection activeCell="E36" sqref="E36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hidden="1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hidden="1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hidden="1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2391</v>
      </c>
    </row>
    <row r="8" spans="1:8" hidden="1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4546</v>
      </c>
      <c r="G8">
        <v>5.8970000000000002</v>
      </c>
      <c r="H8">
        <f>G8*1000</f>
        <v>5897</v>
      </c>
    </row>
    <row r="9" spans="1:8" hidden="1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4546</v>
      </c>
    </row>
    <row r="10" spans="1:8" hidden="1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hidden="1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4546</v>
      </c>
    </row>
    <row r="12" spans="1:8" hidden="1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3326</v>
      </c>
      <c r="G12" t="s">
        <v>94</v>
      </c>
    </row>
    <row r="13" spans="1:8" hidden="1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hidden="1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hidden="1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5699</v>
      </c>
      <c r="G15" t="s">
        <v>93</v>
      </c>
    </row>
    <row r="16" spans="1:8" hidden="1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8021</v>
      </c>
    </row>
    <row r="17" spans="1:7" hidden="1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hidden="1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4904</v>
      </c>
    </row>
    <row r="19" spans="1:7" hidden="1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hidden="1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4212</v>
      </c>
    </row>
    <row r="21" spans="1:7" hidden="1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hidden="1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4434</v>
      </c>
    </row>
    <row r="24" spans="1:7" hidden="1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hidden="1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4179</v>
      </c>
    </row>
    <row r="26" spans="1:7" hidden="1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hidden="1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hidden="1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hidden="1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hidden="1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4623</v>
      </c>
    </row>
    <row r="31" spans="1:7" hidden="1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hidden="1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hidden="1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hidden="1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hidden="1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8095.39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8095.39</v>
      </c>
    </row>
    <row r="37" spans="1:7" hidden="1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3004</v>
      </c>
      <c r="G37" t="s">
        <v>91</v>
      </c>
    </row>
    <row r="38" spans="1:7" hidden="1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hidden="1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2771</v>
      </c>
    </row>
    <row r="40" spans="1:7" hidden="1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hidden="1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hidden="1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hidden="1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hidden="1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hidden="1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hidden="1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hidden="1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hidden="1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hidden="1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hidden="1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hidden="1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hidden="1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hidden="1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hidden="1" x14ac:dyDescent="0.25">
      <c r="A54" s="1" t="s">
        <v>82</v>
      </c>
      <c r="B54" s="1"/>
      <c r="C54" s="1" t="s">
        <v>9</v>
      </c>
      <c r="D54" s="1">
        <v>185</v>
      </c>
      <c r="E54" s="2"/>
    </row>
    <row r="55" spans="1:5" hidden="1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0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hidden="1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hidden="1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59" spans="1:5" x14ac:dyDescent="0.25">
      <c r="A59" t="s">
        <v>95</v>
      </c>
      <c r="D59" s="11">
        <v>125</v>
      </c>
      <c r="E59" s="12">
        <f>8.09539*1000</f>
        <v>8095.39</v>
      </c>
    </row>
    <row r="60" spans="1:5" hidden="1" x14ac:dyDescent="0.25"/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>
    <filterColumn colId="0">
      <filters>
        <filter val="KKN125"/>
        <filter val="KKP125"/>
        <filter val="KKPT125"/>
        <filter val="TL125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7B06-E4DC-4587-90CD-9B751FF1FFD2}">
  <sheetPr filterMode="1"/>
  <dimension ref="A1:I65"/>
  <sheetViews>
    <sheetView workbookViewId="0">
      <selection activeCell="E36" sqref="E36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hidden="1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hidden="1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hidden="1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2760</v>
      </c>
    </row>
    <row r="8" spans="1:8" hidden="1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4546</v>
      </c>
      <c r="G8">
        <v>5.8970000000000002</v>
      </c>
      <c r="H8">
        <f>G8*1000</f>
        <v>5897</v>
      </c>
    </row>
    <row r="9" spans="1:8" hidden="1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4546</v>
      </c>
    </row>
    <row r="10" spans="1:8" hidden="1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hidden="1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4546</v>
      </c>
    </row>
    <row r="12" spans="1:8" hidden="1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4546</v>
      </c>
      <c r="G12" t="s">
        <v>94</v>
      </c>
    </row>
    <row r="13" spans="1:8" hidden="1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hidden="1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hidden="1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5699</v>
      </c>
      <c r="G15" t="s">
        <v>93</v>
      </c>
    </row>
    <row r="16" spans="1:8" hidden="1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8021</v>
      </c>
    </row>
    <row r="17" spans="1:7" hidden="1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hidden="1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4699</v>
      </c>
    </row>
    <row r="19" spans="1:7" hidden="1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hidden="1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4212</v>
      </c>
    </row>
    <row r="21" spans="1:7" hidden="1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hidden="1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3921</v>
      </c>
    </row>
    <row r="24" spans="1:7" hidden="1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hidden="1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4179</v>
      </c>
    </row>
    <row r="26" spans="1:7" hidden="1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hidden="1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hidden="1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hidden="1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hidden="1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4819</v>
      </c>
    </row>
    <row r="31" spans="1:7" hidden="1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hidden="1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hidden="1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hidden="1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hidden="1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7969.15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7969.15</v>
      </c>
    </row>
    <row r="37" spans="1:7" hidden="1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3017</v>
      </c>
      <c r="G37" t="s">
        <v>91</v>
      </c>
    </row>
    <row r="38" spans="1:7" hidden="1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hidden="1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2960</v>
      </c>
    </row>
    <row r="40" spans="1:7" hidden="1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hidden="1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hidden="1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hidden="1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2639</v>
      </c>
    </row>
    <row r="44" spans="1:7" hidden="1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hidden="1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hidden="1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hidden="1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hidden="1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hidden="1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hidden="1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hidden="1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hidden="1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hidden="1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hidden="1" x14ac:dyDescent="0.25">
      <c r="A54" s="1" t="s">
        <v>82</v>
      </c>
      <c r="B54" s="1"/>
      <c r="C54" s="1" t="s">
        <v>9</v>
      </c>
      <c r="D54" s="1">
        <v>185</v>
      </c>
      <c r="E54" s="2"/>
    </row>
    <row r="55" spans="1:5" hidden="1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0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hidden="1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hidden="1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59" spans="1:5" x14ac:dyDescent="0.25">
      <c r="A59" t="s">
        <v>95</v>
      </c>
      <c r="D59" s="11">
        <v>125</v>
      </c>
      <c r="E59" s="7">
        <f>7.96915*1000</f>
        <v>7969.15</v>
      </c>
    </row>
    <row r="60" spans="1:5" hidden="1" x14ac:dyDescent="0.25"/>
    <row r="65" spans="5:6" x14ac:dyDescent="0.25">
      <c r="E65">
        <v>4.1619400000000004</v>
      </c>
      <c r="F65">
        <f>E65*1000</f>
        <v>4161.9400000000005</v>
      </c>
    </row>
  </sheetData>
  <autoFilter ref="A1:E60" xr:uid="{1CDE7C4A-F362-468A-939F-CC0F395C45A9}">
    <filterColumn colId="0">
      <filters>
        <filter val="KKN125"/>
        <filter val="KKP125"/>
        <filter val="KKPT125"/>
        <filter val="TL125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A153-2511-4BD2-88C5-FBF09FBCD560}">
  <sheetPr filterMode="1"/>
  <dimension ref="A1:I81"/>
  <sheetViews>
    <sheetView workbookViewId="0">
      <selection activeCell="E36" sqref="E36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hidden="1" x14ac:dyDescent="0.25">
      <c r="A5" s="1" t="s">
        <v>10</v>
      </c>
      <c r="B5" s="1" t="s">
        <v>12</v>
      </c>
      <c r="C5" s="1"/>
      <c r="D5" s="1">
        <v>75</v>
      </c>
      <c r="E5" s="2">
        <f>E3</f>
        <v>6499</v>
      </c>
    </row>
    <row r="6" spans="1:8" hidden="1" x14ac:dyDescent="0.25">
      <c r="A6" s="1" t="s">
        <v>13</v>
      </c>
      <c r="B6" s="1"/>
      <c r="C6" s="1" t="s">
        <v>9</v>
      </c>
      <c r="D6" s="1">
        <v>100</v>
      </c>
      <c r="E6" s="2">
        <v>0</v>
      </c>
    </row>
    <row r="7" spans="1:8" hidden="1" x14ac:dyDescent="0.25">
      <c r="A7" s="1" t="s">
        <v>14</v>
      </c>
      <c r="B7" s="1" t="s">
        <v>15</v>
      </c>
      <c r="C7" s="1" t="s">
        <v>9</v>
      </c>
      <c r="D7" s="1">
        <v>110</v>
      </c>
      <c r="E7" s="2">
        <v>2760</v>
      </c>
    </row>
    <row r="8" spans="1:8" hidden="1" x14ac:dyDescent="0.25">
      <c r="A8" s="1" t="s">
        <v>16</v>
      </c>
      <c r="B8" s="1" t="s">
        <v>17</v>
      </c>
      <c r="C8" s="1" t="s">
        <v>9</v>
      </c>
      <c r="D8" s="1">
        <v>120</v>
      </c>
      <c r="E8" s="3">
        <v>4546</v>
      </c>
      <c r="G8">
        <v>5.8970000000000002</v>
      </c>
      <c r="H8">
        <f>G8*1000</f>
        <v>5897</v>
      </c>
    </row>
    <row r="9" spans="1:8" hidden="1" x14ac:dyDescent="0.25">
      <c r="A9" s="1" t="s">
        <v>18</v>
      </c>
      <c r="B9" s="1" t="s">
        <v>17</v>
      </c>
      <c r="C9" s="1" t="s">
        <v>9</v>
      </c>
      <c r="D9" s="1">
        <v>120</v>
      </c>
      <c r="E9" s="3">
        <v>4546</v>
      </c>
    </row>
    <row r="10" spans="1:8" hidden="1" x14ac:dyDescent="0.25">
      <c r="A10" s="1" t="s">
        <v>19</v>
      </c>
      <c r="B10" s="1" t="s">
        <v>17</v>
      </c>
      <c r="C10" s="1" t="s">
        <v>9</v>
      </c>
      <c r="D10" s="1">
        <v>140</v>
      </c>
      <c r="E10" s="3">
        <v>5394</v>
      </c>
    </row>
    <row r="11" spans="1:8" hidden="1" x14ac:dyDescent="0.25">
      <c r="A11" s="1" t="s">
        <v>20</v>
      </c>
      <c r="B11" s="1" t="s">
        <v>17</v>
      </c>
      <c r="C11" s="1" t="s">
        <v>9</v>
      </c>
      <c r="D11" s="1">
        <v>150</v>
      </c>
      <c r="E11" s="3">
        <v>4542</v>
      </c>
    </row>
    <row r="12" spans="1:8" hidden="1" x14ac:dyDescent="0.25">
      <c r="A12" s="1" t="s">
        <v>21</v>
      </c>
      <c r="B12" s="1" t="s">
        <v>22</v>
      </c>
      <c r="C12" s="1" t="s">
        <v>9</v>
      </c>
      <c r="D12" s="1">
        <v>175</v>
      </c>
      <c r="E12" s="7">
        <v>4546</v>
      </c>
      <c r="G12" t="s">
        <v>94</v>
      </c>
    </row>
    <row r="13" spans="1:8" hidden="1" x14ac:dyDescent="0.25">
      <c r="A13" s="1" t="s">
        <v>23</v>
      </c>
      <c r="B13" s="1" t="s">
        <v>24</v>
      </c>
      <c r="C13" s="1" t="s">
        <v>9</v>
      </c>
      <c r="D13" s="1">
        <v>175</v>
      </c>
      <c r="E13" s="5">
        <v>7796</v>
      </c>
      <c r="G13" s="8"/>
      <c r="H13" s="9"/>
    </row>
    <row r="14" spans="1:8" hidden="1" x14ac:dyDescent="0.25">
      <c r="A14" s="1" t="s">
        <v>25</v>
      </c>
      <c r="B14" s="1" t="s">
        <v>26</v>
      </c>
      <c r="C14" s="1" t="s">
        <v>9</v>
      </c>
      <c r="D14" s="1">
        <v>50</v>
      </c>
      <c r="E14" s="2">
        <v>7154</v>
      </c>
    </row>
    <row r="15" spans="1:8" hidden="1" x14ac:dyDescent="0.25">
      <c r="A15" s="1" t="s">
        <v>27</v>
      </c>
      <c r="B15" s="1" t="s">
        <v>28</v>
      </c>
      <c r="C15" s="1" t="s">
        <v>6</v>
      </c>
      <c r="D15" s="1">
        <v>90</v>
      </c>
      <c r="E15" s="5">
        <v>5699</v>
      </c>
      <c r="G15" t="s">
        <v>93</v>
      </c>
    </row>
    <row r="16" spans="1:8" hidden="1" x14ac:dyDescent="0.25">
      <c r="A16" s="1" t="s">
        <v>29</v>
      </c>
      <c r="B16" s="1" t="s">
        <v>30</v>
      </c>
      <c r="C16" s="1" t="s">
        <v>6</v>
      </c>
      <c r="D16" s="1">
        <v>190</v>
      </c>
      <c r="E16" s="2">
        <v>7261</v>
      </c>
    </row>
    <row r="17" spans="1:7" hidden="1" x14ac:dyDescent="0.25">
      <c r="A17" s="1" t="s">
        <v>31</v>
      </c>
      <c r="B17" s="1" t="s">
        <v>32</v>
      </c>
      <c r="C17" s="1"/>
      <c r="D17" s="1">
        <v>150</v>
      </c>
      <c r="E17" s="7">
        <v>5289.26</v>
      </c>
      <c r="G17" t="s">
        <v>92</v>
      </c>
    </row>
    <row r="18" spans="1:7" hidden="1" x14ac:dyDescent="0.25">
      <c r="A18" s="1" t="s">
        <v>33</v>
      </c>
      <c r="B18" s="1" t="s">
        <v>34</v>
      </c>
      <c r="C18" s="1" t="s">
        <v>9</v>
      </c>
      <c r="D18" s="1">
        <v>375</v>
      </c>
      <c r="E18" s="7">
        <v>5041</v>
      </c>
    </row>
    <row r="19" spans="1:7" hidden="1" x14ac:dyDescent="0.25">
      <c r="A19" s="1" t="s">
        <v>35</v>
      </c>
      <c r="B19" s="1" t="s">
        <v>36</v>
      </c>
      <c r="C19" s="1" t="s">
        <v>9</v>
      </c>
      <c r="D19" s="1">
        <v>80</v>
      </c>
      <c r="E19" s="3">
        <v>5747</v>
      </c>
    </row>
    <row r="20" spans="1:7" hidden="1" x14ac:dyDescent="0.25">
      <c r="A20" s="1" t="s">
        <v>37</v>
      </c>
      <c r="B20" s="1" t="s">
        <v>38</v>
      </c>
      <c r="C20" s="1" t="s">
        <v>9</v>
      </c>
      <c r="D20" s="1">
        <v>100</v>
      </c>
      <c r="E20" s="7">
        <v>4212</v>
      </c>
    </row>
    <row r="21" spans="1:7" hidden="1" x14ac:dyDescent="0.25">
      <c r="A21" s="1" t="s">
        <v>39</v>
      </c>
      <c r="B21" s="1" t="s">
        <v>38</v>
      </c>
      <c r="C21" s="1" t="s">
        <v>9</v>
      </c>
      <c r="D21" s="1">
        <v>100</v>
      </c>
      <c r="E21" s="7">
        <v>5289.26</v>
      </c>
    </row>
    <row r="22" spans="1:7" hidden="1" x14ac:dyDescent="0.25">
      <c r="A22" s="1" t="s">
        <v>40</v>
      </c>
      <c r="B22" s="1" t="s">
        <v>38</v>
      </c>
      <c r="C22" s="1" t="s">
        <v>9</v>
      </c>
      <c r="D22" s="1">
        <v>115</v>
      </c>
      <c r="E22" s="7">
        <v>3877</v>
      </c>
    </row>
    <row r="23" spans="1:7" x14ac:dyDescent="0.25">
      <c r="A23" s="1" t="s">
        <v>41</v>
      </c>
      <c r="B23" s="1" t="s">
        <v>38</v>
      </c>
      <c r="C23" s="1" t="s">
        <v>9</v>
      </c>
      <c r="D23" s="1">
        <v>125</v>
      </c>
      <c r="E23" s="7">
        <v>4434</v>
      </c>
      <c r="G23" s="13">
        <f>E23/1000</f>
        <v>4.4340000000000002</v>
      </c>
    </row>
    <row r="24" spans="1:7" hidden="1" x14ac:dyDescent="0.25">
      <c r="A24" s="1" t="s">
        <v>42</v>
      </c>
      <c r="B24" s="1" t="s">
        <v>38</v>
      </c>
      <c r="C24" s="1" t="s">
        <v>9</v>
      </c>
      <c r="D24" s="1">
        <v>125</v>
      </c>
      <c r="E24" s="7">
        <v>5190</v>
      </c>
    </row>
    <row r="25" spans="1:7" hidden="1" x14ac:dyDescent="0.25">
      <c r="A25" s="1" t="s">
        <v>43</v>
      </c>
      <c r="B25" s="1" t="s">
        <v>38</v>
      </c>
      <c r="C25" s="1" t="s">
        <v>9</v>
      </c>
      <c r="D25" s="1">
        <v>140</v>
      </c>
      <c r="E25" s="7">
        <v>4179</v>
      </c>
    </row>
    <row r="26" spans="1:7" hidden="1" x14ac:dyDescent="0.25">
      <c r="A26" s="1" t="s">
        <v>44</v>
      </c>
      <c r="B26" s="1" t="s">
        <v>45</v>
      </c>
      <c r="C26" s="1"/>
      <c r="D26" s="1">
        <v>155</v>
      </c>
      <c r="E26" s="7">
        <v>5289.26</v>
      </c>
    </row>
    <row r="27" spans="1:7" hidden="1" x14ac:dyDescent="0.25">
      <c r="A27" s="1" t="s">
        <v>46</v>
      </c>
      <c r="B27" s="1" t="s">
        <v>47</v>
      </c>
      <c r="C27" s="1" t="s">
        <v>9</v>
      </c>
      <c r="D27" s="1">
        <v>170</v>
      </c>
      <c r="E27" s="7">
        <v>4902</v>
      </c>
    </row>
    <row r="28" spans="1:7" hidden="1" x14ac:dyDescent="0.25">
      <c r="A28" s="1" t="s">
        <v>48</v>
      </c>
      <c r="B28" s="1" t="s">
        <v>49</v>
      </c>
      <c r="C28" s="1" t="s">
        <v>9</v>
      </c>
      <c r="D28" s="1">
        <v>180</v>
      </c>
      <c r="E28" s="7">
        <v>5289.26</v>
      </c>
    </row>
    <row r="29" spans="1:7" hidden="1" x14ac:dyDescent="0.25">
      <c r="A29" s="1" t="s">
        <v>50</v>
      </c>
      <c r="B29" s="1" t="s">
        <v>38</v>
      </c>
      <c r="C29" s="1" t="s">
        <v>9</v>
      </c>
      <c r="D29" s="1">
        <v>185</v>
      </c>
      <c r="E29" s="7">
        <v>5230</v>
      </c>
    </row>
    <row r="30" spans="1:7" hidden="1" x14ac:dyDescent="0.25">
      <c r="A30" s="1" t="s">
        <v>51</v>
      </c>
      <c r="B30" s="1" t="s">
        <v>38</v>
      </c>
      <c r="C30" s="1" t="s">
        <v>9</v>
      </c>
      <c r="D30" s="1">
        <v>185</v>
      </c>
      <c r="E30" s="7">
        <v>5121</v>
      </c>
    </row>
    <row r="31" spans="1:7" hidden="1" x14ac:dyDescent="0.25">
      <c r="A31" s="1" t="s">
        <v>52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hidden="1" x14ac:dyDescent="0.25">
      <c r="A32" s="1" t="s">
        <v>53</v>
      </c>
      <c r="B32" s="1" t="s">
        <v>38</v>
      </c>
      <c r="C32" s="1" t="s">
        <v>9</v>
      </c>
      <c r="D32" s="1">
        <v>200</v>
      </c>
      <c r="E32" s="7">
        <v>5289.26</v>
      </c>
    </row>
    <row r="33" spans="1:7" hidden="1" x14ac:dyDescent="0.25">
      <c r="A33" s="1" t="s">
        <v>54</v>
      </c>
      <c r="B33" s="1" t="s">
        <v>38</v>
      </c>
      <c r="C33" s="1" t="s">
        <v>9</v>
      </c>
      <c r="D33" s="1">
        <v>240</v>
      </c>
      <c r="E33" s="7">
        <v>5026</v>
      </c>
    </row>
    <row r="34" spans="1:7" hidden="1" x14ac:dyDescent="0.25">
      <c r="A34" s="1" t="s">
        <v>55</v>
      </c>
      <c r="B34" s="1" t="s">
        <v>56</v>
      </c>
      <c r="C34" s="1" t="s">
        <v>9</v>
      </c>
      <c r="D34" s="1">
        <v>280</v>
      </c>
      <c r="E34" s="7">
        <v>7004</v>
      </c>
    </row>
    <row r="35" spans="1:7" hidden="1" x14ac:dyDescent="0.25">
      <c r="A35" s="1" t="s">
        <v>57</v>
      </c>
      <c r="B35" s="1" t="s">
        <v>58</v>
      </c>
      <c r="C35" s="1" t="s">
        <v>9</v>
      </c>
      <c r="D35" s="1">
        <v>130</v>
      </c>
      <c r="E35" s="4">
        <f>E36</f>
        <v>8295</v>
      </c>
    </row>
    <row r="36" spans="1:7" x14ac:dyDescent="0.25">
      <c r="A36" s="1" t="s">
        <v>59</v>
      </c>
      <c r="B36" s="1" t="s">
        <v>60</v>
      </c>
      <c r="C36" s="1" t="s">
        <v>9</v>
      </c>
      <c r="D36" s="1">
        <v>145</v>
      </c>
      <c r="E36" s="4">
        <v>8295</v>
      </c>
    </row>
    <row r="37" spans="1:7" hidden="1" x14ac:dyDescent="0.25">
      <c r="A37" s="1" t="s">
        <v>61</v>
      </c>
      <c r="B37" s="1" t="s">
        <v>62</v>
      </c>
      <c r="C37" s="1" t="s">
        <v>9</v>
      </c>
      <c r="D37" s="1">
        <v>190</v>
      </c>
      <c r="E37" s="7">
        <v>3322</v>
      </c>
      <c r="G37" t="s">
        <v>91</v>
      </c>
    </row>
    <row r="38" spans="1:7" hidden="1" x14ac:dyDescent="0.25">
      <c r="A38" s="1" t="s">
        <v>63</v>
      </c>
      <c r="B38" s="1" t="s">
        <v>64</v>
      </c>
      <c r="C38" s="1" t="s">
        <v>9</v>
      </c>
      <c r="D38" s="1">
        <v>350</v>
      </c>
      <c r="E38" s="7">
        <v>3356.52</v>
      </c>
    </row>
    <row r="39" spans="1:7" hidden="1" x14ac:dyDescent="0.25">
      <c r="A39" s="1" t="s">
        <v>65</v>
      </c>
      <c r="B39" s="1" t="s">
        <v>66</v>
      </c>
      <c r="C39" s="1" t="s">
        <v>9</v>
      </c>
      <c r="D39" s="1">
        <v>150</v>
      </c>
      <c r="E39" s="7">
        <v>3114</v>
      </c>
    </row>
    <row r="40" spans="1:7" hidden="1" x14ac:dyDescent="0.25">
      <c r="A40" s="1" t="s">
        <v>67</v>
      </c>
      <c r="B40" s="1" t="s">
        <v>66</v>
      </c>
      <c r="C40" s="1" t="s">
        <v>9</v>
      </c>
      <c r="D40" s="1">
        <v>165</v>
      </c>
      <c r="E40" s="7">
        <v>3356.52</v>
      </c>
    </row>
    <row r="41" spans="1:7" hidden="1" x14ac:dyDescent="0.25">
      <c r="A41" s="1" t="s">
        <v>68</v>
      </c>
      <c r="B41" s="1"/>
      <c r="C41" s="1"/>
      <c r="D41" s="1">
        <v>110</v>
      </c>
      <c r="E41" s="2">
        <f>E56</f>
        <v>4161.9400000000005</v>
      </c>
    </row>
    <row r="42" spans="1:7" hidden="1" x14ac:dyDescent="0.25">
      <c r="A42" s="1" t="s">
        <v>69</v>
      </c>
      <c r="B42" s="1" t="s">
        <v>66</v>
      </c>
      <c r="C42" s="1" t="s">
        <v>9</v>
      </c>
      <c r="D42" s="1">
        <v>100</v>
      </c>
      <c r="E42" s="7">
        <v>3356.52</v>
      </c>
    </row>
    <row r="43" spans="1:7" hidden="1" x14ac:dyDescent="0.25">
      <c r="A43" s="1" t="s">
        <v>70</v>
      </c>
      <c r="B43" s="1" t="s">
        <v>66</v>
      </c>
      <c r="C43" s="1" t="s">
        <v>9</v>
      </c>
      <c r="D43" s="1">
        <v>110</v>
      </c>
      <c r="E43" s="7">
        <v>2851</v>
      </c>
    </row>
    <row r="44" spans="1:7" hidden="1" x14ac:dyDescent="0.25">
      <c r="A44" s="1" t="s">
        <v>71</v>
      </c>
      <c r="B44" s="1" t="s">
        <v>66</v>
      </c>
      <c r="C44" s="1" t="s">
        <v>9</v>
      </c>
      <c r="D44" s="1">
        <v>125</v>
      </c>
      <c r="E44" s="7">
        <v>3356.52</v>
      </c>
    </row>
    <row r="45" spans="1:7" hidden="1" x14ac:dyDescent="0.25">
      <c r="A45" s="1" t="s">
        <v>72</v>
      </c>
      <c r="B45" s="1" t="s">
        <v>66</v>
      </c>
      <c r="C45" s="1" t="s">
        <v>9</v>
      </c>
      <c r="D45" s="1">
        <v>135</v>
      </c>
      <c r="E45" s="7">
        <v>3356.52</v>
      </c>
    </row>
    <row r="46" spans="1:7" hidden="1" x14ac:dyDescent="0.25">
      <c r="A46" s="1" t="s">
        <v>73</v>
      </c>
      <c r="B46" s="1" t="s">
        <v>66</v>
      </c>
      <c r="C46" s="1" t="s">
        <v>9</v>
      </c>
      <c r="D46" s="1">
        <v>140</v>
      </c>
      <c r="E46" s="7">
        <v>3356.52</v>
      </c>
    </row>
    <row r="47" spans="1:7" hidden="1" x14ac:dyDescent="0.25">
      <c r="A47" s="1" t="s">
        <v>74</v>
      </c>
      <c r="B47" s="1" t="s">
        <v>75</v>
      </c>
      <c r="C47" s="1"/>
      <c r="D47" s="1">
        <v>130</v>
      </c>
      <c r="E47" s="7">
        <v>3356.52</v>
      </c>
    </row>
    <row r="48" spans="1:7" hidden="1" x14ac:dyDescent="0.25">
      <c r="A48" s="1" t="s">
        <v>76</v>
      </c>
      <c r="B48" s="1"/>
      <c r="C48" s="1" t="s">
        <v>9</v>
      </c>
      <c r="D48" s="1">
        <v>100</v>
      </c>
      <c r="E48" s="2">
        <f>E56</f>
        <v>4161.9400000000005</v>
      </c>
    </row>
    <row r="49" spans="1:5" hidden="1" x14ac:dyDescent="0.25">
      <c r="A49" s="1" t="s">
        <v>77</v>
      </c>
      <c r="B49" s="1"/>
      <c r="C49" s="1" t="s">
        <v>9</v>
      </c>
      <c r="D49" s="1">
        <v>80</v>
      </c>
      <c r="E49" s="2">
        <f t="shared" ref="E49:E55" si="0">E48</f>
        <v>4161.9400000000005</v>
      </c>
    </row>
    <row r="50" spans="1:5" hidden="1" x14ac:dyDescent="0.25">
      <c r="A50" s="1" t="s">
        <v>78</v>
      </c>
      <c r="B50" s="1"/>
      <c r="C50" s="1" t="s">
        <v>9</v>
      </c>
      <c r="D50" s="1">
        <v>110</v>
      </c>
      <c r="E50" s="2">
        <f t="shared" si="0"/>
        <v>4161.9400000000005</v>
      </c>
    </row>
    <row r="51" spans="1:5" hidden="1" x14ac:dyDescent="0.25">
      <c r="A51" s="1" t="s">
        <v>79</v>
      </c>
      <c r="B51" s="1"/>
      <c r="C51" s="1" t="s">
        <v>9</v>
      </c>
      <c r="D51" s="1">
        <v>120</v>
      </c>
      <c r="E51" s="2">
        <f t="shared" si="0"/>
        <v>4161.9400000000005</v>
      </c>
    </row>
    <row r="52" spans="1:5" hidden="1" x14ac:dyDescent="0.25">
      <c r="A52" s="1" t="s">
        <v>80</v>
      </c>
      <c r="B52" s="1"/>
      <c r="C52" s="1" t="s">
        <v>9</v>
      </c>
      <c r="D52" s="1">
        <v>140</v>
      </c>
      <c r="E52" s="2">
        <f t="shared" si="0"/>
        <v>4161.9400000000005</v>
      </c>
    </row>
    <row r="53" spans="1:5" hidden="1" x14ac:dyDescent="0.25">
      <c r="A53" s="1" t="s">
        <v>81</v>
      </c>
      <c r="B53" s="1"/>
      <c r="C53" s="1"/>
      <c r="D53" s="1">
        <v>160</v>
      </c>
      <c r="E53" s="2">
        <f t="shared" si="0"/>
        <v>4161.9400000000005</v>
      </c>
    </row>
    <row r="54" spans="1:5" hidden="1" x14ac:dyDescent="0.25">
      <c r="A54" s="1" t="s">
        <v>82</v>
      </c>
      <c r="B54" s="1"/>
      <c r="C54" s="1" t="s">
        <v>9</v>
      </c>
      <c r="D54" s="1">
        <v>185</v>
      </c>
      <c r="E54" s="2"/>
    </row>
    <row r="55" spans="1:5" hidden="1" x14ac:dyDescent="0.25">
      <c r="A55" s="1" t="s">
        <v>83</v>
      </c>
      <c r="B55" s="1"/>
      <c r="C55" s="1" t="s">
        <v>9</v>
      </c>
      <c r="D55" s="1">
        <v>140</v>
      </c>
      <c r="E55" s="2">
        <f t="shared" si="0"/>
        <v>0</v>
      </c>
    </row>
    <row r="56" spans="1:5" x14ac:dyDescent="0.25">
      <c r="A56" s="1" t="s">
        <v>84</v>
      </c>
      <c r="B56" s="1" t="s">
        <v>85</v>
      </c>
      <c r="C56" s="1" t="s">
        <v>9</v>
      </c>
      <c r="D56" s="1">
        <v>125</v>
      </c>
      <c r="E56" s="2">
        <v>4161.9400000000005</v>
      </c>
    </row>
    <row r="57" spans="1:5" hidden="1" x14ac:dyDescent="0.25">
      <c r="A57" s="1" t="s">
        <v>86</v>
      </c>
      <c r="B57" s="1" t="s">
        <v>87</v>
      </c>
      <c r="C57" s="1"/>
      <c r="D57" s="1">
        <v>180</v>
      </c>
      <c r="E57" s="2">
        <f>E56</f>
        <v>4161.9400000000005</v>
      </c>
    </row>
    <row r="58" spans="1:5" hidden="1" x14ac:dyDescent="0.25">
      <c r="A58" s="1" t="s">
        <v>88</v>
      </c>
      <c r="B58" s="1" t="s">
        <v>89</v>
      </c>
      <c r="C58" s="1" t="s">
        <v>6</v>
      </c>
      <c r="D58" s="1">
        <v>120</v>
      </c>
      <c r="E58" s="2">
        <f>E57</f>
        <v>4161.9400000000005</v>
      </c>
    </row>
    <row r="59" spans="1:5" x14ac:dyDescent="0.25">
      <c r="A59" s="1" t="s">
        <v>95</v>
      </c>
      <c r="B59" s="1"/>
      <c r="C59" s="1"/>
      <c r="D59" s="1">
        <v>125</v>
      </c>
      <c r="E59" s="7">
        <f>8.295*1000</f>
        <v>8295</v>
      </c>
    </row>
    <row r="60" spans="1:5" hidden="1" x14ac:dyDescent="0.25">
      <c r="A60" s="1" t="s">
        <v>96</v>
      </c>
      <c r="B60" s="1" t="s">
        <v>97</v>
      </c>
      <c r="C60" s="1"/>
      <c r="D60" s="1">
        <v>120</v>
      </c>
      <c r="E60" s="2">
        <v>4434</v>
      </c>
    </row>
    <row r="61" spans="1:5" hidden="1" x14ac:dyDescent="0.25">
      <c r="A61" s="1" t="s">
        <v>98</v>
      </c>
      <c r="B61" s="1"/>
      <c r="C61" s="1"/>
      <c r="D61" s="1"/>
      <c r="E61" s="2">
        <v>4866.7</v>
      </c>
    </row>
    <row r="62" spans="1:5" hidden="1" x14ac:dyDescent="0.25">
      <c r="A62" s="1" t="s">
        <v>99</v>
      </c>
      <c r="B62" s="1"/>
      <c r="C62" s="1"/>
      <c r="D62" s="1"/>
      <c r="E62" s="2">
        <v>4866.7</v>
      </c>
    </row>
    <row r="63" spans="1:5" hidden="1" x14ac:dyDescent="0.25">
      <c r="A63" s="1" t="s">
        <v>100</v>
      </c>
      <c r="B63" s="1"/>
      <c r="C63" s="1"/>
      <c r="D63" s="1"/>
      <c r="E63" s="2"/>
    </row>
    <row r="64" spans="1:5" hidden="1" x14ac:dyDescent="0.25">
      <c r="A64" s="1" t="s">
        <v>101</v>
      </c>
      <c r="B64" s="1"/>
      <c r="C64" s="1"/>
      <c r="D64" s="1"/>
      <c r="E64" s="2">
        <v>5157.72</v>
      </c>
    </row>
    <row r="65" spans="1:5" hidden="1" x14ac:dyDescent="0.25">
      <c r="A65" s="1" t="s">
        <v>102</v>
      </c>
      <c r="B65" s="1"/>
      <c r="C65" s="1"/>
      <c r="D65" s="1"/>
      <c r="E65" s="2">
        <v>5289.26</v>
      </c>
    </row>
    <row r="66" spans="1:5" hidden="1" x14ac:dyDescent="0.25">
      <c r="A66" s="1" t="s">
        <v>103</v>
      </c>
      <c r="B66" s="1"/>
      <c r="C66" s="1"/>
      <c r="D66" s="1"/>
      <c r="E66" s="2">
        <v>4866.7</v>
      </c>
    </row>
    <row r="67" spans="1:5" hidden="1" x14ac:dyDescent="0.25">
      <c r="A67" s="1" t="s">
        <v>104</v>
      </c>
      <c r="B67" s="1"/>
      <c r="C67" s="1"/>
      <c r="D67" s="1"/>
      <c r="E67" s="2">
        <v>4866.7</v>
      </c>
    </row>
    <row r="68" spans="1:5" hidden="1" x14ac:dyDescent="0.25">
      <c r="A68" s="1" t="s">
        <v>105</v>
      </c>
      <c r="B68" s="1"/>
      <c r="C68" s="1"/>
      <c r="D68" s="1"/>
      <c r="E68" s="2">
        <v>7220.34</v>
      </c>
    </row>
    <row r="69" spans="1:5" hidden="1" x14ac:dyDescent="0.25">
      <c r="A69" s="1" t="s">
        <v>106</v>
      </c>
      <c r="B69" s="1"/>
      <c r="C69" s="1"/>
      <c r="D69" s="1"/>
      <c r="E69" s="2">
        <v>7220.34</v>
      </c>
    </row>
    <row r="70" spans="1:5" hidden="1" x14ac:dyDescent="0.25">
      <c r="A70" s="1" t="s">
        <v>107</v>
      </c>
      <c r="B70" s="1"/>
      <c r="C70" s="1"/>
      <c r="D70" s="1"/>
      <c r="E70" s="2">
        <v>7261</v>
      </c>
    </row>
    <row r="71" spans="1:5" hidden="1" x14ac:dyDescent="0.25">
      <c r="A71" s="1" t="s">
        <v>108</v>
      </c>
      <c r="B71" s="1"/>
      <c r="C71" s="1"/>
      <c r="D71" s="1"/>
      <c r="E71" s="2">
        <v>4162</v>
      </c>
    </row>
    <row r="72" spans="1:5" hidden="1" x14ac:dyDescent="0.25">
      <c r="A72" s="1" t="s">
        <v>109</v>
      </c>
      <c r="B72" s="1"/>
      <c r="C72" s="1"/>
      <c r="D72" s="1"/>
      <c r="E72" s="2">
        <v>7220.34</v>
      </c>
    </row>
    <row r="73" spans="1:5" hidden="1" x14ac:dyDescent="0.25">
      <c r="A73" s="1" t="s">
        <v>110</v>
      </c>
      <c r="B73" s="1"/>
      <c r="C73" s="1"/>
      <c r="D73" s="1"/>
      <c r="E73" s="2">
        <v>3103.58</v>
      </c>
    </row>
    <row r="74" spans="1:5" hidden="1" x14ac:dyDescent="0.25">
      <c r="A74" s="1" t="s">
        <v>111</v>
      </c>
      <c r="B74" s="1"/>
      <c r="C74" s="1"/>
      <c r="D74" s="1"/>
      <c r="E74" s="2">
        <v>5075</v>
      </c>
    </row>
    <row r="75" spans="1:5" hidden="1" x14ac:dyDescent="0.25">
      <c r="A75" s="1" t="s">
        <v>112</v>
      </c>
      <c r="B75" s="1"/>
      <c r="C75" s="1"/>
      <c r="D75" s="1"/>
      <c r="E75" s="2">
        <v>3103.58</v>
      </c>
    </row>
    <row r="76" spans="1:5" hidden="1" x14ac:dyDescent="0.25">
      <c r="A76" s="1" t="s">
        <v>113</v>
      </c>
      <c r="B76" s="1"/>
      <c r="C76" s="1"/>
      <c r="D76" s="1"/>
      <c r="E76" s="2">
        <v>3103.58</v>
      </c>
    </row>
    <row r="77" spans="1:5" hidden="1" x14ac:dyDescent="0.25">
      <c r="A77" s="1" t="s">
        <v>114</v>
      </c>
      <c r="B77" s="1"/>
      <c r="C77" s="1"/>
      <c r="D77" s="1"/>
      <c r="E77" s="2">
        <v>3103.58</v>
      </c>
    </row>
    <row r="78" spans="1:5" hidden="1" x14ac:dyDescent="0.25">
      <c r="A78" s="1" t="s">
        <v>115</v>
      </c>
      <c r="B78" s="1"/>
      <c r="C78" s="1"/>
      <c r="D78" s="1"/>
      <c r="E78" s="2">
        <v>5289.26</v>
      </c>
    </row>
    <row r="79" spans="1:5" hidden="1" x14ac:dyDescent="0.25">
      <c r="A79" s="1" t="s">
        <v>116</v>
      </c>
      <c r="B79" s="1"/>
      <c r="C79" s="1"/>
      <c r="D79" s="1"/>
      <c r="E79" s="2">
        <v>3103.58</v>
      </c>
    </row>
    <row r="80" spans="1:5" hidden="1" x14ac:dyDescent="0.25">
      <c r="A80" s="1" t="s">
        <v>117</v>
      </c>
      <c r="B80" s="1"/>
      <c r="C80" s="1"/>
      <c r="D80" s="1"/>
      <c r="E80" s="2">
        <v>4162</v>
      </c>
    </row>
    <row r="81" spans="1:5" hidden="1" x14ac:dyDescent="0.25">
      <c r="A81" s="1" t="s">
        <v>118</v>
      </c>
      <c r="B81" s="1"/>
      <c r="C81" s="1"/>
      <c r="D81" s="1"/>
      <c r="E81" s="2">
        <v>4162</v>
      </c>
    </row>
  </sheetData>
  <autoFilter ref="A1:E81" xr:uid="{1CDE7C4A-F362-468A-939F-CC0F395C45A9}">
    <filterColumn colId="0">
      <filters>
        <filter val="KKN125"/>
        <filter val="KKP125"/>
        <filter val="KKPT125"/>
        <filter val="TL125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9466-1543-4957-8C6C-BBB456760B07}">
  <sheetPr filterMode="1"/>
  <dimension ref="A1:I80"/>
  <sheetViews>
    <sheetView workbookViewId="0">
      <pane ySplit="1" topLeftCell="A35" activePane="bottomLeft" state="frozen"/>
      <selection pane="bottomLeft" activeCell="E58" sqref="E58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6499</v>
      </c>
      <c r="G3">
        <v>6.36</v>
      </c>
      <c r="H3">
        <f>G3*1000</f>
        <v>6360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f>E3</f>
        <v>6499</v>
      </c>
    </row>
    <row r="5" spans="1:8" s="10" customFormat="1" hidden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/>
      <c r="H5"/>
    </row>
    <row r="6" spans="1:8" s="10" customFormat="1" hidden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/>
      <c r="H6"/>
    </row>
    <row r="7" spans="1:8" s="10" customFormat="1" hidden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4479</v>
      </c>
      <c r="F7"/>
      <c r="G7">
        <v>5.8970000000000002</v>
      </c>
      <c r="H7">
        <f>G7*1000</f>
        <v>5897</v>
      </c>
    </row>
    <row r="8" spans="1:8" s="10" customFormat="1" hidden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4479</v>
      </c>
      <c r="F8"/>
      <c r="G8"/>
      <c r="H8"/>
    </row>
    <row r="9" spans="1:8" s="10" customFormat="1" hidden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/>
      <c r="H9"/>
    </row>
    <row r="10" spans="1:8" s="10" customFormat="1" hidden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4413</v>
      </c>
      <c r="F10"/>
      <c r="G10"/>
      <c r="H10"/>
    </row>
    <row r="11" spans="1:8" s="10" customFormat="1" hidden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4452</v>
      </c>
      <c r="F11"/>
      <c r="G11" t="s">
        <v>94</v>
      </c>
      <c r="H11"/>
    </row>
    <row r="12" spans="1:8" s="10" customFormat="1" hidden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 s="8"/>
      <c r="H12" s="9"/>
    </row>
    <row r="13" spans="1:8" s="10" customFormat="1" hidden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/>
      <c r="H13"/>
    </row>
    <row r="14" spans="1:8" s="10" customFormat="1" hidden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5699</v>
      </c>
      <c r="F14"/>
      <c r="G14" t="s">
        <v>93</v>
      </c>
      <c r="H14"/>
    </row>
    <row r="15" spans="1:8" s="10" customFormat="1" hidden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7261</v>
      </c>
      <c r="F15"/>
      <c r="G15"/>
      <c r="H15"/>
    </row>
    <row r="16" spans="1:8" hidden="1" x14ac:dyDescent="0.25">
      <c r="A16" s="1" t="s">
        <v>31</v>
      </c>
      <c r="B16" s="1" t="s">
        <v>32</v>
      </c>
      <c r="C16" s="1"/>
      <c r="D16" s="1">
        <v>150</v>
      </c>
      <c r="E16" s="7">
        <v>5289.26</v>
      </c>
      <c r="G16" t="s">
        <v>92</v>
      </c>
    </row>
    <row r="17" spans="1:7" hidden="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4955</v>
      </c>
    </row>
    <row r="18" spans="1:7" hidden="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</row>
    <row r="19" spans="1:7" hidden="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</row>
    <row r="20" spans="1:7" hidden="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5289.26</v>
      </c>
    </row>
    <row r="21" spans="1:7" hidden="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</row>
    <row r="22" spans="1:7" hidden="1" x14ac:dyDescent="0.25">
      <c r="A22" s="1" t="s">
        <v>41</v>
      </c>
      <c r="B22" s="1" t="s">
        <v>38</v>
      </c>
      <c r="C22" s="1" t="s">
        <v>9</v>
      </c>
      <c r="D22" s="1">
        <v>125</v>
      </c>
      <c r="E22" s="7">
        <v>4133</v>
      </c>
      <c r="G22" s="13">
        <f>E22/1000</f>
        <v>4.133</v>
      </c>
    </row>
    <row r="23" spans="1:7" hidden="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</row>
    <row r="24" spans="1:7" hidden="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4179</v>
      </c>
    </row>
    <row r="25" spans="1:7" hidden="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</row>
    <row r="26" spans="1:7" hidden="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</row>
    <row r="27" spans="1:7" hidden="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5289.26</v>
      </c>
    </row>
    <row r="28" spans="1:7" hidden="1" x14ac:dyDescent="0.25">
      <c r="A28" s="1" t="s">
        <v>50</v>
      </c>
      <c r="B28" s="1" t="s">
        <v>38</v>
      </c>
      <c r="C28" s="1" t="s">
        <v>9</v>
      </c>
      <c r="D28" s="1">
        <v>185</v>
      </c>
      <c r="E28" s="7">
        <v>5230</v>
      </c>
    </row>
    <row r="29" spans="1:7" hidden="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</row>
    <row r="30" spans="1:7" hidden="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5289.26</v>
      </c>
    </row>
    <row r="31" spans="1:7" hidden="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hidden="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</row>
    <row r="33" spans="1:7" hidden="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</row>
    <row r="34" spans="1:7" hidden="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7872.17</v>
      </c>
    </row>
    <row r="35" spans="1:7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f>E58</f>
        <v>7872.17</v>
      </c>
    </row>
    <row r="36" spans="1:7" hidden="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3355</v>
      </c>
      <c r="G36" t="s">
        <v>91</v>
      </c>
    </row>
    <row r="37" spans="1:7" hidden="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</row>
    <row r="38" spans="1:7" hidden="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3323</v>
      </c>
    </row>
    <row r="39" spans="1:7" hidden="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</row>
    <row r="40" spans="1:7" hidden="1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</row>
    <row r="41" spans="1:7" hidden="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3356.52</v>
      </c>
    </row>
    <row r="42" spans="1:7" hidden="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2895</v>
      </c>
    </row>
    <row r="43" spans="1:7" hidden="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3356.52</v>
      </c>
    </row>
    <row r="44" spans="1:7" hidden="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</row>
    <row r="45" spans="1:7" hidden="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</row>
    <row r="46" spans="1:7" hidden="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</row>
    <row r="47" spans="1:7" hidden="1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</row>
    <row r="48" spans="1:7" hidden="1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0">E47</f>
        <v>4161.9400000000005</v>
      </c>
    </row>
    <row r="49" spans="1:5" hidden="1" x14ac:dyDescent="0.25">
      <c r="A49" s="1" t="s">
        <v>78</v>
      </c>
      <c r="B49" s="1"/>
      <c r="C49" s="1" t="s">
        <v>9</v>
      </c>
      <c r="D49" s="1">
        <v>110</v>
      </c>
      <c r="E49" s="2">
        <f t="shared" si="0"/>
        <v>4161.9400000000005</v>
      </c>
    </row>
    <row r="50" spans="1:5" hidden="1" x14ac:dyDescent="0.25">
      <c r="A50" s="1" t="s">
        <v>79</v>
      </c>
      <c r="B50" s="1"/>
      <c r="C50" s="1" t="s">
        <v>9</v>
      </c>
      <c r="D50" s="1">
        <v>120</v>
      </c>
      <c r="E50" s="2">
        <f t="shared" si="0"/>
        <v>4161.9400000000005</v>
      </c>
    </row>
    <row r="51" spans="1:5" hidden="1" x14ac:dyDescent="0.25">
      <c r="A51" s="1" t="s">
        <v>80</v>
      </c>
      <c r="B51" s="1"/>
      <c r="C51" s="1" t="s">
        <v>9</v>
      </c>
      <c r="D51" s="1">
        <v>140</v>
      </c>
      <c r="E51" s="2">
        <f t="shared" si="0"/>
        <v>4161.9400000000005</v>
      </c>
    </row>
    <row r="52" spans="1:5" hidden="1" x14ac:dyDescent="0.25">
      <c r="A52" s="1" t="s">
        <v>81</v>
      </c>
      <c r="B52" s="1"/>
      <c r="C52" s="1"/>
      <c r="D52" s="1">
        <v>160</v>
      </c>
      <c r="E52" s="2">
        <f t="shared" si="0"/>
        <v>4161.9400000000005</v>
      </c>
    </row>
    <row r="53" spans="1:5" hidden="1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</row>
    <row r="54" spans="1:5" hidden="1" x14ac:dyDescent="0.25">
      <c r="A54" s="1" t="s">
        <v>83</v>
      </c>
      <c r="B54" s="1"/>
      <c r="C54" s="1" t="s">
        <v>9</v>
      </c>
      <c r="D54" s="1">
        <v>140</v>
      </c>
      <c r="E54" s="2">
        <f t="shared" si="0"/>
        <v>4162</v>
      </c>
    </row>
    <row r="55" spans="1:5" hidden="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</row>
    <row r="56" spans="1:5" hidden="1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</row>
    <row r="57" spans="1:5" hidden="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</row>
    <row r="58" spans="1:5" x14ac:dyDescent="0.25">
      <c r="A58" s="1" t="s">
        <v>95</v>
      </c>
      <c r="B58" s="1"/>
      <c r="C58" s="1"/>
      <c r="D58" s="1">
        <v>125</v>
      </c>
      <c r="E58" s="7">
        <f>7.87217*1000</f>
        <v>7872.17</v>
      </c>
    </row>
    <row r="59" spans="1:5" hidden="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</row>
    <row r="60" spans="1:5" hidden="1" x14ac:dyDescent="0.25">
      <c r="A60" s="1" t="s">
        <v>98</v>
      </c>
      <c r="B60" s="1"/>
      <c r="C60" s="1"/>
      <c r="D60" s="1"/>
      <c r="E60" s="2">
        <f>4.8667*1000</f>
        <v>4866.7</v>
      </c>
    </row>
    <row r="61" spans="1:5" hidden="1" x14ac:dyDescent="0.25">
      <c r="A61" s="1" t="s">
        <v>99</v>
      </c>
      <c r="B61" s="1"/>
      <c r="C61" s="1"/>
      <c r="D61" s="1"/>
      <c r="E61" s="2">
        <f>4.8667*1000</f>
        <v>4866.7</v>
      </c>
    </row>
    <row r="62" spans="1:5" hidden="1" x14ac:dyDescent="0.25">
      <c r="A62" s="1" t="s">
        <v>100</v>
      </c>
      <c r="B62" s="1"/>
      <c r="C62" s="1"/>
      <c r="D62" s="1"/>
      <c r="E62" s="2"/>
    </row>
    <row r="63" spans="1:5" hidden="1" x14ac:dyDescent="0.25">
      <c r="A63" s="1" t="s">
        <v>101</v>
      </c>
      <c r="B63" s="1"/>
      <c r="C63" s="1"/>
      <c r="D63" s="1"/>
      <c r="E63" s="2">
        <f>5.15772*1000</f>
        <v>5157.72</v>
      </c>
    </row>
    <row r="64" spans="1:5" hidden="1" x14ac:dyDescent="0.25">
      <c r="A64" s="1" t="s">
        <v>102</v>
      </c>
      <c r="B64" s="1"/>
      <c r="C64" s="1"/>
      <c r="D64" s="1"/>
      <c r="E64" s="7">
        <v>5289.26</v>
      </c>
    </row>
    <row r="65" spans="1:5" hidden="1" x14ac:dyDescent="0.25">
      <c r="A65" s="1" t="s">
        <v>103</v>
      </c>
      <c r="B65" s="1"/>
      <c r="C65" s="1"/>
      <c r="D65" s="1"/>
      <c r="E65" s="2">
        <f>4.8667*1000</f>
        <v>4866.7</v>
      </c>
    </row>
    <row r="66" spans="1:5" hidden="1" x14ac:dyDescent="0.25">
      <c r="A66" s="1" t="s">
        <v>104</v>
      </c>
      <c r="B66" s="1"/>
      <c r="C66" s="1"/>
      <c r="D66" s="1"/>
      <c r="E66" s="2">
        <f>4.8667*1000</f>
        <v>4866.7</v>
      </c>
    </row>
    <row r="67" spans="1:5" hidden="1" x14ac:dyDescent="0.25">
      <c r="A67" s="1" t="s">
        <v>105</v>
      </c>
      <c r="B67" s="1"/>
      <c r="C67" s="1"/>
      <c r="D67" s="1"/>
      <c r="E67" s="2">
        <f>7.22034*1000</f>
        <v>7220.34</v>
      </c>
    </row>
    <row r="68" spans="1:5" hidden="1" x14ac:dyDescent="0.25">
      <c r="A68" s="1" t="s">
        <v>106</v>
      </c>
      <c r="B68" s="1"/>
      <c r="C68" s="1"/>
      <c r="D68" s="1"/>
      <c r="E68" s="2">
        <f>7.22034*1000</f>
        <v>7220.34</v>
      </c>
    </row>
    <row r="69" spans="1:5" hidden="1" x14ac:dyDescent="0.25">
      <c r="A69" s="1" t="s">
        <v>107</v>
      </c>
      <c r="B69" s="1"/>
      <c r="C69" s="1"/>
      <c r="D69" s="1"/>
      <c r="E69" s="2">
        <v>7261</v>
      </c>
    </row>
    <row r="70" spans="1:5" hidden="1" x14ac:dyDescent="0.25">
      <c r="A70" s="1" t="s">
        <v>108</v>
      </c>
      <c r="B70" s="1"/>
      <c r="C70" s="1"/>
      <c r="D70" s="1"/>
      <c r="E70" s="2">
        <f>4.162*1000</f>
        <v>4162</v>
      </c>
    </row>
    <row r="71" spans="1:5" hidden="1" x14ac:dyDescent="0.25">
      <c r="A71" s="1" t="s">
        <v>109</v>
      </c>
      <c r="B71" s="1"/>
      <c r="C71" s="1"/>
      <c r="D71" s="1"/>
      <c r="E71" s="2">
        <f>7.22034*1000</f>
        <v>7220.34</v>
      </c>
    </row>
    <row r="72" spans="1:5" hidden="1" x14ac:dyDescent="0.25">
      <c r="A72" s="1" t="s">
        <v>110</v>
      </c>
      <c r="B72" s="1"/>
      <c r="C72" s="1"/>
      <c r="D72" s="1"/>
      <c r="E72" s="2">
        <f>3.10358*1000</f>
        <v>3103.58</v>
      </c>
    </row>
    <row r="73" spans="1:5" hidden="1" x14ac:dyDescent="0.25">
      <c r="A73" s="1" t="s">
        <v>111</v>
      </c>
      <c r="B73" s="1"/>
      <c r="C73" s="1"/>
      <c r="D73" s="1"/>
      <c r="E73" s="2">
        <f>5.075*1000</f>
        <v>5075</v>
      </c>
    </row>
    <row r="74" spans="1:5" hidden="1" x14ac:dyDescent="0.25">
      <c r="A74" s="1" t="s">
        <v>112</v>
      </c>
      <c r="B74" s="1"/>
      <c r="C74" s="1"/>
      <c r="D74" s="1"/>
      <c r="E74" s="2">
        <f>3.10358*1000</f>
        <v>3103.58</v>
      </c>
    </row>
    <row r="75" spans="1:5" hidden="1" x14ac:dyDescent="0.25">
      <c r="A75" s="1" t="s">
        <v>113</v>
      </c>
      <c r="B75" s="1"/>
      <c r="C75" s="1"/>
      <c r="D75" s="1"/>
      <c r="E75" s="2">
        <f>3.10358*1000</f>
        <v>3103.58</v>
      </c>
    </row>
    <row r="76" spans="1:5" hidden="1" x14ac:dyDescent="0.25">
      <c r="A76" s="1" t="s">
        <v>114</v>
      </c>
      <c r="B76" s="1"/>
      <c r="C76" s="1"/>
      <c r="D76" s="1"/>
      <c r="E76" s="2">
        <f>3.10358*1000</f>
        <v>3103.58</v>
      </c>
    </row>
    <row r="77" spans="1:5" hidden="1" x14ac:dyDescent="0.25">
      <c r="A77" s="1" t="s">
        <v>115</v>
      </c>
      <c r="B77" s="1"/>
      <c r="C77" s="1"/>
      <c r="D77" s="1"/>
      <c r="E77" s="7">
        <v>5289.26</v>
      </c>
    </row>
    <row r="78" spans="1:5" hidden="1" x14ac:dyDescent="0.25">
      <c r="A78" s="1" t="s">
        <v>116</v>
      </c>
      <c r="B78" s="1"/>
      <c r="C78" s="1"/>
      <c r="D78" s="1"/>
      <c r="E78" s="2">
        <f>3.10358*1000</f>
        <v>3103.58</v>
      </c>
    </row>
    <row r="79" spans="1:5" hidden="1" x14ac:dyDescent="0.25">
      <c r="A79" t="s">
        <v>117</v>
      </c>
      <c r="B79" s="1"/>
      <c r="C79" s="1"/>
      <c r="D79" s="1"/>
      <c r="E79" s="2">
        <f>4.162*1000</f>
        <v>4162</v>
      </c>
    </row>
    <row r="80" spans="1:5" hidden="1" x14ac:dyDescent="0.25">
      <c r="A80" t="s">
        <v>118</v>
      </c>
      <c r="B80" s="1"/>
      <c r="C80" s="1"/>
      <c r="D80" s="1"/>
      <c r="E80" s="2">
        <f>4.162*1000</f>
        <v>4162</v>
      </c>
    </row>
  </sheetData>
  <autoFilter ref="A1:E80" xr:uid="{1CDE7C4A-F362-468A-939F-CC0F395C45A9}">
    <filterColumn colId="0">
      <filters>
        <filter val="KKP125"/>
        <filter val="KKPT125"/>
      </filters>
    </filterColumn>
  </autoFilter>
  <conditionalFormatting sqref="A1:A1048576">
    <cfRule type="duplicateValues" dxfId="2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6FAA-565B-4142-941B-9017A3408F7B}">
  <sheetPr filterMode="1"/>
  <dimension ref="A1:I83"/>
  <sheetViews>
    <sheetView workbookViewId="0">
      <pane ySplit="1" topLeftCell="A35" activePane="bottomLeft" state="frozen"/>
      <selection pane="bottomLeft" activeCell="G84" sqref="G84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6.36</v>
      </c>
      <c r="H3">
        <f>G3*1000</f>
        <v>6360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v>5669</v>
      </c>
    </row>
    <row r="5" spans="1:8" s="10" customFormat="1" hidden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/>
      <c r="H5"/>
    </row>
    <row r="6" spans="1:8" s="10" customFormat="1" hidden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/>
      <c r="H6"/>
    </row>
    <row r="7" spans="1:8" s="10" customFormat="1" hidden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4543</v>
      </c>
      <c r="F7"/>
      <c r="G7">
        <v>5.8970000000000002</v>
      </c>
      <c r="H7">
        <f>G7*1000</f>
        <v>5897</v>
      </c>
    </row>
    <row r="8" spans="1:8" s="10" customFormat="1" hidden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4479</v>
      </c>
      <c r="F8"/>
      <c r="G8"/>
      <c r="H8"/>
    </row>
    <row r="9" spans="1:8" s="10" customFormat="1" hidden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/>
      <c r="H9"/>
    </row>
    <row r="10" spans="1:8" s="10" customFormat="1" hidden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4543</v>
      </c>
      <c r="F10"/>
      <c r="G10"/>
      <c r="H10"/>
    </row>
    <row r="11" spans="1:8" s="10" customFormat="1" hidden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4543</v>
      </c>
      <c r="F11"/>
      <c r="G11" t="s">
        <v>94</v>
      </c>
      <c r="H11"/>
    </row>
    <row r="12" spans="1:8" s="10" customFormat="1" hidden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 s="8"/>
      <c r="H12" s="9"/>
    </row>
    <row r="13" spans="1:8" s="10" customFormat="1" hidden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/>
      <c r="H13"/>
    </row>
    <row r="14" spans="1:8" s="10" customFormat="1" hidden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5699</v>
      </c>
      <c r="F14"/>
      <c r="G14" t="s">
        <v>93</v>
      </c>
      <c r="H14"/>
    </row>
    <row r="15" spans="1:8" s="10" customFormat="1" hidden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7261</v>
      </c>
      <c r="F15"/>
      <c r="G15"/>
      <c r="H15"/>
    </row>
    <row r="16" spans="1:8" hidden="1" x14ac:dyDescent="0.25">
      <c r="A16" s="1" t="s">
        <v>31</v>
      </c>
      <c r="B16" s="1" t="s">
        <v>32</v>
      </c>
      <c r="C16" s="1"/>
      <c r="D16" s="1">
        <v>150</v>
      </c>
      <c r="E16" s="7">
        <v>5289.26</v>
      </c>
      <c r="G16" t="s">
        <v>92</v>
      </c>
    </row>
    <row r="17" spans="1:7" hidden="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5164</v>
      </c>
    </row>
    <row r="18" spans="1:7" hidden="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</row>
    <row r="19" spans="1:7" hidden="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</row>
    <row r="20" spans="1:7" hidden="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4294</v>
      </c>
    </row>
    <row r="21" spans="1:7" hidden="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</row>
    <row r="22" spans="1:7" hidden="1" x14ac:dyDescent="0.25">
      <c r="A22" s="1" t="s">
        <v>41</v>
      </c>
      <c r="B22" s="1" t="s">
        <v>38</v>
      </c>
      <c r="C22" s="1" t="s">
        <v>9</v>
      </c>
      <c r="D22" s="1">
        <v>125</v>
      </c>
      <c r="E22" s="7">
        <v>3992</v>
      </c>
      <c r="G22" s="13">
        <f>E22/1000</f>
        <v>3.992</v>
      </c>
    </row>
    <row r="23" spans="1:7" hidden="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</row>
    <row r="24" spans="1:7" hidden="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4179</v>
      </c>
    </row>
    <row r="25" spans="1:7" hidden="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</row>
    <row r="26" spans="1:7" hidden="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</row>
    <row r="27" spans="1:7" hidden="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5289.26</v>
      </c>
    </row>
    <row r="28" spans="1:7" hidden="1" x14ac:dyDescent="0.25">
      <c r="A28" s="1" t="s">
        <v>50</v>
      </c>
      <c r="B28" s="1" t="s">
        <v>38</v>
      </c>
      <c r="C28" s="1" t="s">
        <v>9</v>
      </c>
      <c r="D28" s="1">
        <v>185</v>
      </c>
      <c r="E28" s="7">
        <v>5230</v>
      </c>
    </row>
    <row r="29" spans="1:7" hidden="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4791</v>
      </c>
    </row>
    <row r="30" spans="1:7" hidden="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5289.26</v>
      </c>
    </row>
    <row r="31" spans="1:7" hidden="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hidden="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</row>
    <row r="33" spans="1:7" hidden="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</row>
    <row r="34" spans="1:7" hidden="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8022.34</v>
      </c>
    </row>
    <row r="35" spans="1:7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f>8.02234*1000</f>
        <v>8022.34</v>
      </c>
    </row>
    <row r="36" spans="1:7" hidden="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3076</v>
      </c>
      <c r="G36" t="s">
        <v>91</v>
      </c>
    </row>
    <row r="37" spans="1:7" hidden="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</row>
    <row r="38" spans="1:7" hidden="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3319</v>
      </c>
    </row>
    <row r="39" spans="1:7" hidden="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</row>
    <row r="40" spans="1:7" hidden="1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</row>
    <row r="41" spans="1:7" hidden="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3356.52</v>
      </c>
    </row>
    <row r="42" spans="1:7" hidden="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3185</v>
      </c>
    </row>
    <row r="43" spans="1:7" hidden="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3356.52</v>
      </c>
    </row>
    <row r="44" spans="1:7" hidden="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</row>
    <row r="45" spans="1:7" hidden="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</row>
    <row r="46" spans="1:7" hidden="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</row>
    <row r="47" spans="1:7" hidden="1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</row>
    <row r="48" spans="1:7" hidden="1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0">E47</f>
        <v>4161.9400000000005</v>
      </c>
    </row>
    <row r="49" spans="1:5" hidden="1" x14ac:dyDescent="0.25">
      <c r="A49" s="1" t="s">
        <v>78</v>
      </c>
      <c r="B49" s="1"/>
      <c r="C49" s="1" t="s">
        <v>9</v>
      </c>
      <c r="D49" s="1">
        <v>110</v>
      </c>
      <c r="E49" s="2">
        <f t="shared" si="0"/>
        <v>4161.9400000000005</v>
      </c>
    </row>
    <row r="50" spans="1:5" hidden="1" x14ac:dyDescent="0.25">
      <c r="A50" s="1" t="s">
        <v>79</v>
      </c>
      <c r="B50" s="1"/>
      <c r="C50" s="1" t="s">
        <v>9</v>
      </c>
      <c r="D50" s="1">
        <v>120</v>
      </c>
      <c r="E50" s="2">
        <f t="shared" si="0"/>
        <v>4161.9400000000005</v>
      </c>
    </row>
    <row r="51" spans="1:5" hidden="1" x14ac:dyDescent="0.25">
      <c r="A51" s="1" t="s">
        <v>80</v>
      </c>
      <c r="B51" s="1"/>
      <c r="C51" s="1" t="s">
        <v>9</v>
      </c>
      <c r="D51" s="1">
        <v>140</v>
      </c>
      <c r="E51" s="2">
        <f t="shared" si="0"/>
        <v>4161.9400000000005</v>
      </c>
    </row>
    <row r="52" spans="1:5" hidden="1" x14ac:dyDescent="0.25">
      <c r="A52" s="1" t="s">
        <v>81</v>
      </c>
      <c r="B52" s="1"/>
      <c r="C52" s="1"/>
      <c r="D52" s="1">
        <v>160</v>
      </c>
      <c r="E52" s="2">
        <f t="shared" si="0"/>
        <v>4161.9400000000005</v>
      </c>
    </row>
    <row r="53" spans="1:5" hidden="1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</row>
    <row r="54" spans="1:5" hidden="1" x14ac:dyDescent="0.25">
      <c r="A54" s="1" t="s">
        <v>83</v>
      </c>
      <c r="B54" s="1"/>
      <c r="C54" s="1" t="s">
        <v>9</v>
      </c>
      <c r="D54" s="1">
        <v>140</v>
      </c>
      <c r="E54" s="2">
        <f t="shared" si="0"/>
        <v>4162</v>
      </c>
    </row>
    <row r="55" spans="1:5" hidden="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</row>
    <row r="56" spans="1:5" hidden="1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</row>
    <row r="57" spans="1:5" hidden="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</row>
    <row r="58" spans="1:5" x14ac:dyDescent="0.25">
      <c r="A58" s="1" t="s">
        <v>95</v>
      </c>
      <c r="B58" s="1"/>
      <c r="C58" s="1"/>
      <c r="D58" s="1">
        <v>125</v>
      </c>
      <c r="E58" s="4">
        <f>8.02234*1000</f>
        <v>8022.34</v>
      </c>
    </row>
    <row r="59" spans="1:5" hidden="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</row>
    <row r="60" spans="1:5" hidden="1" x14ac:dyDescent="0.25">
      <c r="A60" s="1" t="s">
        <v>98</v>
      </c>
      <c r="B60" s="1"/>
      <c r="C60" s="1"/>
      <c r="D60" s="1"/>
      <c r="E60" s="2">
        <f>4.8667*1000</f>
        <v>4866.7</v>
      </c>
    </row>
    <row r="61" spans="1:5" hidden="1" x14ac:dyDescent="0.25">
      <c r="A61" s="1" t="s">
        <v>99</v>
      </c>
      <c r="B61" s="1"/>
      <c r="C61" s="1"/>
      <c r="D61" s="1"/>
      <c r="E61" s="2">
        <f>4.8667*1000</f>
        <v>4866.7</v>
      </c>
    </row>
    <row r="62" spans="1:5" hidden="1" x14ac:dyDescent="0.25">
      <c r="A62" s="1" t="s">
        <v>100</v>
      </c>
      <c r="B62" s="1"/>
      <c r="C62" s="1"/>
      <c r="D62" s="1"/>
      <c r="E62" s="2"/>
    </row>
    <row r="63" spans="1:5" hidden="1" x14ac:dyDescent="0.25">
      <c r="A63" s="1" t="s">
        <v>101</v>
      </c>
      <c r="B63" s="1"/>
      <c r="C63" s="1"/>
      <c r="D63" s="1"/>
      <c r="E63" s="2">
        <f>5.15772*1000</f>
        <v>5157.72</v>
      </c>
    </row>
    <row r="64" spans="1:5" hidden="1" x14ac:dyDescent="0.25">
      <c r="A64" s="1" t="s">
        <v>102</v>
      </c>
      <c r="B64" s="1"/>
      <c r="C64" s="1"/>
      <c r="D64" s="1"/>
      <c r="E64" s="7">
        <v>5289.26</v>
      </c>
    </row>
    <row r="65" spans="1:5" hidden="1" x14ac:dyDescent="0.25">
      <c r="A65" s="1" t="s">
        <v>103</v>
      </c>
      <c r="B65" s="1"/>
      <c r="C65" s="1"/>
      <c r="D65" s="1"/>
      <c r="E65" s="2">
        <f>4.8667*1000</f>
        <v>4866.7</v>
      </c>
    </row>
    <row r="66" spans="1:5" hidden="1" x14ac:dyDescent="0.25">
      <c r="A66" s="1" t="s">
        <v>104</v>
      </c>
      <c r="B66" s="1"/>
      <c r="C66" s="1"/>
      <c r="D66" s="1"/>
      <c r="E66" s="2">
        <f>4.8667*1000</f>
        <v>4866.7</v>
      </c>
    </row>
    <row r="67" spans="1:5" hidden="1" x14ac:dyDescent="0.25">
      <c r="A67" s="1" t="s">
        <v>105</v>
      </c>
      <c r="B67" s="1"/>
      <c r="C67" s="1"/>
      <c r="D67" s="1"/>
      <c r="E67" s="2">
        <f>7.22034*1000</f>
        <v>7220.34</v>
      </c>
    </row>
    <row r="68" spans="1:5" hidden="1" x14ac:dyDescent="0.25">
      <c r="A68" s="1" t="s">
        <v>106</v>
      </c>
      <c r="B68" s="1"/>
      <c r="C68" s="1"/>
      <c r="D68" s="1"/>
      <c r="E68" s="2">
        <f>7.22034*1000</f>
        <v>7220.34</v>
      </c>
    </row>
    <row r="69" spans="1:5" hidden="1" x14ac:dyDescent="0.25">
      <c r="A69" s="1" t="s">
        <v>107</v>
      </c>
      <c r="B69" s="1"/>
      <c r="C69" s="1"/>
      <c r="D69" s="1"/>
      <c r="E69" s="2">
        <v>7261</v>
      </c>
    </row>
    <row r="70" spans="1:5" hidden="1" x14ac:dyDescent="0.25">
      <c r="A70" s="1" t="s">
        <v>108</v>
      </c>
      <c r="B70" s="1"/>
      <c r="C70" s="1"/>
      <c r="D70" s="1"/>
      <c r="E70" s="2">
        <f>4.162*1000</f>
        <v>4162</v>
      </c>
    </row>
    <row r="71" spans="1:5" hidden="1" x14ac:dyDescent="0.25">
      <c r="A71" s="1" t="s">
        <v>109</v>
      </c>
      <c r="B71" s="1"/>
      <c r="C71" s="1"/>
      <c r="D71" s="1"/>
      <c r="E71" s="2">
        <f>7.22034*1000</f>
        <v>7220.34</v>
      </c>
    </row>
    <row r="72" spans="1:5" hidden="1" x14ac:dyDescent="0.25">
      <c r="A72" s="1" t="s">
        <v>110</v>
      </c>
      <c r="B72" s="1"/>
      <c r="C72" s="1"/>
      <c r="D72" s="1"/>
      <c r="E72" s="2">
        <f>3.10358*1000</f>
        <v>3103.58</v>
      </c>
    </row>
    <row r="73" spans="1:5" hidden="1" x14ac:dyDescent="0.25">
      <c r="A73" s="1" t="s">
        <v>111</v>
      </c>
      <c r="B73" s="1"/>
      <c r="C73" s="1"/>
      <c r="D73" s="1"/>
      <c r="E73" s="2">
        <f>5.075*1000</f>
        <v>5075</v>
      </c>
    </row>
    <row r="74" spans="1:5" hidden="1" x14ac:dyDescent="0.25">
      <c r="A74" s="1" t="s">
        <v>112</v>
      </c>
      <c r="B74" s="1"/>
      <c r="C74" s="1"/>
      <c r="D74" s="1"/>
      <c r="E74" s="2">
        <f>3.10358*1000</f>
        <v>3103.58</v>
      </c>
    </row>
    <row r="75" spans="1:5" hidden="1" x14ac:dyDescent="0.25">
      <c r="A75" s="1" t="s">
        <v>113</v>
      </c>
      <c r="B75" s="1"/>
      <c r="C75" s="1"/>
      <c r="D75" s="1"/>
      <c r="E75" s="2">
        <f>3.10358*1000</f>
        <v>3103.58</v>
      </c>
    </row>
    <row r="76" spans="1:5" hidden="1" x14ac:dyDescent="0.25">
      <c r="A76" s="1" t="s">
        <v>114</v>
      </c>
      <c r="B76" s="1"/>
      <c r="C76" s="1"/>
      <c r="D76" s="1"/>
      <c r="E76" s="2">
        <f>3.10358*1000</f>
        <v>3103.58</v>
      </c>
    </row>
    <row r="77" spans="1:5" hidden="1" x14ac:dyDescent="0.25">
      <c r="A77" s="1" t="s">
        <v>115</v>
      </c>
      <c r="B77" s="1"/>
      <c r="C77" s="1"/>
      <c r="D77" s="1"/>
      <c r="E77" s="7">
        <v>5289.26</v>
      </c>
    </row>
    <row r="78" spans="1:5" hidden="1" x14ac:dyDescent="0.25">
      <c r="A78" s="1" t="s">
        <v>116</v>
      </c>
      <c r="B78" s="1"/>
      <c r="C78" s="1"/>
      <c r="D78" s="1"/>
      <c r="E78" s="2">
        <f>3.10358*1000</f>
        <v>3103.58</v>
      </c>
    </row>
    <row r="79" spans="1:5" hidden="1" x14ac:dyDescent="0.25">
      <c r="A79" t="s">
        <v>117</v>
      </c>
      <c r="B79" s="1"/>
      <c r="C79" s="1"/>
      <c r="D79" s="1"/>
      <c r="E79" s="2">
        <f>4.162*1000</f>
        <v>4162</v>
      </c>
    </row>
    <row r="80" spans="1:5" hidden="1" x14ac:dyDescent="0.25">
      <c r="A80" t="s">
        <v>118</v>
      </c>
      <c r="B80" s="1"/>
      <c r="C80" s="1"/>
      <c r="D80" s="1"/>
      <c r="E80" s="2">
        <f>4.162*1000</f>
        <v>4162</v>
      </c>
    </row>
    <row r="81" spans="1:5" hidden="1" x14ac:dyDescent="0.25">
      <c r="A81" t="s">
        <v>119</v>
      </c>
      <c r="E81" s="2">
        <f>4.44361*1000</f>
        <v>4443.6099999999997</v>
      </c>
    </row>
    <row r="82" spans="1:5" hidden="1" x14ac:dyDescent="0.25">
      <c r="A82" t="s">
        <v>120</v>
      </c>
      <c r="B82" s="1" t="s">
        <v>66</v>
      </c>
      <c r="D82" s="11">
        <v>170</v>
      </c>
      <c r="E82" s="7">
        <v>3356.52</v>
      </c>
    </row>
    <row r="83" spans="1:5" hidden="1" x14ac:dyDescent="0.25">
      <c r="A83" t="s">
        <v>121</v>
      </c>
      <c r="E83" s="2">
        <f>4.44361*1000</f>
        <v>4443.6099999999997</v>
      </c>
    </row>
  </sheetData>
  <autoFilter ref="A1:E83" xr:uid="{1CDE7C4A-F362-468A-939F-CC0F395C45A9}">
    <filterColumn colId="0">
      <filters>
        <filter val="KKP125"/>
        <filter val="KKPT125"/>
      </filters>
    </filterColumn>
  </autoFilter>
  <conditionalFormatting sqref="A1:A1048576">
    <cfRule type="duplicateValues" dxfId="19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94E7-DA57-4BB8-BBE3-264FE7C3B07C}">
  <dimension ref="A1:I83"/>
  <sheetViews>
    <sheetView workbookViewId="0">
      <pane ySplit="1" topLeftCell="A2" activePane="bottomLeft" state="frozen"/>
      <selection pane="bottomLeft" activeCell="E35" sqref="E35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v>5669</v>
      </c>
    </row>
    <row r="5" spans="1:8" s="10" customFormat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/>
      <c r="H5"/>
    </row>
    <row r="6" spans="1:8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/>
      <c r="H6"/>
    </row>
    <row r="7" spans="1:8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4740</v>
      </c>
      <c r="F7"/>
      <c r="G7">
        <v>5.8970000000000002</v>
      </c>
      <c r="H7">
        <f>G7*1000</f>
        <v>5897</v>
      </c>
    </row>
    <row r="8" spans="1:8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4740</v>
      </c>
      <c r="F8"/>
      <c r="G8"/>
      <c r="H8"/>
    </row>
    <row r="9" spans="1:8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/>
      <c r="H9"/>
    </row>
    <row r="10" spans="1:8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4801</v>
      </c>
      <c r="F10"/>
      <c r="G10"/>
      <c r="H10"/>
    </row>
    <row r="11" spans="1:8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4543</v>
      </c>
      <c r="F11"/>
      <c r="G11" t="s">
        <v>94</v>
      </c>
      <c r="H11"/>
    </row>
    <row r="12" spans="1:8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 s="8"/>
      <c r="H12" s="9"/>
    </row>
    <row r="13" spans="1:8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/>
      <c r="H13"/>
    </row>
    <row r="14" spans="1:8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5699</v>
      </c>
      <c r="F14"/>
      <c r="G14" t="s">
        <v>93</v>
      </c>
      <c r="H14"/>
    </row>
    <row r="15" spans="1:8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7261</v>
      </c>
      <c r="F15"/>
      <c r="G15"/>
      <c r="H15"/>
    </row>
    <row r="16" spans="1:8" x14ac:dyDescent="0.25">
      <c r="A16" s="1" t="s">
        <v>31</v>
      </c>
      <c r="B16" s="1" t="s">
        <v>32</v>
      </c>
      <c r="C16" s="1"/>
      <c r="D16" s="1">
        <v>150</v>
      </c>
      <c r="E16" s="7">
        <v>5289.26</v>
      </c>
      <c r="G16" t="s">
        <v>92</v>
      </c>
    </row>
    <row r="17" spans="1:7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5164</v>
      </c>
    </row>
    <row r="18" spans="1:7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</row>
    <row r="19" spans="1:7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</row>
    <row r="20" spans="1:7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4294</v>
      </c>
    </row>
    <row r="21" spans="1:7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</row>
    <row r="22" spans="1:7" x14ac:dyDescent="0.25">
      <c r="A22" s="1" t="s">
        <v>41</v>
      </c>
      <c r="B22" s="1" t="s">
        <v>38</v>
      </c>
      <c r="C22" s="1" t="s">
        <v>9</v>
      </c>
      <c r="D22" s="1">
        <v>125</v>
      </c>
      <c r="E22" s="7">
        <v>3528</v>
      </c>
      <c r="G22" s="13">
        <f>E22/1000</f>
        <v>3.528</v>
      </c>
    </row>
    <row r="23" spans="1:7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</row>
    <row r="24" spans="1:7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4179</v>
      </c>
    </row>
    <row r="25" spans="1:7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</row>
    <row r="26" spans="1:7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</row>
    <row r="27" spans="1:7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5289.26</v>
      </c>
    </row>
    <row r="28" spans="1:7" x14ac:dyDescent="0.25">
      <c r="A28" s="1" t="s">
        <v>50</v>
      </c>
      <c r="B28" s="1" t="s">
        <v>38</v>
      </c>
      <c r="C28" s="1" t="s">
        <v>9</v>
      </c>
      <c r="D28" s="1">
        <v>185</v>
      </c>
      <c r="E28" s="7">
        <v>5230</v>
      </c>
    </row>
    <row r="29" spans="1:7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5001</v>
      </c>
    </row>
    <row r="30" spans="1:7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5289.26</v>
      </c>
    </row>
    <row r="31" spans="1:7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</row>
    <row r="33" spans="1:7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</row>
    <row r="34" spans="1:7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8018.2199999999993</v>
      </c>
    </row>
    <row r="35" spans="1:7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8018.2199999999993</v>
      </c>
    </row>
    <row r="36" spans="1:7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3076</v>
      </c>
      <c r="G36" t="s">
        <v>91</v>
      </c>
    </row>
    <row r="37" spans="1:7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</row>
    <row r="38" spans="1:7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3319</v>
      </c>
    </row>
    <row r="39" spans="1:7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</row>
    <row r="40" spans="1:7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</row>
    <row r="41" spans="1:7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3356.52</v>
      </c>
    </row>
    <row r="42" spans="1:7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3338</v>
      </c>
    </row>
    <row r="43" spans="1:7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3356.52</v>
      </c>
    </row>
    <row r="44" spans="1:7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</row>
    <row r="45" spans="1:7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</row>
    <row r="46" spans="1:7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</row>
    <row r="47" spans="1:7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</row>
    <row r="48" spans="1:7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0">E47</f>
        <v>4161.9400000000005</v>
      </c>
    </row>
    <row r="49" spans="1:5" x14ac:dyDescent="0.25">
      <c r="A49" s="1" t="s">
        <v>78</v>
      </c>
      <c r="B49" s="1"/>
      <c r="C49" s="1" t="s">
        <v>9</v>
      </c>
      <c r="D49" s="1">
        <v>110</v>
      </c>
      <c r="E49" s="2">
        <f t="shared" si="0"/>
        <v>4161.9400000000005</v>
      </c>
    </row>
    <row r="50" spans="1:5" x14ac:dyDescent="0.25">
      <c r="A50" s="1" t="s">
        <v>79</v>
      </c>
      <c r="B50" s="1"/>
      <c r="C50" s="1" t="s">
        <v>9</v>
      </c>
      <c r="D50" s="1">
        <v>120</v>
      </c>
      <c r="E50" s="2">
        <f t="shared" si="0"/>
        <v>4161.9400000000005</v>
      </c>
    </row>
    <row r="51" spans="1:5" x14ac:dyDescent="0.25">
      <c r="A51" s="1" t="s">
        <v>80</v>
      </c>
      <c r="B51" s="1"/>
      <c r="C51" s="1" t="s">
        <v>9</v>
      </c>
      <c r="D51" s="1">
        <v>140</v>
      </c>
      <c r="E51" s="2">
        <f t="shared" si="0"/>
        <v>4161.9400000000005</v>
      </c>
    </row>
    <row r="52" spans="1:5" x14ac:dyDescent="0.25">
      <c r="A52" s="1" t="s">
        <v>81</v>
      </c>
      <c r="B52" s="1"/>
      <c r="C52" s="1"/>
      <c r="D52" s="1">
        <v>160</v>
      </c>
      <c r="E52" s="2">
        <f t="shared" si="0"/>
        <v>4161.9400000000005</v>
      </c>
    </row>
    <row r="53" spans="1:5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</row>
    <row r="54" spans="1:5" x14ac:dyDescent="0.25">
      <c r="A54" s="1" t="s">
        <v>83</v>
      </c>
      <c r="B54" s="1"/>
      <c r="C54" s="1" t="s">
        <v>9</v>
      </c>
      <c r="D54" s="1">
        <v>140</v>
      </c>
      <c r="E54" s="2">
        <f t="shared" si="0"/>
        <v>4162</v>
      </c>
    </row>
    <row r="55" spans="1:5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</row>
    <row r="56" spans="1:5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</row>
    <row r="57" spans="1:5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</row>
    <row r="58" spans="1:5" x14ac:dyDescent="0.25">
      <c r="A58" s="1" t="s">
        <v>95</v>
      </c>
      <c r="B58" s="1"/>
      <c r="C58" s="1"/>
      <c r="D58" s="1">
        <v>125</v>
      </c>
      <c r="E58" s="7">
        <f>8.01822*1000</f>
        <v>8018.2199999999993</v>
      </c>
    </row>
    <row r="59" spans="1:5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</row>
    <row r="60" spans="1:5" x14ac:dyDescent="0.25">
      <c r="A60" s="1" t="s">
        <v>98</v>
      </c>
      <c r="B60" s="1"/>
      <c r="C60" s="1"/>
      <c r="D60" s="1"/>
      <c r="E60" s="2">
        <f>4.8667*1000</f>
        <v>4866.7</v>
      </c>
    </row>
    <row r="61" spans="1:5" x14ac:dyDescent="0.25">
      <c r="A61" s="1" t="s">
        <v>99</v>
      </c>
      <c r="B61" s="1"/>
      <c r="C61" s="1"/>
      <c r="D61" s="1"/>
      <c r="E61" s="2">
        <f>4.8667*1000</f>
        <v>4866.7</v>
      </c>
    </row>
    <row r="62" spans="1:5" x14ac:dyDescent="0.25">
      <c r="A62" s="1" t="s">
        <v>100</v>
      </c>
      <c r="B62" s="1"/>
      <c r="C62" s="1"/>
      <c r="D62" s="1"/>
      <c r="E62" s="2"/>
    </row>
    <row r="63" spans="1:5" x14ac:dyDescent="0.25">
      <c r="A63" s="1" t="s">
        <v>101</v>
      </c>
      <c r="B63" s="1"/>
      <c r="C63" s="1"/>
      <c r="D63" s="1"/>
      <c r="E63" s="2">
        <f>5.15772*1000</f>
        <v>5157.72</v>
      </c>
    </row>
    <row r="64" spans="1:5" x14ac:dyDescent="0.25">
      <c r="A64" s="1" t="s">
        <v>102</v>
      </c>
      <c r="B64" s="1"/>
      <c r="C64" s="1"/>
      <c r="D64" s="1"/>
      <c r="E64" s="7">
        <v>5289.26</v>
      </c>
    </row>
    <row r="65" spans="1:5" x14ac:dyDescent="0.25">
      <c r="A65" s="1" t="s">
        <v>103</v>
      </c>
      <c r="B65" s="1"/>
      <c r="C65" s="1"/>
      <c r="D65" s="1"/>
      <c r="E65" s="2">
        <f>4.8667*1000</f>
        <v>4866.7</v>
      </c>
    </row>
    <row r="66" spans="1:5" x14ac:dyDescent="0.25">
      <c r="A66" s="1" t="s">
        <v>104</v>
      </c>
      <c r="B66" s="1"/>
      <c r="C66" s="1"/>
      <c r="D66" s="1"/>
      <c r="E66" s="2">
        <f>4.8667*1000</f>
        <v>4866.7</v>
      </c>
    </row>
    <row r="67" spans="1:5" x14ac:dyDescent="0.25">
      <c r="A67" s="1" t="s">
        <v>105</v>
      </c>
      <c r="B67" s="1"/>
      <c r="C67" s="1"/>
      <c r="D67" s="1"/>
      <c r="E67" s="2">
        <f>7.22034*1000</f>
        <v>7220.34</v>
      </c>
    </row>
    <row r="68" spans="1:5" x14ac:dyDescent="0.25">
      <c r="A68" s="1" t="s">
        <v>106</v>
      </c>
      <c r="B68" s="1"/>
      <c r="C68" s="1"/>
      <c r="D68" s="1"/>
      <c r="E68" s="2">
        <f>7.22034*1000</f>
        <v>7220.34</v>
      </c>
    </row>
    <row r="69" spans="1:5" x14ac:dyDescent="0.25">
      <c r="A69" s="1" t="s">
        <v>107</v>
      </c>
      <c r="B69" s="1"/>
      <c r="C69" s="1"/>
      <c r="D69" s="1"/>
      <c r="E69" s="2">
        <v>7261</v>
      </c>
    </row>
    <row r="70" spans="1:5" x14ac:dyDescent="0.25">
      <c r="A70" s="1" t="s">
        <v>108</v>
      </c>
      <c r="B70" s="1"/>
      <c r="C70" s="1"/>
      <c r="D70" s="1"/>
      <c r="E70" s="2">
        <f>4.162*1000</f>
        <v>4162</v>
      </c>
    </row>
    <row r="71" spans="1:5" x14ac:dyDescent="0.25">
      <c r="A71" s="1" t="s">
        <v>109</v>
      </c>
      <c r="B71" s="1"/>
      <c r="C71" s="1"/>
      <c r="D71" s="1"/>
      <c r="E71" s="2">
        <f>7.22034*1000</f>
        <v>7220.34</v>
      </c>
    </row>
    <row r="72" spans="1:5" x14ac:dyDescent="0.25">
      <c r="A72" s="1" t="s">
        <v>110</v>
      </c>
      <c r="B72" s="1"/>
      <c r="C72" s="1"/>
      <c r="D72" s="1"/>
      <c r="E72" s="2">
        <f>3.10358*1000</f>
        <v>3103.58</v>
      </c>
    </row>
    <row r="73" spans="1:5" x14ac:dyDescent="0.25">
      <c r="A73" s="1" t="s">
        <v>111</v>
      </c>
      <c r="B73" s="1"/>
      <c r="C73" s="1"/>
      <c r="D73" s="1"/>
      <c r="E73" s="2">
        <f>5.075*1000</f>
        <v>5075</v>
      </c>
    </row>
    <row r="74" spans="1:5" x14ac:dyDescent="0.25">
      <c r="A74" s="1" t="s">
        <v>112</v>
      </c>
      <c r="B74" s="1"/>
      <c r="C74" s="1"/>
      <c r="D74" s="1"/>
      <c r="E74" s="2">
        <f>3.10358*1000</f>
        <v>3103.58</v>
      </c>
    </row>
    <row r="75" spans="1:5" x14ac:dyDescent="0.25">
      <c r="A75" s="1" t="s">
        <v>113</v>
      </c>
      <c r="B75" s="1"/>
      <c r="C75" s="1"/>
      <c r="D75" s="1"/>
      <c r="E75" s="2">
        <f>3.10358*1000</f>
        <v>3103.58</v>
      </c>
    </row>
    <row r="76" spans="1:5" x14ac:dyDescent="0.25">
      <c r="A76" s="1" t="s">
        <v>114</v>
      </c>
      <c r="B76" s="1"/>
      <c r="C76" s="1"/>
      <c r="D76" s="1"/>
      <c r="E76" s="2">
        <f>3.10358*1000</f>
        <v>3103.58</v>
      </c>
    </row>
    <row r="77" spans="1:5" x14ac:dyDescent="0.25">
      <c r="A77" s="1" t="s">
        <v>115</v>
      </c>
      <c r="B77" s="1"/>
      <c r="C77" s="1"/>
      <c r="D77" s="1"/>
      <c r="E77" s="7">
        <v>5289.26</v>
      </c>
    </row>
    <row r="78" spans="1:5" x14ac:dyDescent="0.25">
      <c r="A78" s="1" t="s">
        <v>116</v>
      </c>
      <c r="B78" s="1"/>
      <c r="C78" s="1"/>
      <c r="D78" s="1"/>
      <c r="E78" s="2">
        <f>3.10358*1000</f>
        <v>3103.58</v>
      </c>
    </row>
    <row r="79" spans="1:5" x14ac:dyDescent="0.25">
      <c r="A79" t="s">
        <v>117</v>
      </c>
      <c r="B79" s="1"/>
      <c r="C79" s="1"/>
      <c r="D79" s="1"/>
      <c r="E79" s="2">
        <f>4.162*1000</f>
        <v>4162</v>
      </c>
    </row>
    <row r="80" spans="1:5" x14ac:dyDescent="0.25">
      <c r="A80" t="s">
        <v>118</v>
      </c>
      <c r="B80" s="1"/>
      <c r="C80" s="1"/>
      <c r="D80" s="1"/>
      <c r="E80" s="2">
        <f>4.162*1000</f>
        <v>4162</v>
      </c>
    </row>
    <row r="81" spans="1:5" x14ac:dyDescent="0.25">
      <c r="A81" t="s">
        <v>119</v>
      </c>
      <c r="E81" s="2">
        <f>4.44361*1000</f>
        <v>4443.6099999999997</v>
      </c>
    </row>
    <row r="82" spans="1:5" x14ac:dyDescent="0.25">
      <c r="A82" t="s">
        <v>120</v>
      </c>
      <c r="B82" s="1" t="s">
        <v>66</v>
      </c>
      <c r="D82" s="11">
        <v>170</v>
      </c>
      <c r="E82" s="7">
        <v>3356.52</v>
      </c>
    </row>
    <row r="83" spans="1:5" x14ac:dyDescent="0.25">
      <c r="A83" t="s">
        <v>121</v>
      </c>
      <c r="E83" s="2">
        <f>4.44361*1000</f>
        <v>4443.6099999999997</v>
      </c>
    </row>
  </sheetData>
  <autoFilter ref="A1:E83" xr:uid="{1CDE7C4A-F362-468A-939F-CC0F395C45A9}"/>
  <conditionalFormatting sqref="A1:A1048576">
    <cfRule type="duplicateValues" dxfId="18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EC84-D6AC-43B0-A623-E5C069BFE4E6}">
  <dimension ref="A1:I83"/>
  <sheetViews>
    <sheetView workbookViewId="0">
      <pane ySplit="1" topLeftCell="A71" activePane="bottomLeft" state="frozen"/>
      <selection pane="bottomLeft" activeCell="G80" sqref="G80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6.36</v>
      </c>
      <c r="H3">
        <f>G3*1000</f>
        <v>6360</v>
      </c>
    </row>
    <row r="4" spans="1:8" x14ac:dyDescent="0.25">
      <c r="A4" s="1" t="s">
        <v>10</v>
      </c>
      <c r="B4" s="1" t="s">
        <v>11</v>
      </c>
      <c r="C4" s="1"/>
      <c r="D4" s="1">
        <v>75</v>
      </c>
      <c r="E4" s="2">
        <v>5669</v>
      </c>
    </row>
    <row r="5" spans="1:8" s="10" customFormat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/>
      <c r="H5"/>
    </row>
    <row r="6" spans="1:8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/>
      <c r="H6"/>
    </row>
    <row r="7" spans="1:8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4740</v>
      </c>
      <c r="F7"/>
      <c r="G7">
        <v>5.8970000000000002</v>
      </c>
      <c r="H7">
        <f>G7*1000</f>
        <v>5897</v>
      </c>
    </row>
    <row r="8" spans="1:8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4740</v>
      </c>
      <c r="F8"/>
      <c r="G8"/>
      <c r="H8"/>
    </row>
    <row r="9" spans="1:8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/>
      <c r="H9"/>
    </row>
    <row r="10" spans="1:8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4801</v>
      </c>
      <c r="F10"/>
      <c r="G10"/>
      <c r="H10"/>
    </row>
    <row r="11" spans="1:8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4543</v>
      </c>
      <c r="F11"/>
      <c r="G11" t="s">
        <v>94</v>
      </c>
      <c r="H11"/>
    </row>
    <row r="12" spans="1:8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 s="8"/>
      <c r="H12" s="9"/>
    </row>
    <row r="13" spans="1:8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/>
      <c r="H13"/>
    </row>
    <row r="14" spans="1:8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5699</v>
      </c>
      <c r="F14"/>
      <c r="G14" t="s">
        <v>93</v>
      </c>
      <c r="H14"/>
    </row>
    <row r="15" spans="1:8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7261</v>
      </c>
      <c r="F15"/>
      <c r="G15"/>
      <c r="H15"/>
    </row>
    <row r="16" spans="1:8" x14ac:dyDescent="0.25">
      <c r="A16" s="1" t="s">
        <v>31</v>
      </c>
      <c r="B16" s="1" t="s">
        <v>32</v>
      </c>
      <c r="C16" s="1"/>
      <c r="D16" s="1">
        <v>150</v>
      </c>
      <c r="E16" s="7">
        <v>5289.26</v>
      </c>
      <c r="G16" t="s">
        <v>92</v>
      </c>
    </row>
    <row r="17" spans="1:7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4944</v>
      </c>
    </row>
    <row r="18" spans="1:7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</row>
    <row r="19" spans="1:7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</row>
    <row r="20" spans="1:7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4294</v>
      </c>
    </row>
    <row r="21" spans="1:7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</row>
    <row r="22" spans="1:7" x14ac:dyDescent="0.25">
      <c r="A22" s="1" t="s">
        <v>41</v>
      </c>
      <c r="B22" s="1" t="s">
        <v>38</v>
      </c>
      <c r="C22" s="1" t="s">
        <v>9</v>
      </c>
      <c r="D22" s="1">
        <v>125</v>
      </c>
      <c r="E22" s="7">
        <v>4268</v>
      </c>
      <c r="G22" s="13">
        <f>E22/1000</f>
        <v>4.2679999999999998</v>
      </c>
    </row>
    <row r="23" spans="1:7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</row>
    <row r="24" spans="1:7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4179</v>
      </c>
    </row>
    <row r="25" spans="1:7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</row>
    <row r="26" spans="1:7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</row>
    <row r="27" spans="1:7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5289.26</v>
      </c>
    </row>
    <row r="28" spans="1:7" x14ac:dyDescent="0.25">
      <c r="A28" s="1" t="s">
        <v>50</v>
      </c>
      <c r="B28" s="1" t="s">
        <v>38</v>
      </c>
      <c r="C28" s="1" t="s">
        <v>9</v>
      </c>
      <c r="D28" s="1">
        <v>185</v>
      </c>
      <c r="E28" s="7">
        <v>5230</v>
      </c>
    </row>
    <row r="29" spans="1:7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4577</v>
      </c>
    </row>
    <row r="30" spans="1:7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5289.26</v>
      </c>
    </row>
    <row r="31" spans="1:7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5289.26</v>
      </c>
    </row>
    <row r="32" spans="1:7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</row>
    <row r="33" spans="1:7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</row>
    <row r="34" spans="1:7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7970.8180000000002</v>
      </c>
    </row>
    <row r="35" spans="1:7" x14ac:dyDescent="0.25">
      <c r="A35" s="1" t="s">
        <v>59</v>
      </c>
      <c r="B35" s="1" t="s">
        <v>60</v>
      </c>
      <c r="C35" s="1" t="s">
        <v>9</v>
      </c>
      <c r="D35" s="1">
        <v>145</v>
      </c>
      <c r="E35" s="7">
        <f>7.970818*1000</f>
        <v>7970.8180000000002</v>
      </c>
    </row>
    <row r="36" spans="1:7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3425</v>
      </c>
      <c r="G36" t="s">
        <v>91</v>
      </c>
    </row>
    <row r="37" spans="1:7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</row>
    <row r="38" spans="1:7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3319</v>
      </c>
    </row>
    <row r="39" spans="1:7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</row>
    <row r="40" spans="1:7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</row>
    <row r="41" spans="1:7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3356.52</v>
      </c>
    </row>
    <row r="42" spans="1:7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3147</v>
      </c>
    </row>
    <row r="43" spans="1:7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3356.52</v>
      </c>
    </row>
    <row r="44" spans="1:7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</row>
    <row r="45" spans="1:7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</row>
    <row r="46" spans="1:7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</row>
    <row r="47" spans="1:7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</row>
    <row r="48" spans="1:7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0">E47</f>
        <v>4161.9400000000005</v>
      </c>
    </row>
    <row r="49" spans="1:5" x14ac:dyDescent="0.25">
      <c r="A49" s="1" t="s">
        <v>78</v>
      </c>
      <c r="B49" s="1"/>
      <c r="C49" s="1" t="s">
        <v>9</v>
      </c>
      <c r="D49" s="1">
        <v>110</v>
      </c>
      <c r="E49" s="2">
        <f t="shared" si="0"/>
        <v>4161.9400000000005</v>
      </c>
    </row>
    <row r="50" spans="1:5" x14ac:dyDescent="0.25">
      <c r="A50" s="1" t="s">
        <v>79</v>
      </c>
      <c r="B50" s="1"/>
      <c r="C50" s="1" t="s">
        <v>9</v>
      </c>
      <c r="D50" s="1">
        <v>120</v>
      </c>
      <c r="E50" s="2">
        <f t="shared" si="0"/>
        <v>4161.9400000000005</v>
      </c>
    </row>
    <row r="51" spans="1:5" x14ac:dyDescent="0.25">
      <c r="A51" s="1" t="s">
        <v>80</v>
      </c>
      <c r="B51" s="1"/>
      <c r="C51" s="1" t="s">
        <v>9</v>
      </c>
      <c r="D51" s="1">
        <v>140</v>
      </c>
      <c r="E51" s="2">
        <f t="shared" si="0"/>
        <v>4161.9400000000005</v>
      </c>
    </row>
    <row r="52" spans="1:5" x14ac:dyDescent="0.25">
      <c r="A52" s="1" t="s">
        <v>81</v>
      </c>
      <c r="B52" s="1"/>
      <c r="C52" s="1"/>
      <c r="D52" s="1">
        <v>160</v>
      </c>
      <c r="E52" s="2">
        <f t="shared" si="0"/>
        <v>4161.9400000000005</v>
      </c>
    </row>
    <row r="53" spans="1:5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</row>
    <row r="54" spans="1:5" x14ac:dyDescent="0.25">
      <c r="A54" s="1" t="s">
        <v>83</v>
      </c>
      <c r="B54" s="1"/>
      <c r="C54" s="1" t="s">
        <v>9</v>
      </c>
      <c r="D54" s="1">
        <v>140</v>
      </c>
      <c r="E54" s="2">
        <f t="shared" si="0"/>
        <v>4162</v>
      </c>
    </row>
    <row r="55" spans="1:5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</row>
    <row r="56" spans="1:5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</row>
    <row r="57" spans="1:5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</row>
    <row r="58" spans="1:5" x14ac:dyDescent="0.25">
      <c r="A58" s="1" t="s">
        <v>95</v>
      </c>
      <c r="B58" s="1"/>
      <c r="C58" s="1"/>
      <c r="D58" s="1">
        <v>125</v>
      </c>
      <c r="E58" s="7">
        <f>7.970818*1000</f>
        <v>7970.8180000000002</v>
      </c>
    </row>
    <row r="59" spans="1:5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</row>
    <row r="60" spans="1:5" x14ac:dyDescent="0.25">
      <c r="A60" s="1" t="s">
        <v>98</v>
      </c>
      <c r="B60" s="1"/>
      <c r="C60" s="1"/>
      <c r="D60" s="1"/>
      <c r="E60" s="2">
        <f>4.8667*1000</f>
        <v>4866.7</v>
      </c>
    </row>
    <row r="61" spans="1:5" x14ac:dyDescent="0.25">
      <c r="A61" s="1" t="s">
        <v>99</v>
      </c>
      <c r="B61" s="1"/>
      <c r="C61" s="1"/>
      <c r="D61" s="1"/>
      <c r="E61" s="2">
        <f>4.8667*1000</f>
        <v>4866.7</v>
      </c>
    </row>
    <row r="62" spans="1:5" x14ac:dyDescent="0.25">
      <c r="A62" s="1" t="s">
        <v>100</v>
      </c>
      <c r="B62" s="1"/>
      <c r="C62" s="1"/>
      <c r="D62" s="1"/>
      <c r="E62" s="2"/>
    </row>
    <row r="63" spans="1:5" x14ac:dyDescent="0.25">
      <c r="A63" s="1" t="s">
        <v>101</v>
      </c>
      <c r="B63" s="1"/>
      <c r="C63" s="1"/>
      <c r="D63" s="1"/>
      <c r="E63" s="2">
        <f>5.15772*1000</f>
        <v>5157.72</v>
      </c>
    </row>
    <row r="64" spans="1:5" x14ac:dyDescent="0.25">
      <c r="A64" s="1" t="s">
        <v>102</v>
      </c>
      <c r="B64" s="1"/>
      <c r="C64" s="1"/>
      <c r="D64" s="1"/>
      <c r="E64" s="7">
        <v>5289.26</v>
      </c>
    </row>
    <row r="65" spans="1:5" x14ac:dyDescent="0.25">
      <c r="A65" s="1" t="s">
        <v>103</v>
      </c>
      <c r="B65" s="1"/>
      <c r="C65" s="1"/>
      <c r="D65" s="1"/>
      <c r="E65" s="2">
        <f>4.8667*1000</f>
        <v>4866.7</v>
      </c>
    </row>
    <row r="66" spans="1:5" x14ac:dyDescent="0.25">
      <c r="A66" s="1" t="s">
        <v>104</v>
      </c>
      <c r="B66" s="1"/>
      <c r="C66" s="1"/>
      <c r="D66" s="1"/>
      <c r="E66" s="2">
        <f>4.8667*1000</f>
        <v>4866.7</v>
      </c>
    </row>
    <row r="67" spans="1:5" x14ac:dyDescent="0.25">
      <c r="A67" s="1" t="s">
        <v>105</v>
      </c>
      <c r="B67" s="1"/>
      <c r="C67" s="1"/>
      <c r="D67" s="1"/>
      <c r="E67" s="2">
        <f>7.22034*1000</f>
        <v>7220.34</v>
      </c>
    </row>
    <row r="68" spans="1:5" x14ac:dyDescent="0.25">
      <c r="A68" s="1" t="s">
        <v>106</v>
      </c>
      <c r="B68" s="1"/>
      <c r="C68" s="1"/>
      <c r="D68" s="1"/>
      <c r="E68" s="2">
        <f>7.22034*1000</f>
        <v>7220.34</v>
      </c>
    </row>
    <row r="69" spans="1:5" x14ac:dyDescent="0.25">
      <c r="A69" s="1" t="s">
        <v>107</v>
      </c>
      <c r="B69" s="1"/>
      <c r="C69" s="1"/>
      <c r="D69" s="1"/>
      <c r="E69" s="2">
        <v>7261</v>
      </c>
    </row>
    <row r="70" spans="1:5" x14ac:dyDescent="0.25">
      <c r="A70" s="1" t="s">
        <v>108</v>
      </c>
      <c r="B70" s="1"/>
      <c r="C70" s="1"/>
      <c r="D70" s="1"/>
      <c r="E70" s="2">
        <f>4.162*1000</f>
        <v>4162</v>
      </c>
    </row>
    <row r="71" spans="1:5" x14ac:dyDescent="0.25">
      <c r="A71" s="1" t="s">
        <v>109</v>
      </c>
      <c r="B71" s="1"/>
      <c r="C71" s="1"/>
      <c r="D71" s="1"/>
      <c r="E71" s="2">
        <f>7.22034*1000</f>
        <v>7220.34</v>
      </c>
    </row>
    <row r="72" spans="1:5" x14ac:dyDescent="0.25">
      <c r="A72" s="1" t="s">
        <v>110</v>
      </c>
      <c r="B72" s="1"/>
      <c r="C72" s="1"/>
      <c r="D72" s="1"/>
      <c r="E72" s="2">
        <f>3.10358*1000</f>
        <v>3103.58</v>
      </c>
    </row>
    <row r="73" spans="1:5" x14ac:dyDescent="0.25">
      <c r="A73" s="1" t="s">
        <v>111</v>
      </c>
      <c r="B73" s="1"/>
      <c r="C73" s="1"/>
      <c r="D73" s="1"/>
      <c r="E73" s="2">
        <f>5.075*1000</f>
        <v>5075</v>
      </c>
    </row>
    <row r="74" spans="1:5" x14ac:dyDescent="0.25">
      <c r="A74" s="1" t="s">
        <v>112</v>
      </c>
      <c r="B74" s="1"/>
      <c r="C74" s="1"/>
      <c r="D74" s="1"/>
      <c r="E74" s="2">
        <f>3.10358*1000</f>
        <v>3103.58</v>
      </c>
    </row>
    <row r="75" spans="1:5" x14ac:dyDescent="0.25">
      <c r="A75" s="1" t="s">
        <v>113</v>
      </c>
      <c r="B75" s="1"/>
      <c r="C75" s="1"/>
      <c r="D75" s="1"/>
      <c r="E75" s="2">
        <f>3.10358*1000</f>
        <v>3103.58</v>
      </c>
    </row>
    <row r="76" spans="1:5" x14ac:dyDescent="0.25">
      <c r="A76" s="1" t="s">
        <v>114</v>
      </c>
      <c r="B76" s="1"/>
      <c r="C76" s="1"/>
      <c r="D76" s="1"/>
      <c r="E76" s="2">
        <f>3.10358*1000</f>
        <v>3103.58</v>
      </c>
    </row>
    <row r="77" spans="1:5" x14ac:dyDescent="0.25">
      <c r="A77" s="1" t="s">
        <v>115</v>
      </c>
      <c r="B77" s="1"/>
      <c r="C77" s="1"/>
      <c r="D77" s="1"/>
      <c r="E77" s="7">
        <v>5289.26</v>
      </c>
    </row>
    <row r="78" spans="1:5" x14ac:dyDescent="0.25">
      <c r="A78" s="1" t="s">
        <v>116</v>
      </c>
      <c r="B78" s="1"/>
      <c r="C78" s="1"/>
      <c r="D78" s="1"/>
      <c r="E78" s="2">
        <f>3.10358*1000</f>
        <v>3103.58</v>
      </c>
    </row>
    <row r="79" spans="1:5" x14ac:dyDescent="0.25">
      <c r="A79" s="1" t="s">
        <v>117</v>
      </c>
      <c r="B79" s="1"/>
      <c r="C79" s="1"/>
      <c r="D79" s="1"/>
      <c r="E79" s="2">
        <f>4.162*1000</f>
        <v>4162</v>
      </c>
    </row>
    <row r="80" spans="1:5" x14ac:dyDescent="0.25">
      <c r="A80" s="1" t="s">
        <v>118</v>
      </c>
      <c r="B80" s="1"/>
      <c r="C80" s="1"/>
      <c r="D80" s="1"/>
      <c r="E80" s="2">
        <f>4.162*1000</f>
        <v>4162</v>
      </c>
    </row>
    <row r="81" spans="1:5" x14ac:dyDescent="0.25">
      <c r="A81" s="1" t="s">
        <v>119</v>
      </c>
      <c r="B81" s="1"/>
      <c r="C81" s="1"/>
      <c r="D81" s="1"/>
      <c r="E81" s="2">
        <f>4.44361*1000</f>
        <v>4443.6099999999997</v>
      </c>
    </row>
    <row r="82" spans="1:5" x14ac:dyDescent="0.25">
      <c r="A82" s="1" t="s">
        <v>120</v>
      </c>
      <c r="B82" s="1" t="s">
        <v>66</v>
      </c>
      <c r="C82" s="1"/>
      <c r="D82" s="1">
        <v>170</v>
      </c>
      <c r="E82" s="2">
        <v>3356.52</v>
      </c>
    </row>
    <row r="83" spans="1:5" x14ac:dyDescent="0.25">
      <c r="A83" s="1" t="s">
        <v>121</v>
      </c>
      <c r="B83" s="1"/>
      <c r="C83" s="1"/>
      <c r="D83" s="1"/>
      <c r="E83" s="2">
        <f>4.44361*1000</f>
        <v>4443.6099999999997</v>
      </c>
    </row>
  </sheetData>
  <autoFilter ref="A1:E83" xr:uid="{1CDE7C4A-F362-468A-939F-CC0F395C45A9}"/>
  <conditionalFormatting sqref="A1:A1048576">
    <cfRule type="duplicateValues" dxfId="17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7942-D869-4A9A-88F0-BE784B33B091}">
  <sheetPr filterMode="1"/>
  <dimension ref="A1:I83"/>
  <sheetViews>
    <sheetView workbookViewId="0">
      <pane ySplit="1" topLeftCell="A7" activePane="bottomLeft" state="frozen"/>
      <selection pane="bottomLeft" activeCell="L25" sqref="L25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v>5700</v>
      </c>
    </row>
    <row r="5" spans="1:8" s="10" customFormat="1" hidden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/>
      <c r="H5"/>
    </row>
    <row r="6" spans="1:8" s="10" customFormat="1" hidden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/>
      <c r="H6"/>
    </row>
    <row r="7" spans="1:8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4682</v>
      </c>
      <c r="F7"/>
      <c r="G7"/>
      <c r="H7"/>
    </row>
    <row r="8" spans="1:8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4682</v>
      </c>
      <c r="F8"/>
      <c r="G8"/>
      <c r="H8"/>
    </row>
    <row r="9" spans="1:8" s="10" customFormat="1" hidden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/>
      <c r="H9"/>
    </row>
    <row r="10" spans="1:8" s="10" customFormat="1" hidden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4723</v>
      </c>
      <c r="F10"/>
      <c r="G10"/>
      <c r="H10"/>
    </row>
    <row r="11" spans="1:8" s="10" customFormat="1" hidden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4981</v>
      </c>
      <c r="F11"/>
      <c r="G11"/>
      <c r="H11"/>
    </row>
    <row r="12" spans="1:8" s="10" customFormat="1" hidden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 s="8"/>
      <c r="H12" s="9"/>
    </row>
    <row r="13" spans="1:8" s="10" customFormat="1" hidden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/>
      <c r="H13"/>
    </row>
    <row r="14" spans="1:8" s="10" customFormat="1" hidden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5699</v>
      </c>
      <c r="F14"/>
      <c r="G14"/>
      <c r="H14"/>
    </row>
    <row r="15" spans="1:8" s="10" customFormat="1" hidden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6847</v>
      </c>
      <c r="F15"/>
      <c r="G15"/>
      <c r="H15"/>
    </row>
    <row r="16" spans="1:8" hidden="1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</row>
    <row r="17" spans="1:7" hidden="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</row>
    <row r="18" spans="1:7" hidden="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</row>
    <row r="19" spans="1:7" hidden="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</row>
    <row r="20" spans="1:7" hidden="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</row>
    <row r="21" spans="1:7" hidden="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</row>
    <row r="22" spans="1:7" hidden="1" x14ac:dyDescent="0.25">
      <c r="A22" s="1" t="s">
        <v>41</v>
      </c>
      <c r="B22" s="1" t="s">
        <v>38</v>
      </c>
      <c r="C22" s="1" t="s">
        <v>9</v>
      </c>
      <c r="D22" s="1">
        <v>125</v>
      </c>
      <c r="E22" s="7">
        <v>4799</v>
      </c>
      <c r="G22" s="13"/>
    </row>
    <row r="23" spans="1:7" hidden="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</row>
    <row r="24" spans="1:7" hidden="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4549</v>
      </c>
    </row>
    <row r="25" spans="1:7" hidden="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</row>
    <row r="26" spans="1:7" hidden="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</row>
    <row r="27" spans="1:7" hidden="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</row>
    <row r="28" spans="1:7" hidden="1" x14ac:dyDescent="0.25">
      <c r="A28" s="1" t="s">
        <v>50</v>
      </c>
      <c r="B28" s="1" t="s">
        <v>38</v>
      </c>
      <c r="C28" s="1" t="s">
        <v>9</v>
      </c>
      <c r="D28" s="1">
        <v>185</v>
      </c>
      <c r="E28" s="7">
        <v>5054</v>
      </c>
    </row>
    <row r="29" spans="1:7" hidden="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</row>
    <row r="30" spans="1:7" hidden="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</row>
    <row r="31" spans="1:7" hidden="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</row>
    <row r="32" spans="1:7" hidden="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</row>
    <row r="33" spans="1:5" hidden="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</row>
    <row r="34" spans="1:5" hidden="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8438.24</v>
      </c>
    </row>
    <row r="35" spans="1:5" hidden="1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8438.24</v>
      </c>
    </row>
    <row r="36" spans="1:5" hidden="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3297</v>
      </c>
    </row>
    <row r="37" spans="1:5" hidden="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</row>
    <row r="38" spans="1:5" hidden="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3294</v>
      </c>
    </row>
    <row r="39" spans="1:5" hidden="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</row>
    <row r="40" spans="1:5" hidden="1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</row>
    <row r="41" spans="1:5" hidden="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3356.52</v>
      </c>
    </row>
    <row r="42" spans="1:5" hidden="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3266</v>
      </c>
    </row>
    <row r="43" spans="1:5" hidden="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</row>
    <row r="44" spans="1:5" hidden="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</row>
    <row r="45" spans="1:5" hidden="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</row>
    <row r="46" spans="1:5" hidden="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</row>
    <row r="47" spans="1:5" hidden="1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</row>
    <row r="48" spans="1:5" hidden="1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0">E47</f>
        <v>4161.9400000000005</v>
      </c>
    </row>
    <row r="49" spans="1:5" hidden="1" x14ac:dyDescent="0.25">
      <c r="A49" s="1" t="s">
        <v>78</v>
      </c>
      <c r="B49" s="1"/>
      <c r="C49" s="1" t="s">
        <v>9</v>
      </c>
      <c r="D49" s="1">
        <v>110</v>
      </c>
      <c r="E49" s="2">
        <f t="shared" si="0"/>
        <v>4161.9400000000005</v>
      </c>
    </row>
    <row r="50" spans="1:5" x14ac:dyDescent="0.25">
      <c r="A50" s="1" t="s">
        <v>79</v>
      </c>
      <c r="B50" s="1"/>
      <c r="C50" s="1" t="s">
        <v>9</v>
      </c>
      <c r="D50" s="1">
        <v>120</v>
      </c>
      <c r="E50" s="2">
        <f t="shared" si="0"/>
        <v>4161.9400000000005</v>
      </c>
    </row>
    <row r="51" spans="1:5" hidden="1" x14ac:dyDescent="0.25">
      <c r="A51" s="1" t="s">
        <v>80</v>
      </c>
      <c r="B51" s="1"/>
      <c r="C51" s="1" t="s">
        <v>9</v>
      </c>
      <c r="D51" s="1">
        <v>140</v>
      </c>
      <c r="E51" s="2">
        <f t="shared" si="0"/>
        <v>4161.9400000000005</v>
      </c>
    </row>
    <row r="52" spans="1:5" hidden="1" x14ac:dyDescent="0.25">
      <c r="A52" s="1" t="s">
        <v>81</v>
      </c>
      <c r="B52" s="1"/>
      <c r="C52" s="1"/>
      <c r="D52" s="1">
        <v>160</v>
      </c>
      <c r="E52" s="2">
        <f t="shared" si="0"/>
        <v>4161.9400000000005</v>
      </c>
    </row>
    <row r="53" spans="1:5" hidden="1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</row>
    <row r="54" spans="1:5" hidden="1" x14ac:dyDescent="0.25">
      <c r="A54" s="1" t="s">
        <v>83</v>
      </c>
      <c r="B54" s="1"/>
      <c r="C54" s="1" t="s">
        <v>9</v>
      </c>
      <c r="D54" s="1">
        <v>140</v>
      </c>
      <c r="E54" s="2">
        <f t="shared" si="0"/>
        <v>4162</v>
      </c>
    </row>
    <row r="55" spans="1:5" hidden="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</row>
    <row r="56" spans="1:5" hidden="1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</row>
    <row r="57" spans="1:5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</row>
    <row r="58" spans="1:5" hidden="1" x14ac:dyDescent="0.25">
      <c r="A58" s="1" t="s">
        <v>95</v>
      </c>
      <c r="B58" s="1"/>
      <c r="C58" s="1"/>
      <c r="D58" s="1">
        <v>125</v>
      </c>
      <c r="E58" s="7">
        <v>8438.24</v>
      </c>
    </row>
    <row r="59" spans="1:5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</row>
    <row r="60" spans="1:5" hidden="1" x14ac:dyDescent="0.25">
      <c r="A60" s="1" t="s">
        <v>98</v>
      </c>
      <c r="B60" s="1"/>
      <c r="C60" s="1"/>
      <c r="D60" s="1"/>
      <c r="E60" s="2">
        <f>4.8667*1000</f>
        <v>4866.7</v>
      </c>
    </row>
    <row r="61" spans="1:5" hidden="1" x14ac:dyDescent="0.25">
      <c r="A61" s="1" t="s">
        <v>99</v>
      </c>
      <c r="B61" s="1"/>
      <c r="C61" s="1"/>
      <c r="D61" s="1"/>
      <c r="E61" s="2">
        <f>4.8667*1000</f>
        <v>4866.7</v>
      </c>
    </row>
    <row r="62" spans="1:5" hidden="1" x14ac:dyDescent="0.25">
      <c r="A62" s="1" t="s">
        <v>100</v>
      </c>
      <c r="B62" s="1"/>
      <c r="C62" s="1"/>
      <c r="D62" s="1"/>
      <c r="E62" s="2"/>
    </row>
    <row r="63" spans="1:5" hidden="1" x14ac:dyDescent="0.25">
      <c r="A63" s="1" t="s">
        <v>101</v>
      </c>
      <c r="B63" s="1"/>
      <c r="C63" s="1"/>
      <c r="D63" s="1"/>
      <c r="E63" s="2">
        <f>5.15772*1000</f>
        <v>5157.72</v>
      </c>
    </row>
    <row r="64" spans="1:5" hidden="1" x14ac:dyDescent="0.25">
      <c r="A64" s="1" t="s">
        <v>102</v>
      </c>
      <c r="B64" s="1"/>
      <c r="C64" s="1"/>
      <c r="D64" s="1"/>
      <c r="E64" s="7">
        <v>5289.26</v>
      </c>
    </row>
    <row r="65" spans="1:5" hidden="1" x14ac:dyDescent="0.25">
      <c r="A65" s="1" t="s">
        <v>103</v>
      </c>
      <c r="B65" s="1"/>
      <c r="C65" s="1"/>
      <c r="D65" s="1"/>
      <c r="E65" s="2">
        <f>4.8667*1000</f>
        <v>4866.7</v>
      </c>
    </row>
    <row r="66" spans="1:5" hidden="1" x14ac:dyDescent="0.25">
      <c r="A66" s="1" t="s">
        <v>104</v>
      </c>
      <c r="B66" s="1"/>
      <c r="C66" s="1"/>
      <c r="D66" s="1"/>
      <c r="E66" s="2">
        <f>4.8667*1000</f>
        <v>4866.7</v>
      </c>
    </row>
    <row r="67" spans="1:5" hidden="1" x14ac:dyDescent="0.25">
      <c r="A67" s="1" t="s">
        <v>105</v>
      </c>
      <c r="B67" s="1"/>
      <c r="C67" s="1"/>
      <c r="D67" s="1"/>
      <c r="E67" s="2">
        <f>7.22034*1000</f>
        <v>7220.34</v>
      </c>
    </row>
    <row r="68" spans="1:5" hidden="1" x14ac:dyDescent="0.25">
      <c r="A68" s="1" t="s">
        <v>106</v>
      </c>
      <c r="B68" s="1"/>
      <c r="C68" s="1"/>
      <c r="D68" s="1"/>
      <c r="E68" s="2">
        <f>7.22034*1000</f>
        <v>7220.34</v>
      </c>
    </row>
    <row r="69" spans="1:5" hidden="1" x14ac:dyDescent="0.25">
      <c r="A69" s="1" t="s">
        <v>107</v>
      </c>
      <c r="B69" s="1"/>
      <c r="C69" s="1"/>
      <c r="D69" s="1"/>
      <c r="E69" s="2">
        <v>6847</v>
      </c>
    </row>
    <row r="70" spans="1:5" hidden="1" x14ac:dyDescent="0.25">
      <c r="A70" s="1" t="s">
        <v>108</v>
      </c>
      <c r="B70" s="1"/>
      <c r="C70" s="1"/>
      <c r="D70" s="1"/>
      <c r="E70" s="2">
        <f>4.162*1000</f>
        <v>4162</v>
      </c>
    </row>
    <row r="71" spans="1:5" hidden="1" x14ac:dyDescent="0.25">
      <c r="A71" s="1" t="s">
        <v>109</v>
      </c>
      <c r="B71" s="1"/>
      <c r="C71" s="1"/>
      <c r="D71" s="1"/>
      <c r="E71" s="2">
        <f>7.22034*1000</f>
        <v>7220.34</v>
      </c>
    </row>
    <row r="72" spans="1:5" hidden="1" x14ac:dyDescent="0.25">
      <c r="A72" s="1" t="s">
        <v>110</v>
      </c>
      <c r="B72" s="1"/>
      <c r="C72" s="1"/>
      <c r="D72" s="1"/>
      <c r="E72" s="2">
        <f>3.10358*1000</f>
        <v>3103.58</v>
      </c>
    </row>
    <row r="73" spans="1:5" hidden="1" x14ac:dyDescent="0.25">
      <c r="A73" s="1" t="s">
        <v>111</v>
      </c>
      <c r="B73" s="1"/>
      <c r="C73" s="1"/>
      <c r="D73" s="1"/>
      <c r="E73" s="2">
        <f>5.075*1000</f>
        <v>5075</v>
      </c>
    </row>
    <row r="74" spans="1:5" hidden="1" x14ac:dyDescent="0.25">
      <c r="A74" s="1" t="s">
        <v>112</v>
      </c>
      <c r="B74" s="1"/>
      <c r="C74" s="1"/>
      <c r="D74" s="1"/>
      <c r="E74" s="2">
        <f>3.10358*1000</f>
        <v>3103.58</v>
      </c>
    </row>
    <row r="75" spans="1:5" hidden="1" x14ac:dyDescent="0.25">
      <c r="A75" s="1" t="s">
        <v>113</v>
      </c>
      <c r="B75" s="1"/>
      <c r="C75" s="1"/>
      <c r="D75" s="1"/>
      <c r="E75" s="2">
        <f>3.10358*1000</f>
        <v>3103.58</v>
      </c>
    </row>
    <row r="76" spans="1:5" hidden="1" x14ac:dyDescent="0.25">
      <c r="A76" s="1" t="s">
        <v>114</v>
      </c>
      <c r="B76" s="1"/>
      <c r="C76" s="1"/>
      <c r="D76" s="1"/>
      <c r="E76" s="2">
        <f>3.10358*1000</f>
        <v>3103.58</v>
      </c>
    </row>
    <row r="77" spans="1:5" hidden="1" x14ac:dyDescent="0.25">
      <c r="A77" s="1" t="s">
        <v>115</v>
      </c>
      <c r="B77" s="1"/>
      <c r="C77" s="1"/>
      <c r="D77" s="1"/>
      <c r="E77" s="7">
        <v>5289.26</v>
      </c>
    </row>
    <row r="78" spans="1:5" hidden="1" x14ac:dyDescent="0.25">
      <c r="A78" s="1" t="s">
        <v>116</v>
      </c>
      <c r="B78" s="1"/>
      <c r="C78" s="1"/>
      <c r="D78" s="1"/>
      <c r="E78" s="2">
        <f>3.10358*1000</f>
        <v>3103.58</v>
      </c>
    </row>
    <row r="79" spans="1:5" hidden="1" x14ac:dyDescent="0.25">
      <c r="A79" s="1" t="s">
        <v>117</v>
      </c>
      <c r="B79" s="1"/>
      <c r="C79" s="1"/>
      <c r="D79" s="1"/>
      <c r="E79" s="2">
        <f>4.162*1000</f>
        <v>4162</v>
      </c>
    </row>
    <row r="80" spans="1:5" hidden="1" x14ac:dyDescent="0.25">
      <c r="A80" s="1" t="s">
        <v>118</v>
      </c>
      <c r="B80" s="1"/>
      <c r="C80" s="1"/>
      <c r="D80" s="1"/>
      <c r="E80" s="2">
        <f>4.162*1000</f>
        <v>4162</v>
      </c>
    </row>
    <row r="81" spans="1:5" hidden="1" x14ac:dyDescent="0.25">
      <c r="A81" s="1" t="s">
        <v>119</v>
      </c>
      <c r="B81" s="1"/>
      <c r="C81" s="1"/>
      <c r="D81" s="1"/>
      <c r="E81" s="2">
        <f>4.44361*1000</f>
        <v>4443.6099999999997</v>
      </c>
    </row>
    <row r="82" spans="1:5" hidden="1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</row>
    <row r="83" spans="1:5" hidden="1" x14ac:dyDescent="0.25">
      <c r="A83" s="1" t="s">
        <v>121</v>
      </c>
      <c r="B83" s="1"/>
      <c r="C83" s="1"/>
      <c r="D83" s="1"/>
      <c r="E83" s="2">
        <f>4.44361*1000</f>
        <v>4443.6099999999997</v>
      </c>
    </row>
  </sheetData>
  <autoFilter ref="A1:E83" xr:uid="{1CDE7C4A-F362-468A-939F-CC0F395C45A9}">
    <filterColumn colId="3">
      <filters>
        <filter val="120"/>
      </filters>
    </filterColumn>
  </autoFilter>
  <conditionalFormatting sqref="A1:A1048576">
    <cfRule type="duplicateValues" dxfId="16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9299-E47A-4456-8172-13D3A162316D}">
  <sheetPr filterMode="1"/>
  <dimension ref="A1:I83"/>
  <sheetViews>
    <sheetView workbookViewId="0">
      <pane ySplit="1" topLeftCell="A22" activePane="bottomLeft" state="frozen"/>
      <selection pane="bottomLeft" activeCell="E22" sqref="E22"/>
    </sheetView>
  </sheetViews>
  <sheetFormatPr defaultRowHeight="15" x14ac:dyDescent="0.25"/>
  <cols>
    <col min="1" max="1" width="12" bestFit="1" customWidth="1"/>
    <col min="2" max="2" width="27.42578125" bestFit="1" customWidth="1"/>
    <col min="3" max="3" width="8.28515625" bestFit="1" customWidth="1"/>
    <col min="4" max="4" width="15.28515625" bestFit="1" customWidth="1"/>
    <col min="5" max="5" width="19.7109375" bestFit="1" customWidth="1"/>
    <col min="9" max="9" width="9.5703125" style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idden="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8" hidden="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</row>
    <row r="4" spans="1:8" hidden="1" x14ac:dyDescent="0.25">
      <c r="A4" s="1" t="s">
        <v>10</v>
      </c>
      <c r="B4" s="1" t="s">
        <v>11</v>
      </c>
      <c r="C4" s="1"/>
      <c r="D4" s="1">
        <v>75</v>
      </c>
      <c r="E4" s="2">
        <v>6029</v>
      </c>
    </row>
    <row r="5" spans="1:8" s="10" customFormat="1" hidden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/>
      <c r="H5"/>
    </row>
    <row r="6" spans="1:8" s="10" customFormat="1" hidden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/>
      <c r="H6"/>
    </row>
    <row r="7" spans="1:8" s="10" customFormat="1" hidden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4981</v>
      </c>
      <c r="F7"/>
      <c r="G7"/>
      <c r="H7"/>
    </row>
    <row r="8" spans="1:8" s="10" customFormat="1" hidden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4682</v>
      </c>
      <c r="F8"/>
      <c r="G8"/>
      <c r="H8"/>
    </row>
    <row r="9" spans="1:8" s="10" customFormat="1" hidden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/>
      <c r="H9"/>
    </row>
    <row r="10" spans="1:8" s="10" customFormat="1" hidden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4693</v>
      </c>
      <c r="F10"/>
      <c r="G10"/>
      <c r="H10"/>
    </row>
    <row r="11" spans="1:8" s="10" customFormat="1" hidden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5038</v>
      </c>
      <c r="F11"/>
      <c r="G11"/>
      <c r="H11"/>
    </row>
    <row r="12" spans="1:8" s="10" customFormat="1" hidden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 s="8"/>
      <c r="H12" s="9"/>
    </row>
    <row r="13" spans="1:8" s="10" customFormat="1" hidden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/>
      <c r="H13"/>
    </row>
    <row r="14" spans="1:8" s="10" customFormat="1" hidden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6029</v>
      </c>
      <c r="F14"/>
      <c r="G14"/>
      <c r="H14"/>
    </row>
    <row r="15" spans="1:8" s="10" customFormat="1" hidden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6847</v>
      </c>
      <c r="F15"/>
      <c r="G15"/>
      <c r="H15"/>
    </row>
    <row r="16" spans="1:8" hidden="1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</row>
    <row r="17" spans="1:7" hidden="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</row>
    <row r="18" spans="1:7" hidden="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</row>
    <row r="19" spans="1:7" hidden="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</row>
    <row r="20" spans="1:7" hidden="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</row>
    <row r="21" spans="1:7" hidden="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</row>
    <row r="22" spans="1:7" x14ac:dyDescent="0.25">
      <c r="A22" s="1" t="s">
        <v>41</v>
      </c>
      <c r="B22" s="1" t="s">
        <v>38</v>
      </c>
      <c r="C22" s="1" t="s">
        <v>9</v>
      </c>
      <c r="D22" s="1">
        <v>125</v>
      </c>
      <c r="E22" s="7">
        <v>4085</v>
      </c>
      <c r="G22" s="13"/>
    </row>
    <row r="23" spans="1:7" hidden="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</row>
    <row r="24" spans="1:7" hidden="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</row>
    <row r="25" spans="1:7" hidden="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</row>
    <row r="26" spans="1:7" hidden="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</row>
    <row r="27" spans="1:7" hidden="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</row>
    <row r="28" spans="1:7" hidden="1" x14ac:dyDescent="0.25">
      <c r="A28" s="1" t="s">
        <v>50</v>
      </c>
      <c r="B28" s="1" t="s">
        <v>38</v>
      </c>
      <c r="C28" s="1" t="s">
        <v>9</v>
      </c>
      <c r="D28" s="1">
        <v>185</v>
      </c>
      <c r="E28" s="7">
        <v>5054</v>
      </c>
    </row>
    <row r="29" spans="1:7" hidden="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</row>
    <row r="30" spans="1:7" hidden="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</row>
    <row r="31" spans="1:7" hidden="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</row>
    <row r="32" spans="1:7" hidden="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</row>
    <row r="33" spans="1:5" hidden="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</row>
    <row r="34" spans="1:5" hidden="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8185</v>
      </c>
    </row>
    <row r="35" spans="1:5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8185</v>
      </c>
    </row>
    <row r="36" spans="1:5" hidden="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3234</v>
      </c>
    </row>
    <row r="37" spans="1:5" hidden="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</row>
    <row r="38" spans="1:5" hidden="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3372</v>
      </c>
    </row>
    <row r="39" spans="1:5" hidden="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</row>
    <row r="40" spans="1:5" hidden="1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</row>
    <row r="41" spans="1:5" hidden="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3356.52</v>
      </c>
    </row>
    <row r="42" spans="1:5" hidden="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3218</v>
      </c>
    </row>
    <row r="43" spans="1:5" hidden="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</row>
    <row r="44" spans="1:5" hidden="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</row>
    <row r="45" spans="1:5" hidden="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</row>
    <row r="46" spans="1:5" hidden="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</row>
    <row r="47" spans="1:5" hidden="1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</row>
    <row r="48" spans="1:5" hidden="1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0">E47</f>
        <v>4161.9400000000005</v>
      </c>
    </row>
    <row r="49" spans="1:5" hidden="1" x14ac:dyDescent="0.25">
      <c r="A49" s="1" t="s">
        <v>78</v>
      </c>
      <c r="B49" s="1"/>
      <c r="C49" s="1" t="s">
        <v>9</v>
      </c>
      <c r="D49" s="1">
        <v>110</v>
      </c>
      <c r="E49" s="2">
        <f t="shared" si="0"/>
        <v>4161.9400000000005</v>
      </c>
    </row>
    <row r="50" spans="1:5" hidden="1" x14ac:dyDescent="0.25">
      <c r="A50" s="1" t="s">
        <v>79</v>
      </c>
      <c r="B50" s="1"/>
      <c r="C50" s="1" t="s">
        <v>9</v>
      </c>
      <c r="D50" s="1">
        <v>120</v>
      </c>
      <c r="E50" s="2">
        <f t="shared" si="0"/>
        <v>4161.9400000000005</v>
      </c>
    </row>
    <row r="51" spans="1:5" hidden="1" x14ac:dyDescent="0.25">
      <c r="A51" s="1" t="s">
        <v>80</v>
      </c>
      <c r="B51" s="1"/>
      <c r="C51" s="1" t="s">
        <v>9</v>
      </c>
      <c r="D51" s="1">
        <v>140</v>
      </c>
      <c r="E51" s="2">
        <f t="shared" si="0"/>
        <v>4161.9400000000005</v>
      </c>
    </row>
    <row r="52" spans="1:5" hidden="1" x14ac:dyDescent="0.25">
      <c r="A52" s="1" t="s">
        <v>81</v>
      </c>
      <c r="B52" s="1"/>
      <c r="C52" s="1"/>
      <c r="D52" s="1">
        <v>160</v>
      </c>
      <c r="E52" s="2">
        <f t="shared" si="0"/>
        <v>4161.9400000000005</v>
      </c>
    </row>
    <row r="53" spans="1:5" hidden="1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</row>
    <row r="54" spans="1:5" hidden="1" x14ac:dyDescent="0.25">
      <c r="A54" s="1" t="s">
        <v>83</v>
      </c>
      <c r="B54" s="1"/>
      <c r="C54" s="1" t="s">
        <v>9</v>
      </c>
      <c r="D54" s="1">
        <v>140</v>
      </c>
      <c r="E54" s="2">
        <f t="shared" si="0"/>
        <v>4162</v>
      </c>
    </row>
    <row r="55" spans="1:5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</row>
    <row r="56" spans="1:5" hidden="1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</row>
    <row r="57" spans="1:5" hidden="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</row>
    <row r="58" spans="1:5" x14ac:dyDescent="0.25">
      <c r="A58" s="1" t="s">
        <v>95</v>
      </c>
      <c r="B58" s="1"/>
      <c r="C58" s="1"/>
      <c r="D58" s="1">
        <v>125</v>
      </c>
      <c r="E58" s="7">
        <v>9960</v>
      </c>
    </row>
    <row r="59" spans="1:5" hidden="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</row>
    <row r="60" spans="1:5" hidden="1" x14ac:dyDescent="0.25">
      <c r="A60" s="1" t="s">
        <v>98</v>
      </c>
      <c r="B60" s="1"/>
      <c r="C60" s="1"/>
      <c r="D60" s="1"/>
      <c r="E60" s="2">
        <f>4.8667*1000</f>
        <v>4866.7</v>
      </c>
    </row>
    <row r="61" spans="1:5" hidden="1" x14ac:dyDescent="0.25">
      <c r="A61" s="1" t="s">
        <v>99</v>
      </c>
      <c r="B61" s="1"/>
      <c r="C61" s="1"/>
      <c r="D61" s="1"/>
      <c r="E61" s="2">
        <f>4.8667*1000</f>
        <v>4866.7</v>
      </c>
    </row>
    <row r="62" spans="1:5" hidden="1" x14ac:dyDescent="0.25">
      <c r="A62" s="1" t="s">
        <v>100</v>
      </c>
      <c r="B62" s="1"/>
      <c r="C62" s="1"/>
      <c r="D62" s="1"/>
      <c r="E62" s="2"/>
    </row>
    <row r="63" spans="1:5" hidden="1" x14ac:dyDescent="0.25">
      <c r="A63" s="1" t="s">
        <v>101</v>
      </c>
      <c r="B63" s="1"/>
      <c r="C63" s="1"/>
      <c r="D63" s="1"/>
      <c r="E63" s="2">
        <f>5.15772*1000</f>
        <v>5157.72</v>
      </c>
    </row>
    <row r="64" spans="1:5" hidden="1" x14ac:dyDescent="0.25">
      <c r="A64" s="1" t="s">
        <v>102</v>
      </c>
      <c r="B64" s="1"/>
      <c r="C64" s="1"/>
      <c r="D64" s="1"/>
      <c r="E64" s="7">
        <v>5289.26</v>
      </c>
    </row>
    <row r="65" spans="1:5" hidden="1" x14ac:dyDescent="0.25">
      <c r="A65" s="1" t="s">
        <v>103</v>
      </c>
      <c r="B65" s="1"/>
      <c r="C65" s="1"/>
      <c r="D65" s="1"/>
      <c r="E65" s="2">
        <f>4.8667*1000</f>
        <v>4866.7</v>
      </c>
    </row>
    <row r="66" spans="1:5" hidden="1" x14ac:dyDescent="0.25">
      <c r="A66" s="1" t="s">
        <v>104</v>
      </c>
      <c r="B66" s="1"/>
      <c r="C66" s="1"/>
      <c r="D66" s="1"/>
      <c r="E66" s="2">
        <f>4.8667*1000</f>
        <v>4866.7</v>
      </c>
    </row>
    <row r="67" spans="1:5" hidden="1" x14ac:dyDescent="0.25">
      <c r="A67" s="1" t="s">
        <v>105</v>
      </c>
      <c r="B67" s="1"/>
      <c r="C67" s="1"/>
      <c r="D67" s="1"/>
      <c r="E67" s="2">
        <f>7.22034*1000</f>
        <v>7220.34</v>
      </c>
    </row>
    <row r="68" spans="1:5" hidden="1" x14ac:dyDescent="0.25">
      <c r="A68" s="1" t="s">
        <v>106</v>
      </c>
      <c r="B68" s="1"/>
      <c r="C68" s="1"/>
      <c r="D68" s="1"/>
      <c r="E68" s="2">
        <f>7.22034*1000</f>
        <v>7220.34</v>
      </c>
    </row>
    <row r="69" spans="1:5" hidden="1" x14ac:dyDescent="0.25">
      <c r="A69" s="1" t="s">
        <v>107</v>
      </c>
      <c r="B69" s="1"/>
      <c r="C69" s="1"/>
      <c r="D69" s="1"/>
      <c r="E69" s="2">
        <v>6847</v>
      </c>
    </row>
    <row r="70" spans="1:5" hidden="1" x14ac:dyDescent="0.25">
      <c r="A70" s="1" t="s">
        <v>108</v>
      </c>
      <c r="B70" s="1"/>
      <c r="C70" s="1"/>
      <c r="D70" s="1"/>
      <c r="E70" s="2">
        <f>4.162*1000</f>
        <v>4162</v>
      </c>
    </row>
    <row r="71" spans="1:5" hidden="1" x14ac:dyDescent="0.25">
      <c r="A71" s="1" t="s">
        <v>109</v>
      </c>
      <c r="B71" s="1"/>
      <c r="C71" s="1"/>
      <c r="D71" s="1"/>
      <c r="E71" s="2">
        <f>7.22034*1000</f>
        <v>7220.34</v>
      </c>
    </row>
    <row r="72" spans="1:5" hidden="1" x14ac:dyDescent="0.25">
      <c r="A72" s="1" t="s">
        <v>110</v>
      </c>
      <c r="B72" s="1"/>
      <c r="C72" s="1"/>
      <c r="D72" s="1"/>
      <c r="E72" s="2">
        <f>3.10358*1000</f>
        <v>3103.58</v>
      </c>
    </row>
    <row r="73" spans="1:5" hidden="1" x14ac:dyDescent="0.25">
      <c r="A73" s="1" t="s">
        <v>111</v>
      </c>
      <c r="B73" s="1"/>
      <c r="C73" s="1"/>
      <c r="D73" s="1"/>
      <c r="E73" s="2">
        <f>5.075*1000</f>
        <v>5075</v>
      </c>
    </row>
    <row r="74" spans="1:5" hidden="1" x14ac:dyDescent="0.25">
      <c r="A74" s="1" t="s">
        <v>112</v>
      </c>
      <c r="B74" s="1"/>
      <c r="C74" s="1"/>
      <c r="D74" s="1"/>
      <c r="E74" s="2">
        <f>3.10358*1000</f>
        <v>3103.58</v>
      </c>
    </row>
    <row r="75" spans="1:5" hidden="1" x14ac:dyDescent="0.25">
      <c r="A75" s="1" t="s">
        <v>113</v>
      </c>
      <c r="B75" s="1"/>
      <c r="C75" s="1"/>
      <c r="D75" s="1"/>
      <c r="E75" s="2">
        <f>3.10358*1000</f>
        <v>3103.58</v>
      </c>
    </row>
    <row r="76" spans="1:5" hidden="1" x14ac:dyDescent="0.25">
      <c r="A76" s="1" t="s">
        <v>114</v>
      </c>
      <c r="B76" s="1"/>
      <c r="C76" s="1"/>
      <c r="D76" s="1"/>
      <c r="E76" s="2">
        <f>3.10358*1000</f>
        <v>3103.58</v>
      </c>
    </row>
    <row r="77" spans="1:5" hidden="1" x14ac:dyDescent="0.25">
      <c r="A77" s="1" t="s">
        <v>115</v>
      </c>
      <c r="B77" s="1"/>
      <c r="C77" s="1"/>
      <c r="D77" s="1"/>
      <c r="E77" s="7">
        <v>5289.26</v>
      </c>
    </row>
    <row r="78" spans="1:5" hidden="1" x14ac:dyDescent="0.25">
      <c r="A78" s="1" t="s">
        <v>116</v>
      </c>
      <c r="B78" s="1"/>
      <c r="C78" s="1"/>
      <c r="D78" s="1"/>
      <c r="E78" s="2">
        <f>3.10358*1000</f>
        <v>3103.58</v>
      </c>
    </row>
    <row r="79" spans="1:5" hidden="1" x14ac:dyDescent="0.25">
      <c r="A79" s="1" t="s">
        <v>117</v>
      </c>
      <c r="B79" s="1"/>
      <c r="C79" s="1"/>
      <c r="D79" s="1"/>
      <c r="E79" s="2">
        <f>4.162*1000</f>
        <v>4162</v>
      </c>
    </row>
    <row r="80" spans="1:5" hidden="1" x14ac:dyDescent="0.25">
      <c r="A80" s="1" t="s">
        <v>118</v>
      </c>
      <c r="B80" s="1"/>
      <c r="C80" s="1"/>
      <c r="D80" s="1"/>
      <c r="E80" s="2">
        <f>4.162*1000</f>
        <v>4162</v>
      </c>
    </row>
    <row r="81" spans="1:5" hidden="1" x14ac:dyDescent="0.25">
      <c r="A81" s="1" t="s">
        <v>119</v>
      </c>
      <c r="B81" s="1"/>
      <c r="C81" s="1"/>
      <c r="D81" s="1"/>
      <c r="E81" s="2">
        <f>4.44361*1000</f>
        <v>4443.6099999999997</v>
      </c>
    </row>
    <row r="82" spans="1:5" hidden="1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</row>
    <row r="83" spans="1:5" hidden="1" x14ac:dyDescent="0.25">
      <c r="A83" s="1" t="s">
        <v>121</v>
      </c>
      <c r="B83" s="1"/>
      <c r="C83" s="1"/>
      <c r="D83" s="1"/>
      <c r="E83" s="2">
        <f>4.44361*1000</f>
        <v>4443.6099999999997</v>
      </c>
    </row>
  </sheetData>
  <autoFilter ref="A1:E83" xr:uid="{1CDE7C4A-F362-468A-939F-CC0F395C45A9}">
    <filterColumn colId="0">
      <filters>
        <filter val="KKN125"/>
        <filter val="KKP125"/>
        <filter val="KKPT125"/>
        <filter val="TL125"/>
      </filters>
    </filterColumn>
  </autoFilter>
  <conditionalFormatting sqref="A1:A1048576">
    <cfRule type="duplicateValues" dxfId="15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838C-5815-40DE-B3CF-63F53FA2A530}">
  <dimension ref="A1:I87"/>
  <sheetViews>
    <sheetView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12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bestFit="1" customWidth="1"/>
    <col min="9" max="9" width="21.140625" style="1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9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9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7.35</v>
      </c>
      <c r="H3">
        <f>G3*1000</f>
        <v>7350</v>
      </c>
      <c r="I3" s="10">
        <f>H3-E3</f>
        <v>0</v>
      </c>
    </row>
    <row r="4" spans="1:9" x14ac:dyDescent="0.25">
      <c r="A4" s="1" t="s">
        <v>10</v>
      </c>
      <c r="B4" s="1" t="s">
        <v>11</v>
      </c>
      <c r="C4" s="1"/>
      <c r="D4" s="1">
        <v>75</v>
      </c>
      <c r="E4" s="2">
        <v>6029</v>
      </c>
      <c r="G4">
        <v>6.0289999999999999</v>
      </c>
      <c r="H4">
        <f t="shared" ref="H4:H67" si="0">G4*1000</f>
        <v>6029</v>
      </c>
      <c r="I4" s="10">
        <f t="shared" ref="I4:I67" si="1">H4-E4</f>
        <v>0</v>
      </c>
    </row>
    <row r="5" spans="1:9" s="10" customFormat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>
        <v>0</v>
      </c>
      <c r="H5">
        <f t="shared" si="0"/>
        <v>0</v>
      </c>
      <c r="I5" s="10">
        <f t="shared" si="1"/>
        <v>-4522</v>
      </c>
    </row>
    <row r="6" spans="1:9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v>0</v>
      </c>
      <c r="H6">
        <f t="shared" si="0"/>
        <v>0</v>
      </c>
      <c r="I6" s="10">
        <f t="shared" si="1"/>
        <v>-2760</v>
      </c>
    </row>
    <row r="7" spans="1:9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4800</v>
      </c>
      <c r="F7"/>
      <c r="G7">
        <v>5.0830000000000002</v>
      </c>
      <c r="H7">
        <f t="shared" si="0"/>
        <v>5083</v>
      </c>
      <c r="I7" s="10">
        <f t="shared" si="1"/>
        <v>283</v>
      </c>
    </row>
    <row r="8" spans="1:9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4682</v>
      </c>
      <c r="F8"/>
      <c r="G8">
        <v>0</v>
      </c>
      <c r="H8">
        <f t="shared" si="0"/>
        <v>0</v>
      </c>
      <c r="I8" s="10">
        <f t="shared" si="1"/>
        <v>-4682</v>
      </c>
    </row>
    <row r="9" spans="1:9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v>0</v>
      </c>
      <c r="H9">
        <f t="shared" si="0"/>
        <v>0</v>
      </c>
      <c r="I9" s="10">
        <f t="shared" si="1"/>
        <v>-5394</v>
      </c>
    </row>
    <row r="10" spans="1:9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5089</v>
      </c>
      <c r="F10"/>
      <c r="G10">
        <v>4.9459999999999997</v>
      </c>
      <c r="H10">
        <f t="shared" si="0"/>
        <v>4946</v>
      </c>
      <c r="I10" s="10">
        <f t="shared" si="1"/>
        <v>-143</v>
      </c>
    </row>
    <row r="11" spans="1:9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5008</v>
      </c>
      <c r="F11"/>
      <c r="G11">
        <v>6.0289999999999999</v>
      </c>
      <c r="H11">
        <f t="shared" si="0"/>
        <v>6029</v>
      </c>
      <c r="I11" s="10">
        <f t="shared" si="1"/>
        <v>1021</v>
      </c>
    </row>
    <row r="12" spans="1:9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v>0</v>
      </c>
      <c r="H12">
        <f t="shared" si="0"/>
        <v>0</v>
      </c>
      <c r="I12" s="10">
        <f t="shared" si="1"/>
        <v>-7796</v>
      </c>
    </row>
    <row r="13" spans="1:9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v>0</v>
      </c>
      <c r="H13">
        <f t="shared" si="0"/>
        <v>0</v>
      </c>
      <c r="I13" s="10">
        <f t="shared" si="1"/>
        <v>-7154</v>
      </c>
    </row>
    <row r="14" spans="1:9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6029</v>
      </c>
      <c r="F14"/>
      <c r="G14">
        <v>6.0289999999999999</v>
      </c>
      <c r="H14">
        <f t="shared" si="0"/>
        <v>6029</v>
      </c>
      <c r="I14" s="10">
        <f t="shared" si="1"/>
        <v>0</v>
      </c>
    </row>
    <row r="15" spans="1:9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6847</v>
      </c>
      <c r="F15"/>
      <c r="G15">
        <v>13.694000000000001</v>
      </c>
      <c r="H15" s="10">
        <f>G15*1000/2</f>
        <v>6847</v>
      </c>
      <c r="I15" s="10">
        <f t="shared" si="1"/>
        <v>0</v>
      </c>
    </row>
    <row r="16" spans="1:9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v>3.9710000000000001</v>
      </c>
      <c r="H16">
        <f t="shared" si="0"/>
        <v>3971</v>
      </c>
      <c r="I16" s="10">
        <f t="shared" si="1"/>
        <v>0</v>
      </c>
    </row>
    <row r="17" spans="1:9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  <c r="G17">
        <v>5.0540000000000003</v>
      </c>
      <c r="H17">
        <f t="shared" si="0"/>
        <v>5054</v>
      </c>
      <c r="I17" s="10">
        <f t="shared" si="1"/>
        <v>0</v>
      </c>
    </row>
    <row r="18" spans="1:9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v>0</v>
      </c>
      <c r="H18">
        <f t="shared" si="0"/>
        <v>0</v>
      </c>
      <c r="I18" s="10">
        <f t="shared" si="1"/>
        <v>-5747</v>
      </c>
    </row>
    <row r="19" spans="1:9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v>0</v>
      </c>
      <c r="H19">
        <f t="shared" si="0"/>
        <v>0</v>
      </c>
      <c r="I19" s="10">
        <f t="shared" si="1"/>
        <v>-4212</v>
      </c>
    </row>
    <row r="20" spans="1:9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v>4.766</v>
      </c>
      <c r="H20">
        <f t="shared" si="0"/>
        <v>4766</v>
      </c>
      <c r="I20" s="10">
        <f t="shared" si="1"/>
        <v>0</v>
      </c>
    </row>
    <row r="21" spans="1:9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v>0</v>
      </c>
      <c r="H21">
        <f t="shared" si="0"/>
        <v>0</v>
      </c>
      <c r="I21" s="10">
        <f t="shared" si="1"/>
        <v>-3877</v>
      </c>
    </row>
    <row r="22" spans="1:9" x14ac:dyDescent="0.25">
      <c r="A22" s="1" t="s">
        <v>41</v>
      </c>
      <c r="B22" s="1" t="s">
        <v>38</v>
      </c>
      <c r="C22" s="1" t="s">
        <v>9</v>
      </c>
      <c r="D22" s="1">
        <v>125</v>
      </c>
      <c r="E22" s="7">
        <v>4034</v>
      </c>
      <c r="G22">
        <v>4.6120000000000001</v>
      </c>
      <c r="H22">
        <f t="shared" si="0"/>
        <v>4612</v>
      </c>
      <c r="I22" s="10">
        <f t="shared" si="1"/>
        <v>578</v>
      </c>
    </row>
    <row r="23" spans="1:9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v>0</v>
      </c>
      <c r="H23">
        <f t="shared" si="0"/>
        <v>0</v>
      </c>
      <c r="I23" s="10">
        <f t="shared" si="1"/>
        <v>-5190</v>
      </c>
    </row>
    <row r="24" spans="1:9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v>4.766</v>
      </c>
      <c r="H24">
        <f t="shared" si="0"/>
        <v>4766</v>
      </c>
      <c r="I24" s="10">
        <f t="shared" si="1"/>
        <v>0</v>
      </c>
    </row>
    <row r="25" spans="1:9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v>0</v>
      </c>
      <c r="H25">
        <f t="shared" si="0"/>
        <v>0</v>
      </c>
      <c r="I25" s="10">
        <f t="shared" si="1"/>
        <v>-5289.26</v>
      </c>
    </row>
    <row r="26" spans="1:9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v>0</v>
      </c>
      <c r="H26">
        <f t="shared" si="0"/>
        <v>0</v>
      </c>
      <c r="I26" s="10">
        <f t="shared" si="1"/>
        <v>-4902</v>
      </c>
    </row>
    <row r="27" spans="1:9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v>4.7670000000000003</v>
      </c>
      <c r="H27">
        <f t="shared" si="0"/>
        <v>4767</v>
      </c>
      <c r="I27" s="10">
        <f t="shared" si="1"/>
        <v>0</v>
      </c>
    </row>
    <row r="28" spans="1:9" x14ac:dyDescent="0.25">
      <c r="A28" s="1" t="s">
        <v>50</v>
      </c>
      <c r="B28" s="1" t="s">
        <v>38</v>
      </c>
      <c r="C28" s="1" t="s">
        <v>9</v>
      </c>
      <c r="D28" s="1">
        <v>185</v>
      </c>
      <c r="E28" s="7">
        <v>5054</v>
      </c>
      <c r="G28">
        <v>4.3499999999999996</v>
      </c>
      <c r="H28">
        <f t="shared" si="0"/>
        <v>4350</v>
      </c>
      <c r="I28" s="10">
        <f t="shared" si="1"/>
        <v>-704</v>
      </c>
    </row>
    <row r="29" spans="1:9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v>0</v>
      </c>
      <c r="H29">
        <f t="shared" si="0"/>
        <v>0</v>
      </c>
      <c r="I29" s="10">
        <f t="shared" si="1"/>
        <v>-5054</v>
      </c>
    </row>
    <row r="30" spans="1:9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v>0</v>
      </c>
      <c r="H30">
        <f t="shared" si="0"/>
        <v>0</v>
      </c>
      <c r="I30" s="10">
        <f t="shared" si="1"/>
        <v>-4549</v>
      </c>
    </row>
    <row r="31" spans="1:9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v>4.5490000000000004</v>
      </c>
      <c r="H31">
        <f t="shared" si="0"/>
        <v>4549</v>
      </c>
      <c r="I31" s="10">
        <f t="shared" si="1"/>
        <v>0</v>
      </c>
    </row>
    <row r="32" spans="1:9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  <c r="G32">
        <v>0</v>
      </c>
      <c r="H32">
        <f t="shared" si="0"/>
        <v>0</v>
      </c>
      <c r="I32" s="10">
        <f t="shared" si="1"/>
        <v>-5026</v>
      </c>
    </row>
    <row r="33" spans="1:9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v>0</v>
      </c>
      <c r="H33">
        <f t="shared" si="0"/>
        <v>0</v>
      </c>
      <c r="I33" s="10">
        <f t="shared" si="1"/>
        <v>-7004</v>
      </c>
    </row>
    <row r="34" spans="1:9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8185</v>
      </c>
      <c r="G34">
        <v>0</v>
      </c>
      <c r="H34">
        <f t="shared" si="0"/>
        <v>0</v>
      </c>
      <c r="I34" s="10">
        <f t="shared" si="1"/>
        <v>-8185</v>
      </c>
    </row>
    <row r="35" spans="1:9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8185</v>
      </c>
      <c r="G35">
        <v>8.1850000000000005</v>
      </c>
      <c r="H35">
        <f t="shared" si="0"/>
        <v>8185.0000000000009</v>
      </c>
      <c r="I35" s="10">
        <f t="shared" si="1"/>
        <v>0</v>
      </c>
    </row>
    <row r="36" spans="1:9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3339</v>
      </c>
      <c r="G36">
        <v>3.5059999999999998</v>
      </c>
      <c r="H36">
        <f t="shared" si="0"/>
        <v>3506</v>
      </c>
      <c r="I36" s="10">
        <f t="shared" si="1"/>
        <v>167</v>
      </c>
    </row>
    <row r="37" spans="1:9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v>0</v>
      </c>
      <c r="H37">
        <f t="shared" si="0"/>
        <v>0</v>
      </c>
      <c r="I37" s="10">
        <f t="shared" si="1"/>
        <v>-3356.52</v>
      </c>
    </row>
    <row r="38" spans="1:9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3378</v>
      </c>
      <c r="G38">
        <v>3.4780000000000002</v>
      </c>
      <c r="H38">
        <f t="shared" si="0"/>
        <v>3478</v>
      </c>
      <c r="I38" s="10">
        <f t="shared" si="1"/>
        <v>100</v>
      </c>
    </row>
    <row r="39" spans="1:9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v>0</v>
      </c>
      <c r="H39">
        <f t="shared" si="0"/>
        <v>0</v>
      </c>
      <c r="I39" s="10">
        <f t="shared" si="1"/>
        <v>-3356.52</v>
      </c>
    </row>
    <row r="40" spans="1:9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  <c r="G40">
        <v>0</v>
      </c>
      <c r="H40">
        <f t="shared" si="0"/>
        <v>0</v>
      </c>
      <c r="I40" s="10">
        <f t="shared" si="1"/>
        <v>-4161.9400000000005</v>
      </c>
    </row>
    <row r="41" spans="1:9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v>3.101</v>
      </c>
      <c r="H41">
        <f t="shared" si="0"/>
        <v>3101</v>
      </c>
      <c r="I41" s="10">
        <f t="shared" si="1"/>
        <v>0</v>
      </c>
    </row>
    <row r="42" spans="1:9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3266</v>
      </c>
      <c r="G42">
        <v>3.35</v>
      </c>
      <c r="H42">
        <f t="shared" si="0"/>
        <v>3350</v>
      </c>
      <c r="I42" s="10">
        <f t="shared" si="1"/>
        <v>84</v>
      </c>
    </row>
    <row r="43" spans="1:9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v>3.3519999999999999</v>
      </c>
      <c r="H43">
        <f t="shared" si="0"/>
        <v>3352</v>
      </c>
      <c r="I43" s="10">
        <f t="shared" si="1"/>
        <v>0</v>
      </c>
    </row>
    <row r="44" spans="1:9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v>0</v>
      </c>
      <c r="H44">
        <f t="shared" si="0"/>
        <v>0</v>
      </c>
      <c r="I44" s="10">
        <f t="shared" si="1"/>
        <v>-3356.52</v>
      </c>
    </row>
    <row r="45" spans="1:9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v>0</v>
      </c>
      <c r="H45">
        <f t="shared" si="0"/>
        <v>0</v>
      </c>
      <c r="I45" s="10">
        <f t="shared" si="1"/>
        <v>-3356.52</v>
      </c>
    </row>
    <row r="46" spans="1:9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v>0</v>
      </c>
      <c r="H46">
        <f t="shared" si="0"/>
        <v>0</v>
      </c>
      <c r="I46" s="10">
        <f t="shared" si="1"/>
        <v>-3356.52</v>
      </c>
    </row>
    <row r="47" spans="1:9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  <c r="G47">
        <v>0</v>
      </c>
      <c r="H47">
        <f t="shared" si="0"/>
        <v>0</v>
      </c>
      <c r="I47" s="10">
        <f t="shared" si="1"/>
        <v>-4161.9400000000005</v>
      </c>
    </row>
    <row r="48" spans="1:9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2">E47</f>
        <v>4161.9400000000005</v>
      </c>
      <c r="G48">
        <v>0</v>
      </c>
      <c r="H48">
        <f t="shared" si="0"/>
        <v>0</v>
      </c>
      <c r="I48" s="10">
        <f t="shared" si="1"/>
        <v>-4161.9400000000005</v>
      </c>
    </row>
    <row r="49" spans="1:9" x14ac:dyDescent="0.25">
      <c r="A49" s="1" t="s">
        <v>78</v>
      </c>
      <c r="B49" s="1"/>
      <c r="C49" s="1" t="s">
        <v>9</v>
      </c>
      <c r="D49" s="1">
        <v>110</v>
      </c>
      <c r="E49" s="2">
        <f t="shared" si="2"/>
        <v>4161.9400000000005</v>
      </c>
      <c r="G49">
        <v>0</v>
      </c>
      <c r="H49">
        <f t="shared" si="0"/>
        <v>0</v>
      </c>
      <c r="I49" s="10">
        <f t="shared" si="1"/>
        <v>-4161.9400000000005</v>
      </c>
    </row>
    <row r="50" spans="1:9" x14ac:dyDescent="0.25">
      <c r="A50" s="1" t="s">
        <v>79</v>
      </c>
      <c r="B50" s="1"/>
      <c r="C50" s="1" t="s">
        <v>9</v>
      </c>
      <c r="D50" s="1">
        <v>120</v>
      </c>
      <c r="E50" s="2">
        <f t="shared" si="2"/>
        <v>4161.9400000000005</v>
      </c>
      <c r="G50">
        <v>0</v>
      </c>
      <c r="H50">
        <f t="shared" si="0"/>
        <v>0</v>
      </c>
      <c r="I50" s="10">
        <f t="shared" si="1"/>
        <v>-4161.9400000000005</v>
      </c>
    </row>
    <row r="51" spans="1:9" x14ac:dyDescent="0.25">
      <c r="A51" s="1" t="s">
        <v>80</v>
      </c>
      <c r="B51" s="1"/>
      <c r="C51" s="1" t="s">
        <v>9</v>
      </c>
      <c r="D51" s="1">
        <v>140</v>
      </c>
      <c r="E51" s="2">
        <f t="shared" si="2"/>
        <v>4161.9400000000005</v>
      </c>
      <c r="G51">
        <v>0</v>
      </c>
      <c r="H51">
        <f t="shared" si="0"/>
        <v>0</v>
      </c>
      <c r="I51" s="10">
        <f t="shared" si="1"/>
        <v>-4161.9400000000005</v>
      </c>
    </row>
    <row r="52" spans="1:9" x14ac:dyDescent="0.25">
      <c r="A52" s="1" t="s">
        <v>81</v>
      </c>
      <c r="B52" s="1"/>
      <c r="C52" s="1"/>
      <c r="D52" s="1">
        <v>160</v>
      </c>
      <c r="E52" s="2">
        <f t="shared" si="2"/>
        <v>4161.9400000000005</v>
      </c>
      <c r="G52">
        <v>0</v>
      </c>
      <c r="H52">
        <f t="shared" si="0"/>
        <v>0</v>
      </c>
      <c r="I52" s="10">
        <f t="shared" si="1"/>
        <v>-4161.9400000000005</v>
      </c>
    </row>
    <row r="53" spans="1:9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  <c r="G53">
        <v>0</v>
      </c>
      <c r="H53">
        <f t="shared" si="0"/>
        <v>0</v>
      </c>
      <c r="I53" s="10">
        <f t="shared" si="1"/>
        <v>-4162</v>
      </c>
    </row>
    <row r="54" spans="1:9" x14ac:dyDescent="0.25">
      <c r="A54" s="1" t="s">
        <v>83</v>
      </c>
      <c r="B54" s="1"/>
      <c r="C54" s="1" t="s">
        <v>9</v>
      </c>
      <c r="D54" s="1">
        <v>140</v>
      </c>
      <c r="E54" s="2">
        <f t="shared" si="2"/>
        <v>4162</v>
      </c>
      <c r="G54">
        <v>0</v>
      </c>
      <c r="H54">
        <f t="shared" si="0"/>
        <v>0</v>
      </c>
      <c r="I54" s="10">
        <f t="shared" si="1"/>
        <v>-4162</v>
      </c>
    </row>
    <row r="55" spans="1:9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v>0</v>
      </c>
      <c r="H55">
        <f t="shared" si="0"/>
        <v>0</v>
      </c>
      <c r="I55" s="10">
        <f t="shared" si="1"/>
        <v>-4161.9400000000005</v>
      </c>
    </row>
    <row r="56" spans="1:9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  <c r="G56">
        <v>0</v>
      </c>
      <c r="H56">
        <f t="shared" si="0"/>
        <v>0</v>
      </c>
      <c r="I56" s="10">
        <f t="shared" si="1"/>
        <v>-4161.9400000000005</v>
      </c>
    </row>
    <row r="57" spans="1:9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  <c r="G57">
        <v>0</v>
      </c>
      <c r="H57">
        <f t="shared" si="0"/>
        <v>0</v>
      </c>
      <c r="I57" s="10">
        <f t="shared" si="1"/>
        <v>-4161.9400000000005</v>
      </c>
    </row>
    <row r="58" spans="1:9" x14ac:dyDescent="0.25">
      <c r="A58" s="1" t="s">
        <v>95</v>
      </c>
      <c r="B58" s="1"/>
      <c r="C58" s="1"/>
      <c r="D58" s="1">
        <v>125</v>
      </c>
      <c r="E58" s="7">
        <v>9960</v>
      </c>
      <c r="G58">
        <v>9.9600000000000009</v>
      </c>
      <c r="H58">
        <f t="shared" si="0"/>
        <v>9960</v>
      </c>
      <c r="I58" s="10">
        <f t="shared" si="1"/>
        <v>0</v>
      </c>
    </row>
    <row r="59" spans="1:9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v>0</v>
      </c>
      <c r="H59">
        <f t="shared" si="0"/>
        <v>0</v>
      </c>
      <c r="I59" s="10">
        <f t="shared" si="1"/>
        <v>-4434</v>
      </c>
    </row>
    <row r="60" spans="1:9" x14ac:dyDescent="0.25">
      <c r="A60" s="1" t="s">
        <v>98</v>
      </c>
      <c r="B60" s="1"/>
      <c r="C60" s="1"/>
      <c r="D60" s="1">
        <v>126</v>
      </c>
      <c r="E60" s="2">
        <v>4085</v>
      </c>
      <c r="G60">
        <v>0</v>
      </c>
      <c r="H60">
        <f t="shared" si="0"/>
        <v>0</v>
      </c>
      <c r="I60" s="10">
        <f t="shared" si="1"/>
        <v>-4085</v>
      </c>
    </row>
    <row r="61" spans="1:9" x14ac:dyDescent="0.25">
      <c r="A61" s="1" t="s">
        <v>99</v>
      </c>
      <c r="B61" s="1"/>
      <c r="C61" s="1"/>
      <c r="D61" s="1">
        <v>90</v>
      </c>
      <c r="E61" s="2">
        <f>4.8667*1000</f>
        <v>4866.7</v>
      </c>
      <c r="G61">
        <v>0</v>
      </c>
      <c r="H61">
        <f t="shared" si="0"/>
        <v>0</v>
      </c>
      <c r="I61" s="10">
        <f t="shared" si="1"/>
        <v>-4866.7</v>
      </c>
    </row>
    <row r="62" spans="1:9" x14ac:dyDescent="0.25">
      <c r="A62" s="1" t="s">
        <v>100</v>
      </c>
      <c r="B62" s="1"/>
      <c r="C62" s="1"/>
      <c r="D62" s="1">
        <v>220</v>
      </c>
      <c r="E62" s="2"/>
      <c r="G62">
        <v>0</v>
      </c>
      <c r="H62">
        <f t="shared" si="0"/>
        <v>0</v>
      </c>
      <c r="I62" s="10">
        <f t="shared" si="1"/>
        <v>0</v>
      </c>
    </row>
    <row r="63" spans="1:9" x14ac:dyDescent="0.25">
      <c r="A63" s="1" t="s">
        <v>101</v>
      </c>
      <c r="B63" s="1"/>
      <c r="C63" s="1"/>
      <c r="D63" s="1">
        <v>300</v>
      </c>
      <c r="E63" s="2">
        <v>5435</v>
      </c>
      <c r="G63">
        <v>5.4349999999999996</v>
      </c>
      <c r="H63">
        <f t="shared" si="0"/>
        <v>5435</v>
      </c>
      <c r="I63" s="10">
        <f t="shared" si="1"/>
        <v>0</v>
      </c>
    </row>
    <row r="64" spans="1:9" x14ac:dyDescent="0.25">
      <c r="A64" s="1" t="s">
        <v>102</v>
      </c>
      <c r="B64" s="1"/>
      <c r="C64" s="1"/>
      <c r="D64" s="1">
        <v>150</v>
      </c>
      <c r="E64" s="7">
        <v>5289.26</v>
      </c>
      <c r="G64">
        <v>0</v>
      </c>
      <c r="H64">
        <f t="shared" si="0"/>
        <v>0</v>
      </c>
      <c r="I64" s="10">
        <f t="shared" si="1"/>
        <v>-5289.26</v>
      </c>
    </row>
    <row r="65" spans="1:9" x14ac:dyDescent="0.25">
      <c r="A65" s="1" t="s">
        <v>103</v>
      </c>
      <c r="B65" s="1"/>
      <c r="C65" s="1"/>
      <c r="D65" s="1">
        <v>160</v>
      </c>
      <c r="E65" s="2">
        <f>4.8667*1000</f>
        <v>4866.7</v>
      </c>
      <c r="G65">
        <v>0</v>
      </c>
      <c r="H65">
        <f t="shared" si="0"/>
        <v>0</v>
      </c>
      <c r="I65" s="10">
        <f t="shared" si="1"/>
        <v>-4866.7</v>
      </c>
    </row>
    <row r="66" spans="1:9" x14ac:dyDescent="0.25">
      <c r="A66" s="1" t="s">
        <v>104</v>
      </c>
      <c r="B66" s="1"/>
      <c r="C66" s="1"/>
      <c r="D66" s="1">
        <v>120</v>
      </c>
      <c r="E66" s="2">
        <f>4.8667*1000</f>
        <v>4866.7</v>
      </c>
      <c r="G66">
        <v>0</v>
      </c>
      <c r="H66">
        <f t="shared" si="0"/>
        <v>0</v>
      </c>
      <c r="I66" s="10">
        <f t="shared" si="1"/>
        <v>-4866.7</v>
      </c>
    </row>
    <row r="67" spans="1:9" x14ac:dyDescent="0.25">
      <c r="A67" s="1" t="s">
        <v>105</v>
      </c>
      <c r="B67" s="1"/>
      <c r="C67" s="1"/>
      <c r="D67" s="1">
        <v>190</v>
      </c>
      <c r="E67" s="2">
        <f>7.22034*1000</f>
        <v>7220.34</v>
      </c>
      <c r="G67">
        <v>0</v>
      </c>
      <c r="H67">
        <f t="shared" si="0"/>
        <v>0</v>
      </c>
      <c r="I67" s="10">
        <f t="shared" si="1"/>
        <v>-7220.34</v>
      </c>
    </row>
    <row r="68" spans="1:9" x14ac:dyDescent="0.25">
      <c r="A68" s="1" t="s">
        <v>106</v>
      </c>
      <c r="B68" s="1"/>
      <c r="C68" s="1"/>
      <c r="D68" s="1">
        <v>200</v>
      </c>
      <c r="E68" s="2">
        <f>7.22034*1000</f>
        <v>7220.34</v>
      </c>
      <c r="G68">
        <v>0</v>
      </c>
      <c r="H68">
        <f t="shared" ref="H68:H87" si="3">G68*1000</f>
        <v>0</v>
      </c>
      <c r="I68" s="10">
        <f t="shared" ref="I68:I83" si="4">H68-E68</f>
        <v>-7220.34</v>
      </c>
    </row>
    <row r="69" spans="1:9" x14ac:dyDescent="0.25">
      <c r="A69" s="1" t="s">
        <v>107</v>
      </c>
      <c r="B69" s="1"/>
      <c r="C69" s="1"/>
      <c r="D69" s="1">
        <v>205</v>
      </c>
      <c r="E69" s="2">
        <v>6847</v>
      </c>
      <c r="G69">
        <v>0</v>
      </c>
      <c r="H69">
        <f t="shared" si="3"/>
        <v>0</v>
      </c>
      <c r="I69" s="10">
        <f t="shared" si="4"/>
        <v>-6847</v>
      </c>
    </row>
    <row r="70" spans="1:9" x14ac:dyDescent="0.25">
      <c r="A70" s="1" t="s">
        <v>108</v>
      </c>
      <c r="B70" s="1"/>
      <c r="C70" s="1"/>
      <c r="D70" s="1">
        <v>110</v>
      </c>
      <c r="E70" s="2">
        <f>4.162*1000</f>
        <v>4162</v>
      </c>
      <c r="G70">
        <v>0</v>
      </c>
      <c r="H70">
        <f t="shared" si="3"/>
        <v>0</v>
      </c>
      <c r="I70" s="10">
        <f t="shared" si="4"/>
        <v>-4162</v>
      </c>
    </row>
    <row r="71" spans="1:9" x14ac:dyDescent="0.25">
      <c r="A71" s="1" t="s">
        <v>109</v>
      </c>
      <c r="B71" s="1"/>
      <c r="C71" s="1"/>
      <c r="D71" s="1">
        <v>227</v>
      </c>
      <c r="E71" s="2">
        <f>7.22034*1000</f>
        <v>7220.34</v>
      </c>
      <c r="G71">
        <v>0</v>
      </c>
      <c r="H71">
        <f t="shared" si="3"/>
        <v>0</v>
      </c>
      <c r="I71" s="10">
        <f t="shared" si="4"/>
        <v>-7220.34</v>
      </c>
    </row>
    <row r="72" spans="1:9" x14ac:dyDescent="0.25">
      <c r="A72" s="1" t="s">
        <v>110</v>
      </c>
      <c r="B72" s="1"/>
      <c r="C72" s="1"/>
      <c r="D72" s="1">
        <v>135</v>
      </c>
      <c r="E72" s="2">
        <f>3.10358*1000</f>
        <v>3103.58</v>
      </c>
      <c r="G72">
        <v>0</v>
      </c>
      <c r="H72">
        <f t="shared" si="3"/>
        <v>0</v>
      </c>
      <c r="I72" s="10">
        <f t="shared" si="4"/>
        <v>-3103.58</v>
      </c>
    </row>
    <row r="73" spans="1:9" x14ac:dyDescent="0.25">
      <c r="A73" s="1" t="s">
        <v>111</v>
      </c>
      <c r="B73" s="1"/>
      <c r="C73" s="1"/>
      <c r="D73" s="1">
        <v>75</v>
      </c>
      <c r="E73" s="2">
        <f>5.075*1000</f>
        <v>5075</v>
      </c>
      <c r="G73">
        <v>0</v>
      </c>
      <c r="H73">
        <f t="shared" si="3"/>
        <v>0</v>
      </c>
      <c r="I73" s="10">
        <f t="shared" si="4"/>
        <v>-5075</v>
      </c>
    </row>
    <row r="74" spans="1:9" x14ac:dyDescent="0.25">
      <c r="A74" s="1" t="s">
        <v>112</v>
      </c>
      <c r="B74" s="1"/>
      <c r="C74" s="1"/>
      <c r="D74" s="1">
        <v>90</v>
      </c>
      <c r="E74" s="2">
        <f>3.10358*1000</f>
        <v>3103.58</v>
      </c>
      <c r="G74">
        <v>0</v>
      </c>
      <c r="H74">
        <f t="shared" si="3"/>
        <v>0</v>
      </c>
      <c r="I74" s="10">
        <f t="shared" si="4"/>
        <v>-3103.58</v>
      </c>
    </row>
    <row r="75" spans="1:9" x14ac:dyDescent="0.25">
      <c r="A75" s="1" t="s">
        <v>113</v>
      </c>
      <c r="B75" s="1"/>
      <c r="C75" s="1"/>
      <c r="D75" s="1">
        <v>160</v>
      </c>
      <c r="E75" s="2">
        <f>3.10358*1000</f>
        <v>3103.58</v>
      </c>
      <c r="G75">
        <v>0</v>
      </c>
      <c r="H75">
        <f t="shared" si="3"/>
        <v>0</v>
      </c>
      <c r="I75" s="10">
        <f t="shared" si="4"/>
        <v>-3103.58</v>
      </c>
    </row>
    <row r="76" spans="1:9" x14ac:dyDescent="0.25">
      <c r="A76" s="1" t="s">
        <v>114</v>
      </c>
      <c r="B76" s="1"/>
      <c r="C76" s="1"/>
      <c r="D76" s="1">
        <v>120</v>
      </c>
      <c r="E76" s="2">
        <v>3352</v>
      </c>
      <c r="G76">
        <v>0</v>
      </c>
      <c r="H76">
        <f t="shared" si="3"/>
        <v>0</v>
      </c>
      <c r="I76" s="10">
        <f t="shared" si="4"/>
        <v>-3352</v>
      </c>
    </row>
    <row r="77" spans="1:9" x14ac:dyDescent="0.25">
      <c r="A77" s="1" t="s">
        <v>115</v>
      </c>
      <c r="B77" s="1"/>
      <c r="C77" s="1"/>
      <c r="D77" s="1">
        <v>150</v>
      </c>
      <c r="E77" s="7">
        <v>5289.26</v>
      </c>
      <c r="G77">
        <v>0</v>
      </c>
      <c r="H77">
        <f t="shared" si="3"/>
        <v>0</v>
      </c>
      <c r="I77" s="10">
        <f t="shared" si="4"/>
        <v>-5289.26</v>
      </c>
    </row>
    <row r="78" spans="1:9" x14ac:dyDescent="0.25">
      <c r="A78" s="1" t="s">
        <v>116</v>
      </c>
      <c r="B78" s="1"/>
      <c r="C78" s="1"/>
      <c r="D78" s="1">
        <v>100</v>
      </c>
      <c r="E78" s="2">
        <f>3.10358*1000</f>
        <v>3103.58</v>
      </c>
      <c r="G78">
        <v>0</v>
      </c>
      <c r="H78">
        <f t="shared" si="3"/>
        <v>0</v>
      </c>
      <c r="I78" s="10">
        <f t="shared" si="4"/>
        <v>-3103.58</v>
      </c>
    </row>
    <row r="79" spans="1:9" x14ac:dyDescent="0.25">
      <c r="A79" s="1" t="s">
        <v>117</v>
      </c>
      <c r="B79" s="1"/>
      <c r="C79" s="1"/>
      <c r="D79" s="1">
        <v>120</v>
      </c>
      <c r="E79" s="2">
        <f>4.162*1000</f>
        <v>4162</v>
      </c>
      <c r="G79">
        <v>0</v>
      </c>
      <c r="H79">
        <f t="shared" si="3"/>
        <v>0</v>
      </c>
      <c r="I79" s="10">
        <f t="shared" si="4"/>
        <v>-4162</v>
      </c>
    </row>
    <row r="80" spans="1:9" x14ac:dyDescent="0.25">
      <c r="A80" s="1" t="s">
        <v>118</v>
      </c>
      <c r="B80" s="1"/>
      <c r="C80" s="1"/>
      <c r="D80" s="1">
        <v>90</v>
      </c>
      <c r="E80" s="2">
        <f>4.162*1000</f>
        <v>4162</v>
      </c>
      <c r="G80">
        <v>0</v>
      </c>
      <c r="H80">
        <f t="shared" si="3"/>
        <v>0</v>
      </c>
      <c r="I80" s="10">
        <f t="shared" si="4"/>
        <v>-4162</v>
      </c>
    </row>
    <row r="81" spans="1:9" x14ac:dyDescent="0.25">
      <c r="A81" s="1" t="s">
        <v>119</v>
      </c>
      <c r="B81" s="1"/>
      <c r="C81" s="1"/>
      <c r="D81" s="1">
        <v>105</v>
      </c>
      <c r="E81" s="2">
        <f>4.44361*1000</f>
        <v>4443.6099999999997</v>
      </c>
      <c r="G81">
        <v>0</v>
      </c>
      <c r="H81">
        <f t="shared" si="3"/>
        <v>0</v>
      </c>
      <c r="I81" s="10">
        <f t="shared" si="4"/>
        <v>-4443.6099999999997</v>
      </c>
    </row>
    <row r="82" spans="1:9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v>3.2679999999999998</v>
      </c>
      <c r="H82">
        <f t="shared" si="3"/>
        <v>3268</v>
      </c>
      <c r="I82" s="10">
        <f t="shared" si="4"/>
        <v>0</v>
      </c>
    </row>
    <row r="83" spans="1:9" x14ac:dyDescent="0.25">
      <c r="A83" s="1" t="s">
        <v>121</v>
      </c>
      <c r="B83" s="1"/>
      <c r="C83" s="1"/>
      <c r="D83" s="1">
        <v>186</v>
      </c>
      <c r="E83" s="2">
        <f>4.44361*1000</f>
        <v>4443.6099999999997</v>
      </c>
      <c r="G83">
        <v>0</v>
      </c>
      <c r="H83">
        <f t="shared" si="3"/>
        <v>0</v>
      </c>
      <c r="I83" s="10">
        <f t="shared" si="4"/>
        <v>-4443.6099999999997</v>
      </c>
    </row>
    <row r="84" spans="1:9" x14ac:dyDescent="0.25">
      <c r="A84" s="1" t="s">
        <v>152</v>
      </c>
      <c r="B84" s="1"/>
      <c r="C84" s="1"/>
      <c r="D84" s="1">
        <v>120</v>
      </c>
      <c r="E84" s="2">
        <v>4782</v>
      </c>
      <c r="G84">
        <v>0</v>
      </c>
      <c r="H84">
        <f t="shared" si="3"/>
        <v>0</v>
      </c>
      <c r="I84" s="10">
        <f t="shared" ref="I84:I87" si="5">H84-E84</f>
        <v>-4782</v>
      </c>
    </row>
    <row r="85" spans="1:9" x14ac:dyDescent="0.25">
      <c r="A85" s="1" t="s">
        <v>153</v>
      </c>
      <c r="B85" s="1"/>
      <c r="C85" s="1"/>
      <c r="D85" s="1">
        <v>90</v>
      </c>
      <c r="E85" s="2">
        <v>4782</v>
      </c>
      <c r="G85">
        <v>0</v>
      </c>
      <c r="H85">
        <f t="shared" si="3"/>
        <v>0</v>
      </c>
      <c r="I85" s="10">
        <f t="shared" si="5"/>
        <v>-4782</v>
      </c>
    </row>
    <row r="86" spans="1:9" x14ac:dyDescent="0.25">
      <c r="A86" s="1" t="s">
        <v>154</v>
      </c>
      <c r="B86" s="1"/>
      <c r="C86" s="1"/>
      <c r="D86" s="1">
        <v>205</v>
      </c>
      <c r="E86" s="2">
        <v>7094</v>
      </c>
      <c r="G86">
        <v>0</v>
      </c>
      <c r="H86">
        <f t="shared" si="3"/>
        <v>0</v>
      </c>
      <c r="I86" s="10">
        <f t="shared" si="5"/>
        <v>-7094</v>
      </c>
    </row>
    <row r="87" spans="1:9" x14ac:dyDescent="0.25">
      <c r="A87" s="1" t="s">
        <v>155</v>
      </c>
      <c r="B87" s="1"/>
      <c r="C87" s="1"/>
      <c r="D87" s="1">
        <v>135</v>
      </c>
      <c r="E87" s="2">
        <v>4082</v>
      </c>
      <c r="G87">
        <v>4.0819999999999999</v>
      </c>
      <c r="H87">
        <f t="shared" si="3"/>
        <v>4082</v>
      </c>
      <c r="I87" s="10">
        <f t="shared" si="5"/>
        <v>0</v>
      </c>
    </row>
  </sheetData>
  <autoFilter ref="A1:I87" xr:uid="{338D838C-5815-40DE-B3CF-63F53FA2A530}"/>
  <conditionalFormatting sqref="A1:A83 A88:A1048576 A84:D87">
    <cfRule type="duplicateValues" dxfId="14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373D-B2A1-46B8-AAB2-6A543B9A7786}">
  <dimension ref="A1:I87"/>
  <sheetViews>
    <sheetView workbookViewId="0">
      <pane ySplit="1" topLeftCell="A2" activePane="bottomLeft" state="frozen"/>
      <selection pane="bottomLeft" activeCell="G1" sqref="G1:G1048576"/>
    </sheetView>
  </sheetViews>
  <sheetFormatPr defaultRowHeight="15" x14ac:dyDescent="0.25"/>
  <cols>
    <col min="1" max="1" width="12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9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9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7.35</v>
      </c>
      <c r="H3" s="10">
        <f>G3*1000</f>
        <v>7350</v>
      </c>
      <c r="I3" s="10">
        <f>H3-E3</f>
        <v>0</v>
      </c>
    </row>
    <row r="4" spans="1:9" x14ac:dyDescent="0.25">
      <c r="A4" s="1" t="s">
        <v>10</v>
      </c>
      <c r="B4" s="1" t="s">
        <v>11</v>
      </c>
      <c r="C4" s="1"/>
      <c r="D4" s="1">
        <v>75</v>
      </c>
      <c r="E4" s="2">
        <v>6029</v>
      </c>
      <c r="G4">
        <v>6.0289999999999999</v>
      </c>
      <c r="H4" s="10">
        <f t="shared" ref="H4:H67" si="0">G4*1000</f>
        <v>6029</v>
      </c>
      <c r="I4" s="10">
        <f t="shared" ref="I4:I67" si="1">H4-E4</f>
        <v>0</v>
      </c>
    </row>
    <row r="5" spans="1:9" s="10" customFormat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>
        <v>0</v>
      </c>
      <c r="H5" s="10">
        <f t="shared" si="0"/>
        <v>0</v>
      </c>
      <c r="I5" s="10">
        <f t="shared" si="1"/>
        <v>-4522</v>
      </c>
    </row>
    <row r="6" spans="1:9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v>0</v>
      </c>
      <c r="H6" s="10">
        <f t="shared" si="0"/>
        <v>0</v>
      </c>
      <c r="I6" s="10">
        <f t="shared" si="1"/>
        <v>-2760</v>
      </c>
    </row>
    <row r="7" spans="1:9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5083</v>
      </c>
      <c r="F7"/>
      <c r="G7">
        <v>5.0830000000000002</v>
      </c>
      <c r="H7" s="10">
        <f t="shared" si="0"/>
        <v>5083</v>
      </c>
      <c r="I7" s="10">
        <f t="shared" si="1"/>
        <v>0</v>
      </c>
    </row>
    <row r="8" spans="1:9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4682</v>
      </c>
      <c r="F8"/>
      <c r="G8">
        <v>0</v>
      </c>
      <c r="H8" s="10">
        <f t="shared" si="0"/>
        <v>0</v>
      </c>
      <c r="I8" s="10">
        <f t="shared" si="1"/>
        <v>-4682</v>
      </c>
    </row>
    <row r="9" spans="1:9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v>0</v>
      </c>
      <c r="H9" s="10">
        <f t="shared" si="0"/>
        <v>0</v>
      </c>
      <c r="I9" s="10">
        <f t="shared" si="1"/>
        <v>-5394</v>
      </c>
    </row>
    <row r="10" spans="1:9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4946</v>
      </c>
      <c r="F10"/>
      <c r="G10">
        <v>4.9459999999999997</v>
      </c>
      <c r="H10" s="10">
        <f t="shared" si="0"/>
        <v>4946</v>
      </c>
      <c r="I10" s="10">
        <f t="shared" si="1"/>
        <v>0</v>
      </c>
    </row>
    <row r="11" spans="1:9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6029</v>
      </c>
      <c r="F11"/>
      <c r="G11">
        <v>6.0289999999999999</v>
      </c>
      <c r="H11" s="10">
        <f t="shared" si="0"/>
        <v>6029</v>
      </c>
      <c r="I11" s="10">
        <f t="shared" si="1"/>
        <v>0</v>
      </c>
    </row>
    <row r="12" spans="1:9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v>0</v>
      </c>
      <c r="H12" s="10">
        <f t="shared" si="0"/>
        <v>0</v>
      </c>
      <c r="I12" s="10">
        <f t="shared" si="1"/>
        <v>-7796</v>
      </c>
    </row>
    <row r="13" spans="1:9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v>0</v>
      </c>
      <c r="H13" s="10">
        <f t="shared" si="0"/>
        <v>0</v>
      </c>
      <c r="I13" s="10">
        <f t="shared" si="1"/>
        <v>-7154</v>
      </c>
    </row>
    <row r="14" spans="1:9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6029</v>
      </c>
      <c r="F14"/>
      <c r="G14">
        <v>6.0289999999999999</v>
      </c>
      <c r="H14" s="10">
        <f t="shared" si="0"/>
        <v>6029</v>
      </c>
      <c r="I14" s="10">
        <f t="shared" si="1"/>
        <v>0</v>
      </c>
    </row>
    <row r="15" spans="1:9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6847</v>
      </c>
      <c r="F15"/>
      <c r="G15">
        <v>13.694000000000001</v>
      </c>
      <c r="H15" s="10">
        <f>G15*1000/2</f>
        <v>6847</v>
      </c>
      <c r="I15" s="10">
        <f t="shared" si="1"/>
        <v>0</v>
      </c>
    </row>
    <row r="16" spans="1:9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v>3.9710000000000001</v>
      </c>
      <c r="H16" s="10">
        <f t="shared" si="0"/>
        <v>3971</v>
      </c>
      <c r="I16" s="10">
        <f t="shared" si="1"/>
        <v>0</v>
      </c>
    </row>
    <row r="17" spans="1:9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  <c r="G17">
        <v>5.0540000000000003</v>
      </c>
      <c r="H17" s="10">
        <f t="shared" si="0"/>
        <v>5054</v>
      </c>
      <c r="I17" s="10">
        <f t="shared" si="1"/>
        <v>0</v>
      </c>
    </row>
    <row r="18" spans="1:9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v>0</v>
      </c>
      <c r="H18" s="10">
        <f t="shared" si="0"/>
        <v>0</v>
      </c>
      <c r="I18" s="10">
        <f t="shared" si="1"/>
        <v>-5747</v>
      </c>
    </row>
    <row r="19" spans="1:9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v>0</v>
      </c>
      <c r="H19" s="10">
        <f t="shared" si="0"/>
        <v>0</v>
      </c>
      <c r="I19" s="10">
        <f t="shared" si="1"/>
        <v>-4212</v>
      </c>
    </row>
    <row r="20" spans="1:9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v>4.766</v>
      </c>
      <c r="H20" s="10">
        <f t="shared" si="0"/>
        <v>4766</v>
      </c>
      <c r="I20" s="10">
        <f t="shared" si="1"/>
        <v>0</v>
      </c>
    </row>
    <row r="21" spans="1:9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v>0</v>
      </c>
      <c r="H21" s="10">
        <f t="shared" si="0"/>
        <v>0</v>
      </c>
      <c r="I21" s="10">
        <f t="shared" si="1"/>
        <v>-3877</v>
      </c>
    </row>
    <row r="22" spans="1:9" x14ac:dyDescent="0.25">
      <c r="A22" s="1" t="s">
        <v>41</v>
      </c>
      <c r="B22" s="1" t="s">
        <v>38</v>
      </c>
      <c r="C22" s="1" t="s">
        <v>9</v>
      </c>
      <c r="D22" s="1">
        <v>125</v>
      </c>
      <c r="E22" s="7">
        <v>4612</v>
      </c>
      <c r="G22">
        <v>4.6120000000000001</v>
      </c>
      <c r="H22" s="10">
        <f t="shared" si="0"/>
        <v>4612</v>
      </c>
      <c r="I22" s="10">
        <f t="shared" si="1"/>
        <v>0</v>
      </c>
    </row>
    <row r="23" spans="1:9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v>0</v>
      </c>
      <c r="H23" s="10">
        <f t="shared" si="0"/>
        <v>0</v>
      </c>
      <c r="I23" s="10">
        <f t="shared" si="1"/>
        <v>-5190</v>
      </c>
    </row>
    <row r="24" spans="1:9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v>4.766</v>
      </c>
      <c r="H24" s="10">
        <f t="shared" si="0"/>
        <v>4766</v>
      </c>
      <c r="I24" s="10">
        <f t="shared" si="1"/>
        <v>0</v>
      </c>
    </row>
    <row r="25" spans="1:9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v>0</v>
      </c>
      <c r="H25" s="10">
        <f t="shared" si="0"/>
        <v>0</v>
      </c>
      <c r="I25" s="10">
        <f t="shared" si="1"/>
        <v>-5289.26</v>
      </c>
    </row>
    <row r="26" spans="1:9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v>0</v>
      </c>
      <c r="H26" s="10">
        <f t="shared" si="0"/>
        <v>0</v>
      </c>
      <c r="I26" s="10">
        <f t="shared" si="1"/>
        <v>-4902</v>
      </c>
    </row>
    <row r="27" spans="1:9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v>4.7670000000000003</v>
      </c>
      <c r="H27" s="10">
        <f t="shared" si="0"/>
        <v>4767</v>
      </c>
      <c r="I27" s="10">
        <f t="shared" si="1"/>
        <v>0</v>
      </c>
    </row>
    <row r="28" spans="1:9" x14ac:dyDescent="0.25">
      <c r="A28" s="1" t="s">
        <v>50</v>
      </c>
      <c r="B28" s="1" t="s">
        <v>38</v>
      </c>
      <c r="C28" s="1" t="s">
        <v>9</v>
      </c>
      <c r="D28" s="1">
        <v>185</v>
      </c>
      <c r="E28" s="7">
        <v>4350</v>
      </c>
      <c r="G28">
        <v>4.3499999999999996</v>
      </c>
      <c r="H28" s="10">
        <f t="shared" si="0"/>
        <v>4350</v>
      </c>
      <c r="I28" s="10">
        <f t="shared" si="1"/>
        <v>0</v>
      </c>
    </row>
    <row r="29" spans="1:9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v>0</v>
      </c>
      <c r="H29" s="10">
        <f t="shared" si="0"/>
        <v>0</v>
      </c>
      <c r="I29" s="10">
        <f t="shared" si="1"/>
        <v>-5054</v>
      </c>
    </row>
    <row r="30" spans="1:9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v>0</v>
      </c>
      <c r="H30" s="10">
        <f t="shared" si="0"/>
        <v>0</v>
      </c>
      <c r="I30" s="10">
        <f t="shared" si="1"/>
        <v>-4549</v>
      </c>
    </row>
    <row r="31" spans="1:9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v>4.5490000000000004</v>
      </c>
      <c r="H31" s="10">
        <f t="shared" si="0"/>
        <v>4549</v>
      </c>
      <c r="I31" s="10">
        <f t="shared" si="1"/>
        <v>0</v>
      </c>
    </row>
    <row r="32" spans="1:9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  <c r="G32">
        <v>0</v>
      </c>
      <c r="H32" s="10">
        <f t="shared" si="0"/>
        <v>0</v>
      </c>
      <c r="I32" s="10">
        <f t="shared" si="1"/>
        <v>-5026</v>
      </c>
    </row>
    <row r="33" spans="1:9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v>0</v>
      </c>
      <c r="H33" s="10">
        <f t="shared" si="0"/>
        <v>0</v>
      </c>
      <c r="I33" s="10">
        <f t="shared" si="1"/>
        <v>-7004</v>
      </c>
    </row>
    <row r="34" spans="1:9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8185</v>
      </c>
      <c r="G34">
        <v>0</v>
      </c>
      <c r="H34" s="10">
        <f t="shared" si="0"/>
        <v>0</v>
      </c>
      <c r="I34" s="10">
        <f t="shared" si="1"/>
        <v>-8185</v>
      </c>
    </row>
    <row r="35" spans="1:9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8185</v>
      </c>
      <c r="G35">
        <v>8.1850000000000005</v>
      </c>
      <c r="H35" s="10">
        <f t="shared" si="0"/>
        <v>8185.0000000000009</v>
      </c>
      <c r="I35" s="10">
        <f t="shared" si="1"/>
        <v>0</v>
      </c>
    </row>
    <row r="36" spans="1:9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3506</v>
      </c>
      <c r="G36">
        <v>3.5059999999999998</v>
      </c>
      <c r="H36" s="10">
        <f t="shared" si="0"/>
        <v>3506</v>
      </c>
      <c r="I36" s="10">
        <f t="shared" si="1"/>
        <v>0</v>
      </c>
    </row>
    <row r="37" spans="1:9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v>0</v>
      </c>
      <c r="H37" s="10">
        <f t="shared" si="0"/>
        <v>0</v>
      </c>
      <c r="I37" s="10">
        <f t="shared" si="1"/>
        <v>-3356.52</v>
      </c>
    </row>
    <row r="38" spans="1:9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3478</v>
      </c>
      <c r="G38">
        <v>3.4780000000000002</v>
      </c>
      <c r="H38" s="10">
        <f t="shared" si="0"/>
        <v>3478</v>
      </c>
      <c r="I38" s="10">
        <f t="shared" si="1"/>
        <v>0</v>
      </c>
    </row>
    <row r="39" spans="1:9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v>0</v>
      </c>
      <c r="H39" s="10">
        <f t="shared" si="0"/>
        <v>0</v>
      </c>
      <c r="I39" s="10">
        <f t="shared" si="1"/>
        <v>-3356.52</v>
      </c>
    </row>
    <row r="40" spans="1:9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  <c r="G40">
        <v>0</v>
      </c>
      <c r="H40" s="10">
        <f t="shared" si="0"/>
        <v>0</v>
      </c>
      <c r="I40" s="10">
        <f t="shared" si="1"/>
        <v>-4161.9400000000005</v>
      </c>
    </row>
    <row r="41" spans="1:9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v>3.101</v>
      </c>
      <c r="H41" s="10">
        <f t="shared" si="0"/>
        <v>3101</v>
      </c>
      <c r="I41" s="10">
        <f t="shared" si="1"/>
        <v>0</v>
      </c>
    </row>
    <row r="42" spans="1:9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3350</v>
      </c>
      <c r="G42">
        <v>3.35</v>
      </c>
      <c r="H42" s="10">
        <f t="shared" si="0"/>
        <v>3350</v>
      </c>
      <c r="I42" s="10">
        <f t="shared" si="1"/>
        <v>0</v>
      </c>
    </row>
    <row r="43" spans="1:9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v>3.3519999999999999</v>
      </c>
      <c r="H43" s="10">
        <f t="shared" si="0"/>
        <v>3352</v>
      </c>
      <c r="I43" s="10">
        <f t="shared" si="1"/>
        <v>0</v>
      </c>
    </row>
    <row r="44" spans="1:9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v>0</v>
      </c>
      <c r="H44" s="10">
        <f t="shared" si="0"/>
        <v>0</v>
      </c>
      <c r="I44" s="10">
        <f t="shared" si="1"/>
        <v>-3356.52</v>
      </c>
    </row>
    <row r="45" spans="1:9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v>0</v>
      </c>
      <c r="H45" s="10">
        <f t="shared" si="0"/>
        <v>0</v>
      </c>
      <c r="I45" s="10">
        <f t="shared" si="1"/>
        <v>-3356.52</v>
      </c>
    </row>
    <row r="46" spans="1:9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v>0</v>
      </c>
      <c r="H46" s="10">
        <f t="shared" si="0"/>
        <v>0</v>
      </c>
      <c r="I46" s="10">
        <f t="shared" si="1"/>
        <v>-3356.52</v>
      </c>
    </row>
    <row r="47" spans="1:9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  <c r="G47">
        <v>0</v>
      </c>
      <c r="H47" s="10">
        <f t="shared" si="0"/>
        <v>0</v>
      </c>
      <c r="I47" s="10">
        <f t="shared" si="1"/>
        <v>-4161.9400000000005</v>
      </c>
    </row>
    <row r="48" spans="1:9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2">E47</f>
        <v>4161.9400000000005</v>
      </c>
      <c r="G48">
        <v>0</v>
      </c>
      <c r="H48" s="10">
        <f t="shared" si="0"/>
        <v>0</v>
      </c>
      <c r="I48" s="10">
        <f t="shared" si="1"/>
        <v>-4161.9400000000005</v>
      </c>
    </row>
    <row r="49" spans="1:9" x14ac:dyDescent="0.25">
      <c r="A49" s="1" t="s">
        <v>78</v>
      </c>
      <c r="B49" s="1"/>
      <c r="C49" s="1" t="s">
        <v>9</v>
      </c>
      <c r="D49" s="1">
        <v>110</v>
      </c>
      <c r="E49" s="2">
        <f t="shared" si="2"/>
        <v>4161.9400000000005</v>
      </c>
      <c r="G49">
        <v>0</v>
      </c>
      <c r="H49" s="10">
        <f t="shared" si="0"/>
        <v>0</v>
      </c>
      <c r="I49" s="10">
        <f t="shared" si="1"/>
        <v>-4161.9400000000005</v>
      </c>
    </row>
    <row r="50" spans="1:9" x14ac:dyDescent="0.25">
      <c r="A50" s="1" t="s">
        <v>79</v>
      </c>
      <c r="B50" s="1"/>
      <c r="C50" s="1" t="s">
        <v>9</v>
      </c>
      <c r="D50" s="1">
        <v>120</v>
      </c>
      <c r="E50" s="2">
        <f t="shared" si="2"/>
        <v>4161.9400000000005</v>
      </c>
      <c r="G50">
        <v>0</v>
      </c>
      <c r="H50" s="10">
        <f t="shared" si="0"/>
        <v>0</v>
      </c>
      <c r="I50" s="10">
        <f t="shared" si="1"/>
        <v>-4161.9400000000005</v>
      </c>
    </row>
    <row r="51" spans="1:9" x14ac:dyDescent="0.25">
      <c r="A51" s="1" t="s">
        <v>80</v>
      </c>
      <c r="B51" s="1"/>
      <c r="C51" s="1" t="s">
        <v>9</v>
      </c>
      <c r="D51" s="1">
        <v>140</v>
      </c>
      <c r="E51" s="2">
        <f t="shared" si="2"/>
        <v>4161.9400000000005</v>
      </c>
      <c r="G51">
        <v>0</v>
      </c>
      <c r="H51" s="10">
        <f t="shared" si="0"/>
        <v>0</v>
      </c>
      <c r="I51" s="10">
        <f t="shared" si="1"/>
        <v>-4161.9400000000005</v>
      </c>
    </row>
    <row r="52" spans="1:9" x14ac:dyDescent="0.25">
      <c r="A52" s="1" t="s">
        <v>81</v>
      </c>
      <c r="B52" s="1"/>
      <c r="C52" s="1"/>
      <c r="D52" s="1">
        <v>160</v>
      </c>
      <c r="E52" s="2">
        <f t="shared" si="2"/>
        <v>4161.9400000000005</v>
      </c>
      <c r="G52">
        <v>0</v>
      </c>
      <c r="H52" s="10">
        <f t="shared" si="0"/>
        <v>0</v>
      </c>
      <c r="I52" s="10">
        <f t="shared" si="1"/>
        <v>-4161.9400000000005</v>
      </c>
    </row>
    <row r="53" spans="1:9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  <c r="G53">
        <v>0</v>
      </c>
      <c r="H53" s="10">
        <f t="shared" si="0"/>
        <v>0</v>
      </c>
      <c r="I53" s="10">
        <f t="shared" si="1"/>
        <v>-4162</v>
      </c>
    </row>
    <row r="54" spans="1:9" x14ac:dyDescent="0.25">
      <c r="A54" s="1" t="s">
        <v>83</v>
      </c>
      <c r="B54" s="1"/>
      <c r="C54" s="1" t="s">
        <v>9</v>
      </c>
      <c r="D54" s="1">
        <v>140</v>
      </c>
      <c r="E54" s="2">
        <f t="shared" si="2"/>
        <v>4162</v>
      </c>
      <c r="G54">
        <v>0</v>
      </c>
      <c r="H54" s="10">
        <f t="shared" si="0"/>
        <v>0</v>
      </c>
      <c r="I54" s="10">
        <f t="shared" si="1"/>
        <v>-4162</v>
      </c>
    </row>
    <row r="55" spans="1:9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v>0</v>
      </c>
      <c r="H55" s="10">
        <f t="shared" si="0"/>
        <v>0</v>
      </c>
      <c r="I55" s="10">
        <f t="shared" si="1"/>
        <v>-4161.9400000000005</v>
      </c>
    </row>
    <row r="56" spans="1:9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  <c r="G56">
        <v>0</v>
      </c>
      <c r="H56" s="10">
        <f t="shared" si="0"/>
        <v>0</v>
      </c>
      <c r="I56" s="10">
        <f t="shared" si="1"/>
        <v>-4161.9400000000005</v>
      </c>
    </row>
    <row r="57" spans="1:9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  <c r="G57">
        <v>0</v>
      </c>
      <c r="H57" s="10">
        <f t="shared" si="0"/>
        <v>0</v>
      </c>
      <c r="I57" s="10">
        <f t="shared" si="1"/>
        <v>-4161.9400000000005</v>
      </c>
    </row>
    <row r="58" spans="1:9" x14ac:dyDescent="0.25">
      <c r="A58" s="1" t="s">
        <v>95</v>
      </c>
      <c r="B58" s="1"/>
      <c r="C58" s="1"/>
      <c r="D58" s="1">
        <v>125</v>
      </c>
      <c r="E58" s="7">
        <v>9960</v>
      </c>
      <c r="G58">
        <v>9.9600000000000009</v>
      </c>
      <c r="H58" s="10">
        <f t="shared" si="0"/>
        <v>9960</v>
      </c>
      <c r="I58" s="10">
        <f t="shared" si="1"/>
        <v>0</v>
      </c>
    </row>
    <row r="59" spans="1:9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v>0</v>
      </c>
      <c r="H59" s="10">
        <f t="shared" si="0"/>
        <v>0</v>
      </c>
      <c r="I59" s="10">
        <f t="shared" si="1"/>
        <v>-4434</v>
      </c>
    </row>
    <row r="60" spans="1:9" x14ac:dyDescent="0.25">
      <c r="A60" s="1" t="s">
        <v>98</v>
      </c>
      <c r="B60" s="1"/>
      <c r="C60" s="1"/>
      <c r="D60" s="1">
        <v>126</v>
      </c>
      <c r="E60" s="2">
        <v>4085</v>
      </c>
      <c r="G60">
        <v>0</v>
      </c>
      <c r="H60" s="10">
        <f t="shared" si="0"/>
        <v>0</v>
      </c>
      <c r="I60" s="10">
        <f t="shared" si="1"/>
        <v>-4085</v>
      </c>
    </row>
    <row r="61" spans="1:9" x14ac:dyDescent="0.25">
      <c r="A61" s="1" t="s">
        <v>99</v>
      </c>
      <c r="B61" s="1"/>
      <c r="C61" s="1"/>
      <c r="D61" s="1">
        <v>90</v>
      </c>
      <c r="E61" s="2">
        <f>4.8667*1000</f>
        <v>4866.7</v>
      </c>
      <c r="G61">
        <v>0</v>
      </c>
      <c r="H61" s="10">
        <f t="shared" si="0"/>
        <v>0</v>
      </c>
      <c r="I61" s="10">
        <f t="shared" si="1"/>
        <v>-4866.7</v>
      </c>
    </row>
    <row r="62" spans="1:9" x14ac:dyDescent="0.25">
      <c r="A62" s="1" t="s">
        <v>100</v>
      </c>
      <c r="B62" s="1"/>
      <c r="C62" s="1"/>
      <c r="D62" s="1">
        <v>220</v>
      </c>
      <c r="E62" s="2"/>
      <c r="G62">
        <v>0</v>
      </c>
      <c r="H62" s="10">
        <f t="shared" si="0"/>
        <v>0</v>
      </c>
      <c r="I62" s="10">
        <f t="shared" si="1"/>
        <v>0</v>
      </c>
    </row>
    <row r="63" spans="1:9" x14ac:dyDescent="0.25">
      <c r="A63" s="1" t="s">
        <v>101</v>
      </c>
      <c r="B63" s="1"/>
      <c r="C63" s="1"/>
      <c r="D63" s="1">
        <v>300</v>
      </c>
      <c r="E63" s="2">
        <v>5435</v>
      </c>
      <c r="G63">
        <v>5.4349999999999996</v>
      </c>
      <c r="H63" s="10">
        <f t="shared" si="0"/>
        <v>5435</v>
      </c>
      <c r="I63" s="10">
        <f t="shared" si="1"/>
        <v>0</v>
      </c>
    </row>
    <row r="64" spans="1:9" x14ac:dyDescent="0.25">
      <c r="A64" s="1" t="s">
        <v>102</v>
      </c>
      <c r="B64" s="1"/>
      <c r="C64" s="1"/>
      <c r="D64" s="1">
        <v>150</v>
      </c>
      <c r="E64" s="7">
        <v>5289.26</v>
      </c>
      <c r="G64">
        <v>0</v>
      </c>
      <c r="H64" s="10">
        <f t="shared" si="0"/>
        <v>0</v>
      </c>
      <c r="I64" s="10">
        <f t="shared" si="1"/>
        <v>-5289.26</v>
      </c>
    </row>
    <row r="65" spans="1:9" x14ac:dyDescent="0.25">
      <c r="A65" s="1" t="s">
        <v>103</v>
      </c>
      <c r="B65" s="1"/>
      <c r="C65" s="1"/>
      <c r="D65" s="1">
        <v>160</v>
      </c>
      <c r="E65" s="2">
        <f>4.8667*1000</f>
        <v>4866.7</v>
      </c>
      <c r="G65">
        <v>0</v>
      </c>
      <c r="H65" s="10">
        <f t="shared" si="0"/>
        <v>0</v>
      </c>
      <c r="I65" s="10">
        <f t="shared" si="1"/>
        <v>-4866.7</v>
      </c>
    </row>
    <row r="66" spans="1:9" x14ac:dyDescent="0.25">
      <c r="A66" s="1" t="s">
        <v>104</v>
      </c>
      <c r="B66" s="1"/>
      <c r="C66" s="1"/>
      <c r="D66" s="1">
        <v>120</v>
      </c>
      <c r="E66" s="2">
        <f>4.8667*1000</f>
        <v>4866.7</v>
      </c>
      <c r="G66">
        <v>0</v>
      </c>
      <c r="H66" s="10">
        <f t="shared" si="0"/>
        <v>0</v>
      </c>
      <c r="I66" s="10">
        <f t="shared" si="1"/>
        <v>-4866.7</v>
      </c>
    </row>
    <row r="67" spans="1:9" x14ac:dyDescent="0.25">
      <c r="A67" s="1" t="s">
        <v>105</v>
      </c>
      <c r="B67" s="1"/>
      <c r="C67" s="1"/>
      <c r="D67" s="1">
        <v>190</v>
      </c>
      <c r="E67" s="2">
        <f>7.22034*1000</f>
        <v>7220.34</v>
      </c>
      <c r="G67">
        <v>0</v>
      </c>
      <c r="H67" s="10">
        <f t="shared" si="0"/>
        <v>0</v>
      </c>
      <c r="I67" s="10">
        <f t="shared" si="1"/>
        <v>-7220.34</v>
      </c>
    </row>
    <row r="68" spans="1:9" x14ac:dyDescent="0.25">
      <c r="A68" s="1" t="s">
        <v>106</v>
      </c>
      <c r="B68" s="1"/>
      <c r="C68" s="1"/>
      <c r="D68" s="1">
        <v>200</v>
      </c>
      <c r="E68" s="2">
        <f>7.22034*1000</f>
        <v>7220.34</v>
      </c>
      <c r="G68">
        <v>0</v>
      </c>
      <c r="H68" s="10">
        <f t="shared" ref="H68:H87" si="3">G68*1000</f>
        <v>0</v>
      </c>
      <c r="I68" s="10">
        <f t="shared" ref="I68:I87" si="4">H68-E68</f>
        <v>-7220.34</v>
      </c>
    </row>
    <row r="69" spans="1:9" x14ac:dyDescent="0.25">
      <c r="A69" s="1" t="s">
        <v>107</v>
      </c>
      <c r="B69" s="1"/>
      <c r="C69" s="1"/>
      <c r="D69" s="1">
        <v>205</v>
      </c>
      <c r="E69" s="2">
        <v>6847</v>
      </c>
      <c r="G69">
        <v>0</v>
      </c>
      <c r="H69" s="10">
        <f t="shared" si="3"/>
        <v>0</v>
      </c>
      <c r="I69" s="10">
        <f t="shared" si="4"/>
        <v>-6847</v>
      </c>
    </row>
    <row r="70" spans="1:9" x14ac:dyDescent="0.25">
      <c r="A70" s="1" t="s">
        <v>108</v>
      </c>
      <c r="B70" s="1"/>
      <c r="C70" s="1"/>
      <c r="D70" s="1">
        <v>110</v>
      </c>
      <c r="E70" s="2">
        <f>4.162*1000</f>
        <v>4162</v>
      </c>
      <c r="G70">
        <v>0</v>
      </c>
      <c r="H70" s="10">
        <f t="shared" si="3"/>
        <v>0</v>
      </c>
      <c r="I70" s="10">
        <f t="shared" si="4"/>
        <v>-4162</v>
      </c>
    </row>
    <row r="71" spans="1:9" x14ac:dyDescent="0.25">
      <c r="A71" s="1" t="s">
        <v>109</v>
      </c>
      <c r="B71" s="1"/>
      <c r="C71" s="1"/>
      <c r="D71" s="1">
        <v>227</v>
      </c>
      <c r="E71" s="2">
        <f>7.22034*1000</f>
        <v>7220.34</v>
      </c>
      <c r="G71">
        <v>0</v>
      </c>
      <c r="H71" s="10">
        <f t="shared" si="3"/>
        <v>0</v>
      </c>
      <c r="I71" s="10">
        <f t="shared" si="4"/>
        <v>-7220.34</v>
      </c>
    </row>
    <row r="72" spans="1:9" x14ac:dyDescent="0.25">
      <c r="A72" s="1" t="s">
        <v>110</v>
      </c>
      <c r="B72" s="1"/>
      <c r="C72" s="1"/>
      <c r="D72" s="1">
        <v>135</v>
      </c>
      <c r="E72" s="2">
        <f>3.10358*1000</f>
        <v>3103.58</v>
      </c>
      <c r="G72">
        <v>0</v>
      </c>
      <c r="H72" s="10">
        <f t="shared" si="3"/>
        <v>0</v>
      </c>
      <c r="I72" s="10">
        <f t="shared" si="4"/>
        <v>-3103.58</v>
      </c>
    </row>
    <row r="73" spans="1:9" x14ac:dyDescent="0.25">
      <c r="A73" s="1" t="s">
        <v>111</v>
      </c>
      <c r="B73" s="1"/>
      <c r="C73" s="1"/>
      <c r="D73" s="1">
        <v>75</v>
      </c>
      <c r="E73" s="2">
        <f>5.075*1000</f>
        <v>5075</v>
      </c>
      <c r="G73">
        <v>0</v>
      </c>
      <c r="H73" s="10">
        <f t="shared" si="3"/>
        <v>0</v>
      </c>
      <c r="I73" s="10">
        <f t="shared" si="4"/>
        <v>-5075</v>
      </c>
    </row>
    <row r="74" spans="1:9" x14ac:dyDescent="0.25">
      <c r="A74" s="1" t="s">
        <v>112</v>
      </c>
      <c r="B74" s="1"/>
      <c r="C74" s="1"/>
      <c r="D74" s="1">
        <v>90</v>
      </c>
      <c r="E74" s="2">
        <f>3.10358*1000</f>
        <v>3103.58</v>
      </c>
      <c r="G74">
        <v>0</v>
      </c>
      <c r="H74" s="10">
        <f t="shared" si="3"/>
        <v>0</v>
      </c>
      <c r="I74" s="10">
        <f t="shared" si="4"/>
        <v>-3103.58</v>
      </c>
    </row>
    <row r="75" spans="1:9" x14ac:dyDescent="0.25">
      <c r="A75" s="1" t="s">
        <v>113</v>
      </c>
      <c r="B75" s="1"/>
      <c r="C75" s="1"/>
      <c r="D75" s="1">
        <v>160</v>
      </c>
      <c r="E75" s="2">
        <f>3.10358*1000</f>
        <v>3103.58</v>
      </c>
      <c r="G75">
        <v>0</v>
      </c>
      <c r="H75" s="10">
        <f t="shared" si="3"/>
        <v>0</v>
      </c>
      <c r="I75" s="10">
        <f t="shared" si="4"/>
        <v>-3103.58</v>
      </c>
    </row>
    <row r="76" spans="1:9" x14ac:dyDescent="0.25">
      <c r="A76" s="1" t="s">
        <v>114</v>
      </c>
      <c r="B76" s="1"/>
      <c r="C76" s="1"/>
      <c r="D76" s="1">
        <v>120</v>
      </c>
      <c r="E76" s="2">
        <v>3352</v>
      </c>
      <c r="G76">
        <v>0</v>
      </c>
      <c r="H76" s="10">
        <f t="shared" si="3"/>
        <v>0</v>
      </c>
      <c r="I76" s="10">
        <f t="shared" si="4"/>
        <v>-3352</v>
      </c>
    </row>
    <row r="77" spans="1:9" x14ac:dyDescent="0.25">
      <c r="A77" s="1" t="s">
        <v>115</v>
      </c>
      <c r="B77" s="1"/>
      <c r="C77" s="1"/>
      <c r="D77" s="1">
        <v>150</v>
      </c>
      <c r="E77" s="7">
        <v>5289.26</v>
      </c>
      <c r="G77">
        <v>0</v>
      </c>
      <c r="H77" s="10">
        <f t="shared" si="3"/>
        <v>0</v>
      </c>
      <c r="I77" s="10">
        <f t="shared" si="4"/>
        <v>-5289.26</v>
      </c>
    </row>
    <row r="78" spans="1:9" x14ac:dyDescent="0.25">
      <c r="A78" s="1" t="s">
        <v>116</v>
      </c>
      <c r="B78" s="1"/>
      <c r="C78" s="1"/>
      <c r="D78" s="1">
        <v>100</v>
      </c>
      <c r="E78" s="2">
        <f>3.10358*1000</f>
        <v>3103.58</v>
      </c>
      <c r="G78">
        <v>0</v>
      </c>
      <c r="H78" s="10">
        <f t="shared" si="3"/>
        <v>0</v>
      </c>
      <c r="I78" s="10">
        <f t="shared" si="4"/>
        <v>-3103.58</v>
      </c>
    </row>
    <row r="79" spans="1:9" x14ac:dyDescent="0.25">
      <c r="A79" s="1" t="s">
        <v>117</v>
      </c>
      <c r="B79" s="1"/>
      <c r="C79" s="1"/>
      <c r="D79" s="1">
        <v>120</v>
      </c>
      <c r="E79" s="2">
        <f>4.162*1000</f>
        <v>4162</v>
      </c>
      <c r="G79">
        <v>0</v>
      </c>
      <c r="H79" s="10">
        <f t="shared" si="3"/>
        <v>0</v>
      </c>
      <c r="I79" s="10">
        <f t="shared" si="4"/>
        <v>-4162</v>
      </c>
    </row>
    <row r="80" spans="1:9" x14ac:dyDescent="0.25">
      <c r="A80" s="1" t="s">
        <v>118</v>
      </c>
      <c r="B80" s="1"/>
      <c r="C80" s="1"/>
      <c r="D80" s="1">
        <v>90</v>
      </c>
      <c r="E80" s="2">
        <f>4.162*1000</f>
        <v>4162</v>
      </c>
      <c r="G80">
        <v>0</v>
      </c>
      <c r="H80" s="10">
        <f t="shared" si="3"/>
        <v>0</v>
      </c>
      <c r="I80" s="10">
        <f t="shared" si="4"/>
        <v>-4162</v>
      </c>
    </row>
    <row r="81" spans="1:9" x14ac:dyDescent="0.25">
      <c r="A81" s="1" t="s">
        <v>119</v>
      </c>
      <c r="B81" s="1"/>
      <c r="C81" s="1"/>
      <c r="D81" s="1">
        <v>105</v>
      </c>
      <c r="E81" s="2">
        <f>4.44361*1000</f>
        <v>4443.6099999999997</v>
      </c>
      <c r="G81">
        <v>0</v>
      </c>
      <c r="H81" s="10">
        <f t="shared" si="3"/>
        <v>0</v>
      </c>
      <c r="I81" s="10">
        <f t="shared" si="4"/>
        <v>-4443.6099999999997</v>
      </c>
    </row>
    <row r="82" spans="1:9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v>3.2679999999999998</v>
      </c>
      <c r="H82" s="10">
        <f t="shared" si="3"/>
        <v>3268</v>
      </c>
      <c r="I82" s="10">
        <f t="shared" si="4"/>
        <v>0</v>
      </c>
    </row>
    <row r="83" spans="1:9" x14ac:dyDescent="0.25">
      <c r="A83" s="1" t="s">
        <v>121</v>
      </c>
      <c r="B83" s="1"/>
      <c r="C83" s="1"/>
      <c r="D83" s="1">
        <v>186</v>
      </c>
      <c r="E83" s="2">
        <f>4.44361*1000</f>
        <v>4443.6099999999997</v>
      </c>
      <c r="G83">
        <v>0</v>
      </c>
      <c r="H83" s="10">
        <f t="shared" si="3"/>
        <v>0</v>
      </c>
      <c r="I83" s="10">
        <f t="shared" si="4"/>
        <v>-4443.6099999999997</v>
      </c>
    </row>
    <row r="84" spans="1:9" x14ac:dyDescent="0.25">
      <c r="A84" s="1" t="s">
        <v>152</v>
      </c>
      <c r="B84" s="1"/>
      <c r="C84" s="1"/>
      <c r="D84" s="1">
        <v>120</v>
      </c>
      <c r="E84" s="2">
        <v>4782</v>
      </c>
      <c r="G84">
        <v>0</v>
      </c>
      <c r="H84" s="10">
        <f t="shared" si="3"/>
        <v>0</v>
      </c>
      <c r="I84" s="10">
        <f t="shared" si="4"/>
        <v>-4782</v>
      </c>
    </row>
    <row r="85" spans="1:9" x14ac:dyDescent="0.25">
      <c r="A85" s="1" t="s">
        <v>153</v>
      </c>
      <c r="B85" s="1"/>
      <c r="C85" s="1"/>
      <c r="D85" s="1">
        <v>90</v>
      </c>
      <c r="E85" s="2">
        <v>4782</v>
      </c>
      <c r="G85">
        <v>0</v>
      </c>
      <c r="H85" s="10">
        <f t="shared" si="3"/>
        <v>0</v>
      </c>
      <c r="I85" s="10">
        <f t="shared" si="4"/>
        <v>-4782</v>
      </c>
    </row>
    <row r="86" spans="1:9" x14ac:dyDescent="0.25">
      <c r="A86" s="1" t="s">
        <v>154</v>
      </c>
      <c r="B86" s="1"/>
      <c r="C86" s="1"/>
      <c r="D86" s="1">
        <v>205</v>
      </c>
      <c r="E86" s="2">
        <v>7094</v>
      </c>
      <c r="G86">
        <v>0</v>
      </c>
      <c r="H86" s="10">
        <f t="shared" si="3"/>
        <v>0</v>
      </c>
      <c r="I86" s="10">
        <f t="shared" si="4"/>
        <v>-7094</v>
      </c>
    </row>
    <row r="87" spans="1:9" x14ac:dyDescent="0.25">
      <c r="A87" s="1" t="s">
        <v>155</v>
      </c>
      <c r="B87" s="1"/>
      <c r="C87" s="1"/>
      <c r="D87" s="1">
        <v>135</v>
      </c>
      <c r="E87" s="2">
        <v>4082</v>
      </c>
      <c r="G87">
        <v>4.0819999999999999</v>
      </c>
      <c r="H87" s="10">
        <f t="shared" si="3"/>
        <v>4082</v>
      </c>
      <c r="I87" s="10">
        <f t="shared" si="4"/>
        <v>0</v>
      </c>
    </row>
  </sheetData>
  <autoFilter ref="A1:I87" xr:uid="{338D838C-5815-40DE-B3CF-63F53FA2A530}"/>
  <conditionalFormatting sqref="A1:A83 A88:A1048576 A84:D87">
    <cfRule type="duplicateValues" dxfId="13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31B8-EBB3-4624-A4F7-B2E0CDBF63B0}">
  <dimension ref="A1:I87"/>
  <sheetViews>
    <sheetView workbookViewId="0">
      <pane ySplit="1" topLeftCell="A57" activePane="bottomLeft" state="frozen"/>
      <selection pane="bottomLeft" activeCell="E82" sqref="E82"/>
    </sheetView>
  </sheetViews>
  <sheetFormatPr defaultRowHeight="15" x14ac:dyDescent="0.25"/>
  <cols>
    <col min="1" max="1" width="12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9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9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f>SUMIF(Planilha2!E:E,A3,Planilha2!D:D)</f>
        <v>0</v>
      </c>
      <c r="H3" s="10">
        <f>G3*1000</f>
        <v>0</v>
      </c>
      <c r="I3" s="10">
        <f>H3-E3</f>
        <v>-7350</v>
      </c>
    </row>
    <row r="4" spans="1:9" x14ac:dyDescent="0.25">
      <c r="A4" s="1" t="s">
        <v>10</v>
      </c>
      <c r="B4" s="1" t="s">
        <v>11</v>
      </c>
      <c r="C4" s="1"/>
      <c r="D4" s="1">
        <v>75</v>
      </c>
      <c r="E4" s="2">
        <v>6029</v>
      </c>
      <c r="G4">
        <f>SUMIF(Planilha2!E:E,A4,Planilha2!D:D)</f>
        <v>0</v>
      </c>
      <c r="H4" s="10">
        <f t="shared" ref="H4:H67" si="0">G4*1000</f>
        <v>0</v>
      </c>
      <c r="I4" s="10">
        <f t="shared" ref="I4:I67" si="1">H4-E4</f>
        <v>-6029</v>
      </c>
    </row>
    <row r="5" spans="1:9" s="10" customFormat="1" x14ac:dyDescent="0.25">
      <c r="A5" s="1" t="s">
        <v>13</v>
      </c>
      <c r="B5" s="1"/>
      <c r="C5" s="1" t="s">
        <v>9</v>
      </c>
      <c r="D5" s="1">
        <v>100</v>
      </c>
      <c r="E5" s="2">
        <f>4.522*1000</f>
        <v>4522</v>
      </c>
      <c r="F5"/>
      <c r="G5">
        <f>SUMIF(Planilha2!E:E,A5,Planilha2!D:D)</f>
        <v>0</v>
      </c>
      <c r="H5" s="10">
        <f t="shared" si="0"/>
        <v>0</v>
      </c>
      <c r="I5" s="10">
        <f t="shared" si="1"/>
        <v>-4522</v>
      </c>
    </row>
    <row r="6" spans="1:9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f>SUMIF(Planilha2!E:E,A6,Planilha2!D:D)</f>
        <v>0</v>
      </c>
      <c r="H6" s="10">
        <f t="shared" si="0"/>
        <v>0</v>
      </c>
      <c r="I6" s="10">
        <f t="shared" si="1"/>
        <v>-2760</v>
      </c>
    </row>
    <row r="7" spans="1:9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4801</v>
      </c>
      <c r="F7"/>
      <c r="G7">
        <f>SUMIF(Planilha2!E:E,A7,Planilha2!D:D)</f>
        <v>0</v>
      </c>
      <c r="H7" s="10">
        <f t="shared" si="0"/>
        <v>0</v>
      </c>
      <c r="I7" s="10">
        <f t="shared" si="1"/>
        <v>-4801</v>
      </c>
    </row>
    <row r="8" spans="1:9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4682</v>
      </c>
      <c r="F8"/>
      <c r="G8">
        <f>SUMIF(Planilha2!E:E,A8,Planilha2!D:D)</f>
        <v>0</v>
      </c>
      <c r="H8" s="10">
        <f t="shared" si="0"/>
        <v>0</v>
      </c>
      <c r="I8" s="10">
        <f t="shared" si="1"/>
        <v>-4682</v>
      </c>
    </row>
    <row r="9" spans="1:9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f>SUMIF(Planilha2!E:E,A9,Planilha2!D:D)</f>
        <v>0</v>
      </c>
      <c r="H9" s="10">
        <f t="shared" si="0"/>
        <v>0</v>
      </c>
      <c r="I9" s="10">
        <f t="shared" si="1"/>
        <v>-5394</v>
      </c>
    </row>
    <row r="10" spans="1:9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5624</v>
      </c>
      <c r="F10"/>
      <c r="G10">
        <f>SUMIF(Planilha2!E:E,A10,Planilha2!D:D)</f>
        <v>0</v>
      </c>
      <c r="H10" s="10">
        <f t="shared" si="0"/>
        <v>0</v>
      </c>
      <c r="I10" s="10">
        <f t="shared" si="1"/>
        <v>-5624</v>
      </c>
    </row>
    <row r="11" spans="1:9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4801</v>
      </c>
      <c r="F11"/>
      <c r="G11">
        <f>SUMIF(Planilha2!E:E,A11,Planilha2!D:D)</f>
        <v>4.2069999999999999</v>
      </c>
      <c r="H11" s="10">
        <f t="shared" si="0"/>
        <v>4207</v>
      </c>
      <c r="I11" s="10">
        <f t="shared" si="1"/>
        <v>-594</v>
      </c>
    </row>
    <row r="12" spans="1:9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f>SUMIF(Planilha2!E:E,A12,Planilha2!D:D)</f>
        <v>0</v>
      </c>
      <c r="H12" s="10">
        <f t="shared" si="0"/>
        <v>0</v>
      </c>
      <c r="I12" s="10">
        <f t="shared" si="1"/>
        <v>-7796</v>
      </c>
    </row>
    <row r="13" spans="1:9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f>SUMIF(Planilha2!E:E,A13,Planilha2!D:D)</f>
        <v>0</v>
      </c>
      <c r="H13" s="10">
        <f t="shared" si="0"/>
        <v>0</v>
      </c>
      <c r="I13" s="10">
        <f t="shared" si="1"/>
        <v>-7154</v>
      </c>
    </row>
    <row r="14" spans="1:9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6029</v>
      </c>
      <c r="F14"/>
      <c r="G14">
        <f>SUMIF(Planilha2!E:E,A14,Planilha2!D:D)</f>
        <v>0</v>
      </c>
      <c r="H14" s="10">
        <f t="shared" si="0"/>
        <v>0</v>
      </c>
      <c r="I14" s="10">
        <f t="shared" si="1"/>
        <v>-6029</v>
      </c>
    </row>
    <row r="15" spans="1:9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7107</v>
      </c>
      <c r="F15"/>
      <c r="G15">
        <f>SUMIF(Planilha2!E:E,A15,Planilha2!D:D)</f>
        <v>0</v>
      </c>
      <c r="H15" s="10">
        <f>G15*1000</f>
        <v>0</v>
      </c>
      <c r="I15" s="10">
        <f t="shared" si="1"/>
        <v>-7107</v>
      </c>
    </row>
    <row r="16" spans="1:9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f>SUMIF(Planilha2!E:E,A16,Planilha2!D:D)</f>
        <v>0</v>
      </c>
      <c r="H16" s="10">
        <f t="shared" si="0"/>
        <v>0</v>
      </c>
      <c r="I16" s="10">
        <f t="shared" si="1"/>
        <v>-3971</v>
      </c>
    </row>
    <row r="17" spans="1:9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  <c r="G17">
        <f>SUMIF(Planilha2!E:E,A17,Planilha2!D:D)</f>
        <v>0</v>
      </c>
      <c r="H17" s="10">
        <f t="shared" si="0"/>
        <v>0</v>
      </c>
      <c r="I17" s="10">
        <f t="shared" si="1"/>
        <v>-5054</v>
      </c>
    </row>
    <row r="18" spans="1:9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f>SUMIF(Planilha2!E:E,A18,Planilha2!D:D)</f>
        <v>0</v>
      </c>
      <c r="H18" s="10">
        <f t="shared" si="0"/>
        <v>0</v>
      </c>
      <c r="I18" s="10">
        <f t="shared" si="1"/>
        <v>-5747</v>
      </c>
    </row>
    <row r="19" spans="1:9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f>SUMIF(Planilha2!E:E,A19,Planilha2!D:D)</f>
        <v>0</v>
      </c>
      <c r="H19" s="10">
        <f t="shared" si="0"/>
        <v>0</v>
      </c>
      <c r="I19" s="10">
        <f t="shared" si="1"/>
        <v>-4212</v>
      </c>
    </row>
    <row r="20" spans="1:9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f>SUMIF(Planilha2!E:E,A20,Planilha2!D:D)</f>
        <v>0</v>
      </c>
      <c r="H20" s="10">
        <f t="shared" si="0"/>
        <v>0</v>
      </c>
      <c r="I20" s="10">
        <f t="shared" si="1"/>
        <v>-4766</v>
      </c>
    </row>
    <row r="21" spans="1:9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f>SUMIF(Planilha2!E:E,A21,Planilha2!D:D)</f>
        <v>0</v>
      </c>
      <c r="H21" s="10">
        <f t="shared" si="0"/>
        <v>0</v>
      </c>
      <c r="I21" s="10">
        <f t="shared" si="1"/>
        <v>-3877</v>
      </c>
    </row>
    <row r="22" spans="1:9" x14ac:dyDescent="0.25">
      <c r="A22" s="1" t="s">
        <v>41</v>
      </c>
      <c r="B22" s="1" t="s">
        <v>38</v>
      </c>
      <c r="C22" s="1" t="s">
        <v>9</v>
      </c>
      <c r="D22" s="1">
        <v>125</v>
      </c>
      <c r="E22" s="14">
        <v>4054.9999999999995</v>
      </c>
      <c r="G22">
        <f>SUMIF(Planilha2!E:E,A22,Planilha2!D:D)</f>
        <v>4.1660000000000004</v>
      </c>
      <c r="H22" s="10">
        <f t="shared" si="0"/>
        <v>4166</v>
      </c>
      <c r="I22" s="10">
        <f t="shared" si="1"/>
        <v>111.00000000000045</v>
      </c>
    </row>
    <row r="23" spans="1:9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f>SUMIF(Planilha2!E:E,A23,Planilha2!D:D)</f>
        <v>0</v>
      </c>
      <c r="H23" s="10">
        <f t="shared" si="0"/>
        <v>0</v>
      </c>
      <c r="I23" s="10">
        <f t="shared" si="1"/>
        <v>-5190</v>
      </c>
    </row>
    <row r="24" spans="1:9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f>SUMIF(Planilha2!E:E,A24,Planilha2!D:D)</f>
        <v>0</v>
      </c>
      <c r="H24" s="10">
        <f t="shared" si="0"/>
        <v>0</v>
      </c>
      <c r="I24" s="10">
        <f t="shared" si="1"/>
        <v>-4766</v>
      </c>
    </row>
    <row r="25" spans="1:9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f>SUMIF(Planilha2!E:E,A25,Planilha2!D:D)</f>
        <v>0</v>
      </c>
      <c r="H25" s="10">
        <f t="shared" si="0"/>
        <v>0</v>
      </c>
      <c r="I25" s="10">
        <f t="shared" si="1"/>
        <v>-5289.26</v>
      </c>
    </row>
    <row r="26" spans="1:9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v>0</v>
      </c>
      <c r="H26" s="10">
        <f t="shared" si="0"/>
        <v>0</v>
      </c>
      <c r="I26" s="10">
        <f t="shared" si="1"/>
        <v>-4902</v>
      </c>
    </row>
    <row r="27" spans="1:9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v>0</v>
      </c>
      <c r="H27" s="10">
        <f t="shared" si="0"/>
        <v>0</v>
      </c>
      <c r="I27" s="10">
        <f t="shared" si="1"/>
        <v>-4767</v>
      </c>
    </row>
    <row r="28" spans="1:9" x14ac:dyDescent="0.25">
      <c r="A28" s="1" t="s">
        <v>50</v>
      </c>
      <c r="B28" s="1" t="s">
        <v>38</v>
      </c>
      <c r="C28" s="1" t="s">
        <v>9</v>
      </c>
      <c r="D28" s="1">
        <v>185</v>
      </c>
      <c r="E28" s="14">
        <v>4587</v>
      </c>
      <c r="G28">
        <v>4.5869999999999997</v>
      </c>
      <c r="H28" s="10">
        <f t="shared" si="0"/>
        <v>4587</v>
      </c>
      <c r="I28" s="10">
        <f t="shared" si="1"/>
        <v>0</v>
      </c>
    </row>
    <row r="29" spans="1:9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v>0</v>
      </c>
      <c r="H29" s="10">
        <f t="shared" si="0"/>
        <v>0</v>
      </c>
      <c r="I29" s="10">
        <f t="shared" si="1"/>
        <v>-5054</v>
      </c>
    </row>
    <row r="30" spans="1:9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v>0</v>
      </c>
      <c r="H30" s="10">
        <f t="shared" si="0"/>
        <v>0</v>
      </c>
      <c r="I30" s="10">
        <f t="shared" si="1"/>
        <v>-4549</v>
      </c>
    </row>
    <row r="31" spans="1:9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v>0</v>
      </c>
      <c r="H31" s="10">
        <f t="shared" si="0"/>
        <v>0</v>
      </c>
      <c r="I31" s="10">
        <f t="shared" si="1"/>
        <v>-4549</v>
      </c>
    </row>
    <row r="32" spans="1:9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5026</v>
      </c>
      <c r="G32">
        <v>0</v>
      </c>
      <c r="H32" s="10">
        <f t="shared" si="0"/>
        <v>0</v>
      </c>
      <c r="I32" s="10">
        <f t="shared" si="1"/>
        <v>-5026</v>
      </c>
    </row>
    <row r="33" spans="1:9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v>0</v>
      </c>
      <c r="H33" s="10">
        <f t="shared" si="0"/>
        <v>0</v>
      </c>
      <c r="I33" s="10">
        <f t="shared" si="1"/>
        <v>-7004</v>
      </c>
    </row>
    <row r="34" spans="1:9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f>E35</f>
        <v>8185</v>
      </c>
      <c r="G34">
        <v>0</v>
      </c>
      <c r="H34" s="10">
        <f t="shared" si="0"/>
        <v>0</v>
      </c>
      <c r="I34" s="10">
        <f t="shared" si="1"/>
        <v>-8185</v>
      </c>
    </row>
    <row r="35" spans="1:9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8185</v>
      </c>
      <c r="G35">
        <v>0</v>
      </c>
      <c r="H35" s="10">
        <f t="shared" si="0"/>
        <v>0</v>
      </c>
      <c r="I35" s="10">
        <f t="shared" si="1"/>
        <v>-8185</v>
      </c>
    </row>
    <row r="36" spans="1:9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3363</v>
      </c>
      <c r="G36">
        <v>3.363</v>
      </c>
      <c r="H36" s="10">
        <f t="shared" si="0"/>
        <v>3363</v>
      </c>
      <c r="I36" s="10">
        <f t="shared" si="1"/>
        <v>0</v>
      </c>
    </row>
    <row r="37" spans="1:9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v>0</v>
      </c>
      <c r="H37" s="10">
        <f t="shared" si="0"/>
        <v>0</v>
      </c>
      <c r="I37" s="10">
        <f t="shared" si="1"/>
        <v>-3356.52</v>
      </c>
    </row>
    <row r="38" spans="1:9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3408</v>
      </c>
      <c r="G38">
        <v>3.4079999999999999</v>
      </c>
      <c r="H38" s="10">
        <f t="shared" si="0"/>
        <v>3408</v>
      </c>
      <c r="I38" s="10">
        <f t="shared" si="1"/>
        <v>0</v>
      </c>
    </row>
    <row r="39" spans="1:9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v>0</v>
      </c>
      <c r="H39" s="10">
        <f t="shared" si="0"/>
        <v>0</v>
      </c>
      <c r="I39" s="10">
        <f t="shared" si="1"/>
        <v>-3356.52</v>
      </c>
    </row>
    <row r="40" spans="1:9" x14ac:dyDescent="0.25">
      <c r="A40" s="1" t="s">
        <v>68</v>
      </c>
      <c r="B40" s="1"/>
      <c r="C40" s="1"/>
      <c r="D40" s="1">
        <v>110</v>
      </c>
      <c r="E40" s="2">
        <f>E55</f>
        <v>4161.9400000000005</v>
      </c>
      <c r="G40">
        <v>0</v>
      </c>
      <c r="H40" s="10">
        <f t="shared" si="0"/>
        <v>0</v>
      </c>
      <c r="I40" s="10">
        <f t="shared" si="1"/>
        <v>-4161.9400000000005</v>
      </c>
    </row>
    <row r="41" spans="1:9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v>0</v>
      </c>
      <c r="H41" s="10">
        <f t="shared" si="0"/>
        <v>0</v>
      </c>
      <c r="I41" s="10">
        <f t="shared" si="1"/>
        <v>-3101</v>
      </c>
    </row>
    <row r="42" spans="1:9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3355</v>
      </c>
      <c r="G42">
        <v>3.355</v>
      </c>
      <c r="H42" s="10">
        <f t="shared" si="0"/>
        <v>3355</v>
      </c>
      <c r="I42" s="10">
        <f t="shared" si="1"/>
        <v>0</v>
      </c>
    </row>
    <row r="43" spans="1:9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v>0</v>
      </c>
      <c r="H43" s="10">
        <f t="shared" si="0"/>
        <v>0</v>
      </c>
      <c r="I43" s="10">
        <f t="shared" si="1"/>
        <v>-3352</v>
      </c>
    </row>
    <row r="44" spans="1:9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v>0</v>
      </c>
      <c r="H44" s="10">
        <f t="shared" si="0"/>
        <v>0</v>
      </c>
      <c r="I44" s="10">
        <f t="shared" si="1"/>
        <v>-3356.52</v>
      </c>
    </row>
    <row r="45" spans="1:9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v>0</v>
      </c>
      <c r="H45" s="10">
        <f t="shared" si="0"/>
        <v>0</v>
      </c>
      <c r="I45" s="10">
        <f t="shared" si="1"/>
        <v>-3356.52</v>
      </c>
    </row>
    <row r="46" spans="1:9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v>0</v>
      </c>
      <c r="H46" s="10">
        <f t="shared" si="0"/>
        <v>0</v>
      </c>
      <c r="I46" s="10">
        <f t="shared" si="1"/>
        <v>-3356.52</v>
      </c>
    </row>
    <row r="47" spans="1:9" x14ac:dyDescent="0.25">
      <c r="A47" s="1" t="s">
        <v>76</v>
      </c>
      <c r="B47" s="1"/>
      <c r="C47" s="1" t="s">
        <v>9</v>
      </c>
      <c r="D47" s="1">
        <v>100</v>
      </c>
      <c r="E47" s="2">
        <f>E55</f>
        <v>4161.9400000000005</v>
      </c>
      <c r="G47">
        <v>0</v>
      </c>
      <c r="H47" s="10">
        <f t="shared" si="0"/>
        <v>0</v>
      </c>
      <c r="I47" s="10">
        <f t="shared" si="1"/>
        <v>-4161.9400000000005</v>
      </c>
    </row>
    <row r="48" spans="1:9" x14ac:dyDescent="0.25">
      <c r="A48" s="1" t="s">
        <v>77</v>
      </c>
      <c r="B48" s="1"/>
      <c r="C48" s="1" t="s">
        <v>9</v>
      </c>
      <c r="D48" s="1">
        <v>80</v>
      </c>
      <c r="E48" s="2">
        <f t="shared" ref="E48:E54" si="2">E47</f>
        <v>4161.9400000000005</v>
      </c>
      <c r="G48">
        <v>0</v>
      </c>
      <c r="H48" s="10">
        <f t="shared" si="0"/>
        <v>0</v>
      </c>
      <c r="I48" s="10">
        <f t="shared" si="1"/>
        <v>-4161.9400000000005</v>
      </c>
    </row>
    <row r="49" spans="1:9" x14ac:dyDescent="0.25">
      <c r="A49" s="1" t="s">
        <v>78</v>
      </c>
      <c r="B49" s="1"/>
      <c r="C49" s="1" t="s">
        <v>9</v>
      </c>
      <c r="D49" s="1">
        <v>110</v>
      </c>
      <c r="E49" s="2">
        <f t="shared" si="2"/>
        <v>4161.9400000000005</v>
      </c>
      <c r="G49">
        <v>0</v>
      </c>
      <c r="H49" s="10">
        <f t="shared" si="0"/>
        <v>0</v>
      </c>
      <c r="I49" s="10">
        <f t="shared" si="1"/>
        <v>-4161.9400000000005</v>
      </c>
    </row>
    <row r="50" spans="1:9" x14ac:dyDescent="0.25">
      <c r="A50" s="1" t="s">
        <v>79</v>
      </c>
      <c r="B50" s="1"/>
      <c r="C50" s="1" t="s">
        <v>9</v>
      </c>
      <c r="D50" s="1">
        <v>120</v>
      </c>
      <c r="E50" s="2">
        <f t="shared" si="2"/>
        <v>4161.9400000000005</v>
      </c>
      <c r="G50">
        <v>0</v>
      </c>
      <c r="H50" s="10">
        <f t="shared" si="0"/>
        <v>0</v>
      </c>
      <c r="I50" s="10">
        <f t="shared" si="1"/>
        <v>-4161.9400000000005</v>
      </c>
    </row>
    <row r="51" spans="1:9" x14ac:dyDescent="0.25">
      <c r="A51" s="1" t="s">
        <v>80</v>
      </c>
      <c r="B51" s="1"/>
      <c r="C51" s="1" t="s">
        <v>9</v>
      </c>
      <c r="D51" s="1">
        <v>140</v>
      </c>
      <c r="E51" s="2">
        <f t="shared" si="2"/>
        <v>4161.9400000000005</v>
      </c>
      <c r="G51">
        <v>0</v>
      </c>
      <c r="H51" s="10">
        <f t="shared" si="0"/>
        <v>0</v>
      </c>
      <c r="I51" s="10">
        <f t="shared" si="1"/>
        <v>-4161.9400000000005</v>
      </c>
    </row>
    <row r="52" spans="1:9" x14ac:dyDescent="0.25">
      <c r="A52" s="1" t="s">
        <v>81</v>
      </c>
      <c r="B52" s="1"/>
      <c r="C52" s="1"/>
      <c r="D52" s="1">
        <v>160</v>
      </c>
      <c r="E52" s="2">
        <f t="shared" si="2"/>
        <v>4161.9400000000005</v>
      </c>
      <c r="G52">
        <v>0</v>
      </c>
      <c r="H52" s="10">
        <f t="shared" si="0"/>
        <v>0</v>
      </c>
      <c r="I52" s="10">
        <f t="shared" si="1"/>
        <v>-4161.9400000000005</v>
      </c>
    </row>
    <row r="53" spans="1:9" x14ac:dyDescent="0.25">
      <c r="A53" s="1" t="s">
        <v>82</v>
      </c>
      <c r="B53" s="1"/>
      <c r="C53" s="1" t="s">
        <v>9</v>
      </c>
      <c r="D53" s="1">
        <v>185</v>
      </c>
      <c r="E53" s="2">
        <f>4.162*1000</f>
        <v>4162</v>
      </c>
      <c r="G53">
        <v>0</v>
      </c>
      <c r="H53" s="10">
        <f t="shared" si="0"/>
        <v>0</v>
      </c>
      <c r="I53" s="10">
        <f t="shared" si="1"/>
        <v>-4162</v>
      </c>
    </row>
    <row r="54" spans="1:9" x14ac:dyDescent="0.25">
      <c r="A54" s="1" t="s">
        <v>83</v>
      </c>
      <c r="B54" s="1"/>
      <c r="C54" s="1" t="s">
        <v>9</v>
      </c>
      <c r="D54" s="1">
        <v>140</v>
      </c>
      <c r="E54" s="2">
        <f t="shared" si="2"/>
        <v>4162</v>
      </c>
      <c r="G54">
        <v>0</v>
      </c>
      <c r="H54" s="10">
        <f t="shared" si="0"/>
        <v>0</v>
      </c>
      <c r="I54" s="10">
        <f t="shared" si="1"/>
        <v>-4162</v>
      </c>
    </row>
    <row r="55" spans="1:9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v>0</v>
      </c>
      <c r="H55" s="10">
        <f t="shared" si="0"/>
        <v>0</v>
      </c>
      <c r="I55" s="10">
        <f t="shared" si="1"/>
        <v>-4161.9400000000005</v>
      </c>
    </row>
    <row r="56" spans="1:9" x14ac:dyDescent="0.25">
      <c r="A56" s="1" t="s">
        <v>86</v>
      </c>
      <c r="B56" s="1" t="s">
        <v>87</v>
      </c>
      <c r="C56" s="1"/>
      <c r="D56" s="1">
        <v>180</v>
      </c>
      <c r="E56" s="2">
        <f>E55</f>
        <v>4161.9400000000005</v>
      </c>
      <c r="G56">
        <v>0</v>
      </c>
      <c r="H56" s="10">
        <f t="shared" si="0"/>
        <v>0</v>
      </c>
      <c r="I56" s="10">
        <f t="shared" si="1"/>
        <v>-4161.9400000000005</v>
      </c>
    </row>
    <row r="57" spans="1:9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f>E56</f>
        <v>4161.9400000000005</v>
      </c>
      <c r="G57">
        <v>0</v>
      </c>
      <c r="H57" s="10">
        <f t="shared" si="0"/>
        <v>0</v>
      </c>
      <c r="I57" s="10">
        <f t="shared" si="1"/>
        <v>-4161.9400000000005</v>
      </c>
    </row>
    <row r="58" spans="1:9" x14ac:dyDescent="0.25">
      <c r="A58" s="1" t="s">
        <v>95</v>
      </c>
      <c r="B58" s="1"/>
      <c r="C58" s="1"/>
      <c r="D58" s="1">
        <v>125</v>
      </c>
      <c r="E58" s="7">
        <v>9960</v>
      </c>
      <c r="G58">
        <v>0</v>
      </c>
      <c r="H58" s="10">
        <f t="shared" si="0"/>
        <v>0</v>
      </c>
      <c r="I58" s="10">
        <f t="shared" si="1"/>
        <v>-9960</v>
      </c>
    </row>
    <row r="59" spans="1:9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v>0</v>
      </c>
      <c r="H59" s="10">
        <f t="shared" si="0"/>
        <v>0</v>
      </c>
      <c r="I59" s="10">
        <f t="shared" si="1"/>
        <v>-4434</v>
      </c>
    </row>
    <row r="60" spans="1:9" x14ac:dyDescent="0.25">
      <c r="A60" s="1" t="s">
        <v>98</v>
      </c>
      <c r="B60" s="1"/>
      <c r="C60" s="1"/>
      <c r="D60" s="1">
        <v>126</v>
      </c>
      <c r="E60" s="2">
        <v>4085</v>
      </c>
      <c r="G60">
        <v>0</v>
      </c>
      <c r="H60" s="10">
        <f t="shared" si="0"/>
        <v>0</v>
      </c>
      <c r="I60" s="10">
        <f t="shared" si="1"/>
        <v>-4085</v>
      </c>
    </row>
    <row r="61" spans="1:9" x14ac:dyDescent="0.25">
      <c r="A61" s="1" t="s">
        <v>99</v>
      </c>
      <c r="B61" s="1"/>
      <c r="C61" s="1"/>
      <c r="D61" s="1">
        <v>90</v>
      </c>
      <c r="E61" s="2">
        <f>4.8667*1000</f>
        <v>4866.7</v>
      </c>
      <c r="G61">
        <v>0</v>
      </c>
      <c r="H61" s="10">
        <f t="shared" si="0"/>
        <v>0</v>
      </c>
      <c r="I61" s="10">
        <f t="shared" si="1"/>
        <v>-4866.7</v>
      </c>
    </row>
    <row r="62" spans="1:9" x14ac:dyDescent="0.25">
      <c r="A62" s="1" t="s">
        <v>100</v>
      </c>
      <c r="B62" s="1"/>
      <c r="C62" s="1"/>
      <c r="D62" s="1">
        <v>220</v>
      </c>
      <c r="E62" s="2"/>
      <c r="G62">
        <v>0</v>
      </c>
      <c r="H62" s="10">
        <f t="shared" si="0"/>
        <v>0</v>
      </c>
      <c r="I62" s="10">
        <f t="shared" si="1"/>
        <v>0</v>
      </c>
    </row>
    <row r="63" spans="1:9" x14ac:dyDescent="0.25">
      <c r="A63" s="1" t="s">
        <v>101</v>
      </c>
      <c r="B63" s="1"/>
      <c r="C63" s="1"/>
      <c r="D63" s="1">
        <v>300</v>
      </c>
      <c r="E63" s="2">
        <v>5435</v>
      </c>
      <c r="G63">
        <v>0</v>
      </c>
      <c r="H63" s="10">
        <f t="shared" si="0"/>
        <v>0</v>
      </c>
      <c r="I63" s="10">
        <f t="shared" si="1"/>
        <v>-5435</v>
      </c>
    </row>
    <row r="64" spans="1:9" x14ac:dyDescent="0.25">
      <c r="A64" s="1" t="s">
        <v>102</v>
      </c>
      <c r="B64" s="1"/>
      <c r="C64" s="1"/>
      <c r="D64" s="1">
        <v>150</v>
      </c>
      <c r="E64" s="7">
        <v>5289.26</v>
      </c>
      <c r="G64">
        <v>0</v>
      </c>
      <c r="H64" s="10">
        <f t="shared" si="0"/>
        <v>0</v>
      </c>
      <c r="I64" s="10">
        <f t="shared" si="1"/>
        <v>-5289.26</v>
      </c>
    </row>
    <row r="65" spans="1:9" x14ac:dyDescent="0.25">
      <c r="A65" s="1" t="s">
        <v>103</v>
      </c>
      <c r="B65" s="1"/>
      <c r="C65" s="1"/>
      <c r="D65" s="1">
        <v>160</v>
      </c>
      <c r="E65" s="2">
        <f>4.8667*1000</f>
        <v>4866.7</v>
      </c>
      <c r="G65">
        <v>0</v>
      </c>
      <c r="H65" s="10">
        <f t="shared" si="0"/>
        <v>0</v>
      </c>
      <c r="I65" s="10">
        <f t="shared" si="1"/>
        <v>-4866.7</v>
      </c>
    </row>
    <row r="66" spans="1:9" x14ac:dyDescent="0.25">
      <c r="A66" s="1" t="s">
        <v>104</v>
      </c>
      <c r="B66" s="1"/>
      <c r="C66" s="1"/>
      <c r="D66" s="1">
        <v>120</v>
      </c>
      <c r="E66" s="2">
        <f>4.8667*1000</f>
        <v>4866.7</v>
      </c>
      <c r="G66">
        <v>0</v>
      </c>
      <c r="H66" s="10">
        <f t="shared" si="0"/>
        <v>0</v>
      </c>
      <c r="I66" s="10">
        <f t="shared" si="1"/>
        <v>-4866.7</v>
      </c>
    </row>
    <row r="67" spans="1:9" x14ac:dyDescent="0.25">
      <c r="A67" s="1" t="s">
        <v>105</v>
      </c>
      <c r="B67" s="1"/>
      <c r="C67" s="1"/>
      <c r="D67" s="1">
        <v>190</v>
      </c>
      <c r="E67" s="2">
        <f>7.22034*1000</f>
        <v>7220.34</v>
      </c>
      <c r="G67">
        <v>0</v>
      </c>
      <c r="H67" s="10">
        <f t="shared" si="0"/>
        <v>0</v>
      </c>
      <c r="I67" s="10">
        <f t="shared" si="1"/>
        <v>-7220.34</v>
      </c>
    </row>
    <row r="68" spans="1:9" x14ac:dyDescent="0.25">
      <c r="A68" s="1" t="s">
        <v>106</v>
      </c>
      <c r="B68" s="1"/>
      <c r="C68" s="1"/>
      <c r="D68" s="1">
        <v>200</v>
      </c>
      <c r="E68" s="2">
        <f>7.22034*1000</f>
        <v>7220.34</v>
      </c>
      <c r="G68">
        <v>0</v>
      </c>
      <c r="H68" s="10">
        <f t="shared" ref="H68:H87" si="3">G68*1000</f>
        <v>0</v>
      </c>
      <c r="I68" s="10">
        <f t="shared" ref="I68:I87" si="4">H68-E68</f>
        <v>-7220.34</v>
      </c>
    </row>
    <row r="69" spans="1:9" x14ac:dyDescent="0.25">
      <c r="A69" s="1" t="s">
        <v>107</v>
      </c>
      <c r="B69" s="1"/>
      <c r="C69" s="1"/>
      <c r="D69" s="1">
        <v>205</v>
      </c>
      <c r="E69" s="2">
        <v>6847</v>
      </c>
      <c r="G69">
        <v>0</v>
      </c>
      <c r="H69" s="10">
        <f t="shared" si="3"/>
        <v>0</v>
      </c>
      <c r="I69" s="10">
        <f t="shared" si="4"/>
        <v>-6847</v>
      </c>
    </row>
    <row r="70" spans="1:9" x14ac:dyDescent="0.25">
      <c r="A70" s="1" t="s">
        <v>108</v>
      </c>
      <c r="B70" s="1"/>
      <c r="C70" s="1"/>
      <c r="D70" s="1">
        <v>110</v>
      </c>
      <c r="E70" s="2">
        <f>4.162*1000</f>
        <v>4162</v>
      </c>
      <c r="G70">
        <v>0</v>
      </c>
      <c r="H70" s="10">
        <f t="shared" si="3"/>
        <v>0</v>
      </c>
      <c r="I70" s="10">
        <f t="shared" si="4"/>
        <v>-4162</v>
      </c>
    </row>
    <row r="71" spans="1:9" x14ac:dyDescent="0.25">
      <c r="A71" s="1" t="s">
        <v>109</v>
      </c>
      <c r="B71" s="1"/>
      <c r="C71" s="1"/>
      <c r="D71" s="1">
        <v>227</v>
      </c>
      <c r="E71" s="2">
        <f>7.22034*1000</f>
        <v>7220.34</v>
      </c>
      <c r="G71">
        <v>0</v>
      </c>
      <c r="H71" s="10">
        <f t="shared" si="3"/>
        <v>0</v>
      </c>
      <c r="I71" s="10">
        <f t="shared" si="4"/>
        <v>-7220.34</v>
      </c>
    </row>
    <row r="72" spans="1:9" x14ac:dyDescent="0.25">
      <c r="A72" s="1" t="s">
        <v>110</v>
      </c>
      <c r="B72" s="1"/>
      <c r="C72" s="1"/>
      <c r="D72" s="1">
        <v>135</v>
      </c>
      <c r="E72" s="2">
        <f>3.10358*1000</f>
        <v>3103.58</v>
      </c>
      <c r="G72">
        <v>0</v>
      </c>
      <c r="H72" s="10">
        <f t="shared" si="3"/>
        <v>0</v>
      </c>
      <c r="I72" s="10">
        <f t="shared" si="4"/>
        <v>-3103.58</v>
      </c>
    </row>
    <row r="73" spans="1:9" x14ac:dyDescent="0.25">
      <c r="A73" s="1" t="s">
        <v>111</v>
      </c>
      <c r="B73" s="1"/>
      <c r="C73" s="1"/>
      <c r="D73" s="1">
        <v>75</v>
      </c>
      <c r="E73" s="2">
        <f>5.075*1000</f>
        <v>5075</v>
      </c>
      <c r="G73">
        <v>0</v>
      </c>
      <c r="H73" s="10">
        <f t="shared" si="3"/>
        <v>0</v>
      </c>
      <c r="I73" s="10">
        <f t="shared" si="4"/>
        <v>-5075</v>
      </c>
    </row>
    <row r="74" spans="1:9" x14ac:dyDescent="0.25">
      <c r="A74" s="1" t="s">
        <v>112</v>
      </c>
      <c r="B74" s="1"/>
      <c r="C74" s="1"/>
      <c r="D74" s="1">
        <v>90</v>
      </c>
      <c r="E74" s="2">
        <f>3.10358*1000</f>
        <v>3103.58</v>
      </c>
      <c r="G74">
        <v>0</v>
      </c>
      <c r="H74" s="10">
        <f t="shared" si="3"/>
        <v>0</v>
      </c>
      <c r="I74" s="10">
        <f t="shared" si="4"/>
        <v>-3103.58</v>
      </c>
    </row>
    <row r="75" spans="1:9" x14ac:dyDescent="0.25">
      <c r="A75" s="1" t="s">
        <v>113</v>
      </c>
      <c r="B75" s="1"/>
      <c r="C75" s="1"/>
      <c r="D75" s="1">
        <v>160</v>
      </c>
      <c r="E75" s="2">
        <f>3.10358*1000</f>
        <v>3103.58</v>
      </c>
      <c r="G75">
        <v>0</v>
      </c>
      <c r="H75" s="10">
        <f t="shared" si="3"/>
        <v>0</v>
      </c>
      <c r="I75" s="10">
        <f t="shared" si="4"/>
        <v>-3103.58</v>
      </c>
    </row>
    <row r="76" spans="1:9" x14ac:dyDescent="0.25">
      <c r="A76" s="1" t="s">
        <v>114</v>
      </c>
      <c r="B76" s="1"/>
      <c r="C76" s="1"/>
      <c r="D76" s="1">
        <v>120</v>
      </c>
      <c r="E76" s="2">
        <v>3352</v>
      </c>
      <c r="G76">
        <v>0</v>
      </c>
      <c r="H76" s="10">
        <f t="shared" si="3"/>
        <v>0</v>
      </c>
      <c r="I76" s="10">
        <f t="shared" si="4"/>
        <v>-3352</v>
      </c>
    </row>
    <row r="77" spans="1:9" x14ac:dyDescent="0.25">
      <c r="A77" s="1" t="s">
        <v>115</v>
      </c>
      <c r="B77" s="1"/>
      <c r="C77" s="1"/>
      <c r="D77" s="1">
        <v>150</v>
      </c>
      <c r="E77" s="7">
        <v>5289.26</v>
      </c>
      <c r="G77">
        <v>0</v>
      </c>
      <c r="H77" s="10">
        <f t="shared" si="3"/>
        <v>0</v>
      </c>
      <c r="I77" s="10">
        <f t="shared" si="4"/>
        <v>-5289.26</v>
      </c>
    </row>
    <row r="78" spans="1:9" x14ac:dyDescent="0.25">
      <c r="A78" s="1" t="s">
        <v>116</v>
      </c>
      <c r="B78" s="1"/>
      <c r="C78" s="1"/>
      <c r="D78" s="1">
        <v>100</v>
      </c>
      <c r="E78" s="2">
        <f>3.10358*1000</f>
        <v>3103.58</v>
      </c>
      <c r="G78">
        <v>0</v>
      </c>
      <c r="H78" s="10">
        <f t="shared" si="3"/>
        <v>0</v>
      </c>
      <c r="I78" s="10">
        <f t="shared" si="4"/>
        <v>-3103.58</v>
      </c>
    </row>
    <row r="79" spans="1:9" x14ac:dyDescent="0.25">
      <c r="A79" s="1" t="s">
        <v>117</v>
      </c>
      <c r="B79" s="1"/>
      <c r="C79" s="1"/>
      <c r="D79" s="1">
        <v>120</v>
      </c>
      <c r="E79" s="2">
        <f>4.162*1000</f>
        <v>4162</v>
      </c>
      <c r="G79">
        <v>0</v>
      </c>
      <c r="H79" s="10">
        <f t="shared" si="3"/>
        <v>0</v>
      </c>
      <c r="I79" s="10">
        <f t="shared" si="4"/>
        <v>-4162</v>
      </c>
    </row>
    <row r="80" spans="1:9" x14ac:dyDescent="0.25">
      <c r="A80" s="1" t="s">
        <v>118</v>
      </c>
      <c r="B80" s="1"/>
      <c r="C80" s="1"/>
      <c r="D80" s="1">
        <v>90</v>
      </c>
      <c r="E80" s="2">
        <f>4.162*1000</f>
        <v>4162</v>
      </c>
      <c r="G80">
        <v>0</v>
      </c>
      <c r="H80" s="10">
        <f t="shared" si="3"/>
        <v>0</v>
      </c>
      <c r="I80" s="10">
        <f t="shared" si="4"/>
        <v>-4162</v>
      </c>
    </row>
    <row r="81" spans="1:9" x14ac:dyDescent="0.25">
      <c r="A81" s="1" t="s">
        <v>119</v>
      </c>
      <c r="B81" s="1"/>
      <c r="C81" s="1"/>
      <c r="D81" s="1">
        <v>105</v>
      </c>
      <c r="E81" s="2">
        <f>4.44361*1000</f>
        <v>4443.6099999999997</v>
      </c>
      <c r="G81">
        <v>0</v>
      </c>
      <c r="H81" s="10">
        <f t="shared" si="3"/>
        <v>0</v>
      </c>
      <c r="I81" s="10">
        <f t="shared" si="4"/>
        <v>-4443.6099999999997</v>
      </c>
    </row>
    <row r="82" spans="1:9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v>0</v>
      </c>
      <c r="H82" s="10">
        <f t="shared" si="3"/>
        <v>0</v>
      </c>
      <c r="I82" s="10">
        <f t="shared" si="4"/>
        <v>-3268</v>
      </c>
    </row>
    <row r="83" spans="1:9" x14ac:dyDescent="0.25">
      <c r="A83" s="1" t="s">
        <v>121</v>
      </c>
      <c r="B83" s="1"/>
      <c r="C83" s="1"/>
      <c r="D83" s="1">
        <v>186</v>
      </c>
      <c r="E83" s="2">
        <f>4.44361*1000</f>
        <v>4443.6099999999997</v>
      </c>
      <c r="G83">
        <v>0</v>
      </c>
      <c r="H83" s="10">
        <f t="shared" si="3"/>
        <v>0</v>
      </c>
      <c r="I83" s="10">
        <f t="shared" si="4"/>
        <v>-4443.6099999999997</v>
      </c>
    </row>
    <row r="84" spans="1:9" x14ac:dyDescent="0.25">
      <c r="A84" s="1" t="s">
        <v>152</v>
      </c>
      <c r="B84" s="1"/>
      <c r="C84" s="1"/>
      <c r="D84" s="1">
        <v>120</v>
      </c>
      <c r="E84" s="2">
        <v>4782</v>
      </c>
      <c r="G84">
        <v>0</v>
      </c>
      <c r="H84" s="10">
        <f t="shared" si="3"/>
        <v>0</v>
      </c>
      <c r="I84" s="10">
        <f t="shared" si="4"/>
        <v>-4782</v>
      </c>
    </row>
    <row r="85" spans="1:9" x14ac:dyDescent="0.25">
      <c r="A85" s="1" t="s">
        <v>153</v>
      </c>
      <c r="B85" s="1"/>
      <c r="C85" s="1"/>
      <c r="D85" s="1">
        <v>90</v>
      </c>
      <c r="E85" s="2">
        <v>4782</v>
      </c>
      <c r="G85">
        <v>0</v>
      </c>
      <c r="H85" s="10">
        <f t="shared" si="3"/>
        <v>0</v>
      </c>
      <c r="I85" s="10">
        <f t="shared" si="4"/>
        <v>-4782</v>
      </c>
    </row>
    <row r="86" spans="1:9" x14ac:dyDescent="0.25">
      <c r="A86" s="1" t="s">
        <v>154</v>
      </c>
      <c r="B86" s="1"/>
      <c r="C86" s="1"/>
      <c r="D86" s="1">
        <v>205</v>
      </c>
      <c r="E86" s="2">
        <v>7094</v>
      </c>
      <c r="G86">
        <v>0</v>
      </c>
      <c r="H86" s="10">
        <f t="shared" si="3"/>
        <v>0</v>
      </c>
      <c r="I86" s="10">
        <f t="shared" si="4"/>
        <v>-7094</v>
      </c>
    </row>
    <row r="87" spans="1:9" x14ac:dyDescent="0.25">
      <c r="A87" s="1" t="s">
        <v>155</v>
      </c>
      <c r="B87" s="1"/>
      <c r="C87" s="1"/>
      <c r="D87" s="1">
        <v>135</v>
      </c>
      <c r="E87" s="2">
        <v>4082</v>
      </c>
      <c r="G87">
        <v>0</v>
      </c>
      <c r="H87" s="10">
        <f t="shared" si="3"/>
        <v>0</v>
      </c>
      <c r="I87" s="10">
        <f t="shared" si="4"/>
        <v>-4082</v>
      </c>
    </row>
  </sheetData>
  <autoFilter ref="A1:I87" xr:uid="{338D838C-5815-40DE-B3CF-63F53FA2A530}"/>
  <conditionalFormatting sqref="A1:A83 A88:A1048576 A84:D87">
    <cfRule type="duplicateValues" dxfId="12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A538-B822-4078-BBBB-1624CDF065FE}">
  <dimension ref="A1:I89"/>
  <sheetViews>
    <sheetView workbookViewId="0">
      <pane ySplit="1" topLeftCell="A55" activePane="bottomLeft" state="frozen"/>
      <selection pane="bottomLeft" activeCell="E2" sqref="E2:E87"/>
    </sheetView>
  </sheetViews>
  <sheetFormatPr defaultRowHeight="15" x14ac:dyDescent="0.25"/>
  <cols>
    <col min="1" max="1" width="13.5703125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9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9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f>SUMIF(Planilha2!E:E,A3,Planilha2!D:D)</f>
        <v>0</v>
      </c>
      <c r="H3" s="10">
        <f>G3*1000</f>
        <v>0</v>
      </c>
      <c r="I3" s="10">
        <f>H3-E3</f>
        <v>-7350</v>
      </c>
    </row>
    <row r="4" spans="1:9" x14ac:dyDescent="0.25">
      <c r="A4" s="1" t="s">
        <v>10</v>
      </c>
      <c r="B4" s="1" t="s">
        <v>11</v>
      </c>
      <c r="C4" s="1"/>
      <c r="D4" s="1">
        <v>75</v>
      </c>
      <c r="E4" s="2">
        <v>6023</v>
      </c>
      <c r="G4">
        <f>SUMIF(Planilha2!E:E,A4,Planilha2!D:D)</f>
        <v>0</v>
      </c>
      <c r="H4" s="10">
        <f t="shared" ref="H4:H67" si="0">G4*1000</f>
        <v>0</v>
      </c>
      <c r="I4" s="10">
        <f t="shared" ref="I4:I67" si="1">H4-E4</f>
        <v>-6023</v>
      </c>
    </row>
    <row r="5" spans="1:9" s="10" customFormat="1" x14ac:dyDescent="0.25">
      <c r="A5" s="1" t="s">
        <v>13</v>
      </c>
      <c r="B5" s="1"/>
      <c r="C5" s="1" t="s">
        <v>9</v>
      </c>
      <c r="D5" s="1">
        <v>100</v>
      </c>
      <c r="E5" s="2">
        <v>4522</v>
      </c>
      <c r="F5"/>
      <c r="G5">
        <f>SUMIF(Planilha2!E:E,A5,Planilha2!D:D)</f>
        <v>0</v>
      </c>
      <c r="H5" s="10">
        <f t="shared" si="0"/>
        <v>0</v>
      </c>
      <c r="I5" s="10">
        <f t="shared" si="1"/>
        <v>-4522</v>
      </c>
    </row>
    <row r="6" spans="1:9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f>SUMIF(Planilha2!E:E,A6,Planilha2!D:D)</f>
        <v>0</v>
      </c>
      <c r="H6" s="10">
        <f t="shared" si="0"/>
        <v>0</v>
      </c>
      <c r="I6" s="10">
        <f t="shared" si="1"/>
        <v>-2760</v>
      </c>
    </row>
    <row r="7" spans="1:9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4801</v>
      </c>
      <c r="F7"/>
      <c r="G7">
        <f>SUMIF(Planilha2!E:E,A7,Planilha2!D:D)</f>
        <v>0</v>
      </c>
      <c r="H7" s="10">
        <f t="shared" si="0"/>
        <v>0</v>
      </c>
      <c r="I7" s="10">
        <f t="shared" si="1"/>
        <v>-4801</v>
      </c>
    </row>
    <row r="8" spans="1:9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4682</v>
      </c>
      <c r="F8"/>
      <c r="G8">
        <f>SUMIF(Planilha2!E:E,A8,Planilha2!D:D)</f>
        <v>0</v>
      </c>
      <c r="H8" s="10">
        <f t="shared" si="0"/>
        <v>0</v>
      </c>
      <c r="I8" s="10">
        <f t="shared" si="1"/>
        <v>-4682</v>
      </c>
    </row>
    <row r="9" spans="1:9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f>SUMIF(Planilha2!E:E,A9,Planilha2!D:D)</f>
        <v>0</v>
      </c>
      <c r="H9" s="10">
        <f t="shared" si="0"/>
        <v>0</v>
      </c>
      <c r="I9" s="10">
        <f t="shared" si="1"/>
        <v>-5394</v>
      </c>
    </row>
    <row r="10" spans="1:9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5975</v>
      </c>
      <c r="F10"/>
      <c r="G10">
        <f>SUMIF(Planilha2!E:E,A10,Planilha2!D:D)</f>
        <v>0</v>
      </c>
      <c r="H10" s="10">
        <f t="shared" si="0"/>
        <v>0</v>
      </c>
      <c r="I10" s="10">
        <f t="shared" si="1"/>
        <v>-5975</v>
      </c>
    </row>
    <row r="11" spans="1:9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4806</v>
      </c>
      <c r="F11"/>
      <c r="G11">
        <f>SUMIF(Planilha2!E:E,A11,Planilha2!D:D)</f>
        <v>4.2069999999999999</v>
      </c>
      <c r="H11" s="10">
        <f t="shared" si="0"/>
        <v>4207</v>
      </c>
      <c r="I11" s="10">
        <f t="shared" si="1"/>
        <v>-599</v>
      </c>
    </row>
    <row r="12" spans="1:9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f>SUMIF(Planilha2!E:E,A12,Planilha2!D:D)</f>
        <v>0</v>
      </c>
      <c r="H12" s="10">
        <f t="shared" si="0"/>
        <v>0</v>
      </c>
      <c r="I12" s="10">
        <f t="shared" si="1"/>
        <v>-7796</v>
      </c>
    </row>
    <row r="13" spans="1:9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f>SUMIF(Planilha2!E:E,A13,Planilha2!D:D)</f>
        <v>0</v>
      </c>
      <c r="H13" s="10">
        <f t="shared" si="0"/>
        <v>0</v>
      </c>
      <c r="I13" s="10">
        <f t="shared" si="1"/>
        <v>-7154</v>
      </c>
    </row>
    <row r="14" spans="1:9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6023</v>
      </c>
      <c r="F14"/>
      <c r="G14">
        <f>SUMIF(Planilha2!E:E,A14,Planilha2!D:D)</f>
        <v>0</v>
      </c>
      <c r="H14" s="10">
        <f t="shared" si="0"/>
        <v>0</v>
      </c>
      <c r="I14" s="10">
        <f t="shared" si="1"/>
        <v>-6023</v>
      </c>
    </row>
    <row r="15" spans="1:9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6847</v>
      </c>
      <c r="F15"/>
      <c r="G15">
        <f>SUMIF(Planilha2!E:E,A15,Planilha2!D:D)</f>
        <v>0</v>
      </c>
      <c r="H15" s="10">
        <f>G15*1000</f>
        <v>0</v>
      </c>
      <c r="I15" s="10">
        <f>H15-E15</f>
        <v>-6847</v>
      </c>
    </row>
    <row r="16" spans="1:9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f>SUMIF(Planilha2!E:E,A16,Planilha2!D:D)</f>
        <v>0</v>
      </c>
      <c r="H16" s="10">
        <f t="shared" si="0"/>
        <v>0</v>
      </c>
      <c r="I16" s="10">
        <f t="shared" si="1"/>
        <v>-3971</v>
      </c>
    </row>
    <row r="17" spans="1:9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  <c r="G17">
        <f>SUMIF(Planilha2!E:E,A17,Planilha2!D:D)</f>
        <v>0</v>
      </c>
      <c r="H17" s="10">
        <f t="shared" si="0"/>
        <v>0</v>
      </c>
      <c r="I17" s="10">
        <f t="shared" si="1"/>
        <v>-5054</v>
      </c>
    </row>
    <row r="18" spans="1:9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f>SUMIF(Planilha2!E:E,A18,Planilha2!D:D)</f>
        <v>0</v>
      </c>
      <c r="H18" s="10">
        <f t="shared" si="0"/>
        <v>0</v>
      </c>
      <c r="I18" s="10">
        <f t="shared" si="1"/>
        <v>-5747</v>
      </c>
    </row>
    <row r="19" spans="1:9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f>SUMIF(Planilha2!E:E,A19,Planilha2!D:D)</f>
        <v>0</v>
      </c>
      <c r="H19" s="10">
        <f t="shared" si="0"/>
        <v>0</v>
      </c>
      <c r="I19" s="10">
        <f t="shared" si="1"/>
        <v>-4212</v>
      </c>
    </row>
    <row r="20" spans="1:9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f>SUMIF(Planilha2!E:E,A20,Planilha2!D:D)</f>
        <v>0</v>
      </c>
      <c r="H20" s="10">
        <f t="shared" si="0"/>
        <v>0</v>
      </c>
      <c r="I20" s="10">
        <f t="shared" si="1"/>
        <v>-4766</v>
      </c>
    </row>
    <row r="21" spans="1:9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f>SUMIF(Planilha2!E:E,A21,Planilha2!D:D)</f>
        <v>0</v>
      </c>
      <c r="H21" s="10">
        <f t="shared" si="0"/>
        <v>0</v>
      </c>
      <c r="I21" s="10">
        <f t="shared" si="1"/>
        <v>-3877</v>
      </c>
    </row>
    <row r="22" spans="1:9" x14ac:dyDescent="0.25">
      <c r="A22" s="1" t="s">
        <v>41</v>
      </c>
      <c r="B22" s="1" t="s">
        <v>38</v>
      </c>
      <c r="C22" s="1" t="s">
        <v>9</v>
      </c>
      <c r="D22" s="1">
        <v>125</v>
      </c>
      <c r="E22" s="14">
        <v>4518</v>
      </c>
      <c r="G22">
        <f>SUMIF(Planilha2!E:E,A22,Planilha2!D:D)</f>
        <v>4.1660000000000004</v>
      </c>
      <c r="H22" s="10">
        <f t="shared" si="0"/>
        <v>4166</v>
      </c>
      <c r="I22" s="10">
        <f t="shared" si="1"/>
        <v>-352</v>
      </c>
    </row>
    <row r="23" spans="1:9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f>SUMIF(Planilha2!E:E,A23,Planilha2!D:D)</f>
        <v>0</v>
      </c>
      <c r="H23" s="10">
        <f t="shared" si="0"/>
        <v>0</v>
      </c>
      <c r="I23" s="10">
        <f t="shared" si="1"/>
        <v>-5190</v>
      </c>
    </row>
    <row r="24" spans="1:9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f>SUMIF(Planilha2!E:E,A24,Planilha2!D:D)</f>
        <v>0</v>
      </c>
      <c r="H24" s="10">
        <f t="shared" si="0"/>
        <v>0</v>
      </c>
      <c r="I24" s="10">
        <f t="shared" si="1"/>
        <v>-4766</v>
      </c>
    </row>
    <row r="25" spans="1:9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f>SUMIF(Planilha2!E:E,A25,Planilha2!D:D)</f>
        <v>0</v>
      </c>
      <c r="H25" s="10">
        <f t="shared" si="0"/>
        <v>0</v>
      </c>
      <c r="I25" s="10">
        <f t="shared" si="1"/>
        <v>-5289.26</v>
      </c>
    </row>
    <row r="26" spans="1:9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f>SUMIF(Planilha2!E:E,A26,Planilha2!D:D)</f>
        <v>0</v>
      </c>
      <c r="H26" s="10">
        <f t="shared" si="0"/>
        <v>0</v>
      </c>
      <c r="I26" s="10">
        <f t="shared" si="1"/>
        <v>-4902</v>
      </c>
    </row>
    <row r="27" spans="1:9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f>SUMIF(Planilha2!E:E,A27,Planilha2!D:D)</f>
        <v>0</v>
      </c>
      <c r="H27" s="10">
        <f t="shared" si="0"/>
        <v>0</v>
      </c>
      <c r="I27" s="10">
        <f t="shared" si="1"/>
        <v>-4767</v>
      </c>
    </row>
    <row r="28" spans="1:9" x14ac:dyDescent="0.25">
      <c r="A28" s="1" t="s">
        <v>50</v>
      </c>
      <c r="B28" s="1" t="s">
        <v>38</v>
      </c>
      <c r="C28" s="1" t="s">
        <v>9</v>
      </c>
      <c r="D28" s="1">
        <v>185</v>
      </c>
      <c r="E28" s="14">
        <v>4652</v>
      </c>
      <c r="G28">
        <f>SUMIF(Planilha2!E:E,A28,Planilha2!D:D)</f>
        <v>4.593</v>
      </c>
      <c r="H28" s="10">
        <f t="shared" si="0"/>
        <v>4593</v>
      </c>
      <c r="I28" s="10">
        <f t="shared" si="1"/>
        <v>-59</v>
      </c>
    </row>
    <row r="29" spans="1:9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f>SUMIF(Planilha2!E:E,A29,Planilha2!D:D)</f>
        <v>0</v>
      </c>
      <c r="H29" s="10">
        <f t="shared" si="0"/>
        <v>0</v>
      </c>
      <c r="I29" s="10">
        <f t="shared" si="1"/>
        <v>-5054</v>
      </c>
    </row>
    <row r="30" spans="1:9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f>SUMIF(Planilha2!E:E,A30,Planilha2!D:D)</f>
        <v>0</v>
      </c>
      <c r="H30" s="10">
        <f t="shared" si="0"/>
        <v>0</v>
      </c>
      <c r="I30" s="10">
        <f t="shared" si="1"/>
        <v>-4549</v>
      </c>
    </row>
    <row r="31" spans="1:9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f>SUMIF(Planilha2!E:E,A31,Planilha2!D:D)</f>
        <v>0</v>
      </c>
      <c r="H31" s="10">
        <f t="shared" si="0"/>
        <v>0</v>
      </c>
      <c r="I31" s="10">
        <f t="shared" si="1"/>
        <v>-4549</v>
      </c>
    </row>
    <row r="32" spans="1:9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4137</v>
      </c>
      <c r="G32">
        <f>SUMIF(Planilha2!E:E,A32,Planilha2!D:D)</f>
        <v>0</v>
      </c>
      <c r="H32" s="10">
        <f t="shared" si="0"/>
        <v>0</v>
      </c>
      <c r="I32" s="10">
        <f t="shared" si="1"/>
        <v>-4137</v>
      </c>
    </row>
    <row r="33" spans="1:9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f>SUMIF(Planilha2!E:E,A33,Planilha2!D:D)</f>
        <v>0</v>
      </c>
      <c r="H33" s="10">
        <f t="shared" si="0"/>
        <v>0</v>
      </c>
      <c r="I33" s="10">
        <f t="shared" si="1"/>
        <v>-7004</v>
      </c>
    </row>
    <row r="34" spans="1:9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v>8185</v>
      </c>
      <c r="G34">
        <f>SUMIF(Planilha2!E:E,A34,Planilha2!D:D)</f>
        <v>0</v>
      </c>
      <c r="H34" s="10">
        <f t="shared" si="0"/>
        <v>0</v>
      </c>
      <c r="I34" s="10">
        <f t="shared" si="1"/>
        <v>-8185</v>
      </c>
    </row>
    <row r="35" spans="1:9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8185</v>
      </c>
      <c r="G35">
        <f>SUMIF(Planilha2!E:E,A35,Planilha2!D:D)</f>
        <v>0</v>
      </c>
      <c r="H35" s="10">
        <f t="shared" si="0"/>
        <v>0</v>
      </c>
      <c r="I35" s="10">
        <f t="shared" si="1"/>
        <v>-8185</v>
      </c>
    </row>
    <row r="36" spans="1:9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3361</v>
      </c>
      <c r="G36">
        <f>SUMIF(Planilha2!E:E,A36,Planilha2!D:D)</f>
        <v>3.2170000000000001</v>
      </c>
      <c r="H36" s="10">
        <f t="shared" si="0"/>
        <v>3217</v>
      </c>
      <c r="I36" s="10">
        <f t="shared" si="1"/>
        <v>-144</v>
      </c>
    </row>
    <row r="37" spans="1:9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f>SUMIF(Planilha2!E:E,A37,Planilha2!D:D)</f>
        <v>0</v>
      </c>
      <c r="H37" s="10">
        <f t="shared" si="0"/>
        <v>0</v>
      </c>
      <c r="I37" s="10">
        <f t="shared" si="1"/>
        <v>-3356.52</v>
      </c>
    </row>
    <row r="38" spans="1:9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3244</v>
      </c>
      <c r="G38">
        <f>SUMIF(Planilha2!E:E,A38,Planilha2!D:D)</f>
        <v>3.141</v>
      </c>
      <c r="H38" s="10">
        <f t="shared" si="0"/>
        <v>3141</v>
      </c>
      <c r="I38" s="10">
        <f t="shared" si="1"/>
        <v>-103</v>
      </c>
    </row>
    <row r="39" spans="1:9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f>SUMIF(Planilha2!E:E,A39,Planilha2!D:D)</f>
        <v>0</v>
      </c>
      <c r="H39" s="10">
        <f t="shared" si="0"/>
        <v>0</v>
      </c>
      <c r="I39" s="10">
        <f t="shared" si="1"/>
        <v>-3356.52</v>
      </c>
    </row>
    <row r="40" spans="1:9" x14ac:dyDescent="0.25">
      <c r="A40" s="1" t="s">
        <v>68</v>
      </c>
      <c r="B40" s="1"/>
      <c r="C40" s="1"/>
      <c r="D40" s="1">
        <v>110</v>
      </c>
      <c r="E40" s="2">
        <v>4161.9400000000005</v>
      </c>
      <c r="G40">
        <f>SUMIF(Planilha2!E:E,A40,Planilha2!D:D)</f>
        <v>0</v>
      </c>
      <c r="H40" s="10">
        <f t="shared" si="0"/>
        <v>0</v>
      </c>
      <c r="I40" s="10">
        <f t="shared" si="1"/>
        <v>-4161.9400000000005</v>
      </c>
    </row>
    <row r="41" spans="1:9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f>SUMIF(Planilha2!E:E,A41,Planilha2!D:D)</f>
        <v>3.2930000000000001</v>
      </c>
      <c r="H41" s="10">
        <f t="shared" si="0"/>
        <v>3293</v>
      </c>
      <c r="I41" s="10">
        <f t="shared" si="1"/>
        <v>192</v>
      </c>
    </row>
    <row r="42" spans="1:9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3341</v>
      </c>
      <c r="G42">
        <f>SUMIF(Planilha2!E:E,A42,Planilha2!D:D)</f>
        <v>3.177</v>
      </c>
      <c r="H42" s="10">
        <f t="shared" si="0"/>
        <v>3177</v>
      </c>
      <c r="I42" s="10">
        <f t="shared" si="1"/>
        <v>-164</v>
      </c>
    </row>
    <row r="43" spans="1:9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f>SUMIF(Planilha2!E:E,A43,Planilha2!D:D)</f>
        <v>0</v>
      </c>
      <c r="H43" s="10">
        <f t="shared" si="0"/>
        <v>0</v>
      </c>
      <c r="I43" s="10">
        <f t="shared" si="1"/>
        <v>-3352</v>
      </c>
    </row>
    <row r="44" spans="1:9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f>SUMIF(Planilha2!E:E,A44,Planilha2!D:D)</f>
        <v>0</v>
      </c>
      <c r="H44" s="10">
        <f t="shared" si="0"/>
        <v>0</v>
      </c>
      <c r="I44" s="10">
        <f t="shared" si="1"/>
        <v>-3356.52</v>
      </c>
    </row>
    <row r="45" spans="1:9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f>SUMIF(Planilha2!E:E,A45,Planilha2!D:D)</f>
        <v>0</v>
      </c>
      <c r="H45" s="10">
        <f t="shared" si="0"/>
        <v>0</v>
      </c>
      <c r="I45" s="10">
        <f t="shared" si="1"/>
        <v>-3356.52</v>
      </c>
    </row>
    <row r="46" spans="1:9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f>SUMIF(Planilha2!E:E,A46,Planilha2!D:D)</f>
        <v>0</v>
      </c>
      <c r="H46" s="10">
        <f t="shared" si="0"/>
        <v>0</v>
      </c>
      <c r="I46" s="10">
        <f t="shared" si="1"/>
        <v>-3356.52</v>
      </c>
    </row>
    <row r="47" spans="1:9" x14ac:dyDescent="0.25">
      <c r="A47" s="1" t="s">
        <v>76</v>
      </c>
      <c r="B47" s="1"/>
      <c r="C47" s="1" t="s">
        <v>9</v>
      </c>
      <c r="D47" s="1">
        <v>100</v>
      </c>
      <c r="E47" s="2">
        <v>4161.9400000000005</v>
      </c>
      <c r="G47">
        <f>SUMIF(Planilha2!E:E,A47,Planilha2!D:D)</f>
        <v>0</v>
      </c>
      <c r="H47" s="10">
        <f t="shared" si="0"/>
        <v>0</v>
      </c>
      <c r="I47" s="10">
        <f t="shared" si="1"/>
        <v>-4161.9400000000005</v>
      </c>
    </row>
    <row r="48" spans="1:9" x14ac:dyDescent="0.25">
      <c r="A48" s="1" t="s">
        <v>77</v>
      </c>
      <c r="B48" s="1"/>
      <c r="C48" s="1" t="s">
        <v>9</v>
      </c>
      <c r="D48" s="1">
        <v>80</v>
      </c>
      <c r="E48" s="2">
        <v>4161.9400000000005</v>
      </c>
      <c r="G48">
        <f>SUMIF(Planilha2!E:E,A48,Planilha2!D:D)</f>
        <v>0</v>
      </c>
      <c r="H48" s="10">
        <f t="shared" si="0"/>
        <v>0</v>
      </c>
      <c r="I48" s="10">
        <f t="shared" si="1"/>
        <v>-4161.9400000000005</v>
      </c>
    </row>
    <row r="49" spans="1:9" x14ac:dyDescent="0.25">
      <c r="A49" s="1" t="s">
        <v>78</v>
      </c>
      <c r="B49" s="1"/>
      <c r="C49" s="1" t="s">
        <v>9</v>
      </c>
      <c r="D49" s="1">
        <v>110</v>
      </c>
      <c r="E49" s="2">
        <v>4161.9400000000005</v>
      </c>
      <c r="G49">
        <f>SUMIF(Planilha2!E:E,A49,Planilha2!D:D)</f>
        <v>0</v>
      </c>
      <c r="H49" s="10">
        <f t="shared" si="0"/>
        <v>0</v>
      </c>
      <c r="I49" s="10">
        <f t="shared" si="1"/>
        <v>-4161.9400000000005</v>
      </c>
    </row>
    <row r="50" spans="1:9" x14ac:dyDescent="0.25">
      <c r="A50" s="1" t="s">
        <v>79</v>
      </c>
      <c r="B50" s="1"/>
      <c r="C50" s="1" t="s">
        <v>9</v>
      </c>
      <c r="D50" s="1">
        <v>120</v>
      </c>
      <c r="E50" s="2">
        <v>4161.9400000000005</v>
      </c>
      <c r="G50">
        <f>SUMIF(Planilha2!E:E,A50,Planilha2!D:D)</f>
        <v>0</v>
      </c>
      <c r="H50" s="10">
        <f t="shared" si="0"/>
        <v>0</v>
      </c>
      <c r="I50" s="10">
        <f t="shared" si="1"/>
        <v>-4161.9400000000005</v>
      </c>
    </row>
    <row r="51" spans="1:9" x14ac:dyDescent="0.25">
      <c r="A51" s="1" t="s">
        <v>80</v>
      </c>
      <c r="B51" s="1"/>
      <c r="C51" s="1" t="s">
        <v>9</v>
      </c>
      <c r="D51" s="1">
        <v>140</v>
      </c>
      <c r="E51" s="2">
        <v>4161.9400000000005</v>
      </c>
      <c r="G51">
        <f>SUMIF(Planilha2!E:E,A51,Planilha2!D:D)</f>
        <v>0</v>
      </c>
      <c r="H51" s="10">
        <f t="shared" si="0"/>
        <v>0</v>
      </c>
      <c r="I51" s="10">
        <f t="shared" si="1"/>
        <v>-4161.9400000000005</v>
      </c>
    </row>
    <row r="52" spans="1:9" x14ac:dyDescent="0.25">
      <c r="A52" s="1" t="s">
        <v>81</v>
      </c>
      <c r="B52" s="1"/>
      <c r="C52" s="1"/>
      <c r="D52" s="1">
        <v>160</v>
      </c>
      <c r="E52" s="2">
        <v>4161.9400000000005</v>
      </c>
      <c r="G52">
        <f>SUMIF(Planilha2!E:E,A52,Planilha2!D:D)</f>
        <v>0</v>
      </c>
      <c r="H52" s="10">
        <f t="shared" si="0"/>
        <v>0</v>
      </c>
      <c r="I52" s="10">
        <f t="shared" si="1"/>
        <v>-4161.9400000000005</v>
      </c>
    </row>
    <row r="53" spans="1:9" x14ac:dyDescent="0.25">
      <c r="A53" s="1" t="s">
        <v>82</v>
      </c>
      <c r="B53" s="1"/>
      <c r="C53" s="1" t="s">
        <v>9</v>
      </c>
      <c r="D53" s="1">
        <v>185</v>
      </c>
      <c r="E53" s="2">
        <v>4162</v>
      </c>
      <c r="G53">
        <f>SUMIF(Planilha2!E:E,A53,Planilha2!D:D)</f>
        <v>0</v>
      </c>
      <c r="H53" s="10">
        <f t="shared" si="0"/>
        <v>0</v>
      </c>
      <c r="I53" s="10">
        <f t="shared" si="1"/>
        <v>-4162</v>
      </c>
    </row>
    <row r="54" spans="1:9" x14ac:dyDescent="0.25">
      <c r="A54" s="1" t="s">
        <v>83</v>
      </c>
      <c r="B54" s="1"/>
      <c r="C54" s="1" t="s">
        <v>9</v>
      </c>
      <c r="D54" s="1">
        <v>140</v>
      </c>
      <c r="E54" s="2">
        <v>4162</v>
      </c>
      <c r="G54">
        <f>SUMIF(Planilha2!E:E,A54,Planilha2!D:D)</f>
        <v>0</v>
      </c>
      <c r="H54" s="10">
        <f t="shared" si="0"/>
        <v>0</v>
      </c>
      <c r="I54" s="10">
        <f t="shared" si="1"/>
        <v>-4162</v>
      </c>
    </row>
    <row r="55" spans="1:9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f>SUMIF(Planilha2!E:E,A55,Planilha2!D:D)</f>
        <v>0</v>
      </c>
      <c r="H55" s="10">
        <f t="shared" si="0"/>
        <v>0</v>
      </c>
      <c r="I55" s="10">
        <f t="shared" si="1"/>
        <v>-4161.9400000000005</v>
      </c>
    </row>
    <row r="56" spans="1:9" x14ac:dyDescent="0.25">
      <c r="A56" s="1" t="s">
        <v>86</v>
      </c>
      <c r="B56" s="1" t="s">
        <v>87</v>
      </c>
      <c r="C56" s="1"/>
      <c r="D56" s="1">
        <v>180</v>
      </c>
      <c r="E56" s="2">
        <v>4161.9400000000005</v>
      </c>
      <c r="G56">
        <f>SUMIF(Planilha2!E:E,A56,Planilha2!D:D)</f>
        <v>0</v>
      </c>
      <c r="H56" s="10">
        <f t="shared" si="0"/>
        <v>0</v>
      </c>
      <c r="I56" s="10">
        <f t="shared" si="1"/>
        <v>-4161.9400000000005</v>
      </c>
    </row>
    <row r="57" spans="1:9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v>4161.9400000000005</v>
      </c>
      <c r="G57">
        <f>SUMIF(Planilha2!E:E,A57,Planilha2!D:D)</f>
        <v>0</v>
      </c>
      <c r="H57" s="10">
        <f t="shared" si="0"/>
        <v>0</v>
      </c>
      <c r="I57" s="10">
        <f t="shared" si="1"/>
        <v>-4161.9400000000005</v>
      </c>
    </row>
    <row r="58" spans="1:9" x14ac:dyDescent="0.25">
      <c r="A58" s="1" t="s">
        <v>95</v>
      </c>
      <c r="B58" s="1"/>
      <c r="C58" s="1"/>
      <c r="D58" s="1">
        <v>125</v>
      </c>
      <c r="E58" s="7">
        <v>9960</v>
      </c>
      <c r="G58">
        <f>SUMIF(Planilha2!E:E,A58,Planilha2!D:D)</f>
        <v>0</v>
      </c>
      <c r="H58" s="10">
        <f t="shared" si="0"/>
        <v>0</v>
      </c>
      <c r="I58" s="10">
        <f t="shared" si="1"/>
        <v>-9960</v>
      </c>
    </row>
    <row r="59" spans="1:9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f>SUMIF(Planilha2!E:E,A59,Planilha2!D:D)</f>
        <v>0</v>
      </c>
      <c r="H59" s="10">
        <f t="shared" si="0"/>
        <v>0</v>
      </c>
      <c r="I59" s="10">
        <f t="shared" si="1"/>
        <v>-4434</v>
      </c>
    </row>
    <row r="60" spans="1:9" x14ac:dyDescent="0.25">
      <c r="A60" s="1" t="s">
        <v>98</v>
      </c>
      <c r="B60" s="1"/>
      <c r="C60" s="1"/>
      <c r="D60" s="1">
        <v>126</v>
      </c>
      <c r="E60" s="2">
        <v>4085</v>
      </c>
      <c r="G60">
        <f>SUMIF(Planilha2!E:E,A60,Planilha2!D:D)</f>
        <v>0</v>
      </c>
      <c r="H60" s="10">
        <f t="shared" si="0"/>
        <v>0</v>
      </c>
      <c r="I60" s="10">
        <f t="shared" si="1"/>
        <v>-4085</v>
      </c>
    </row>
    <row r="61" spans="1:9" x14ac:dyDescent="0.25">
      <c r="A61" s="1" t="s">
        <v>99</v>
      </c>
      <c r="B61" s="1"/>
      <c r="C61" s="1"/>
      <c r="D61" s="1">
        <v>90</v>
      </c>
      <c r="E61" s="2">
        <v>4866.7</v>
      </c>
      <c r="G61">
        <f>SUMIF(Planilha2!E:E,A61,Planilha2!D:D)</f>
        <v>0</v>
      </c>
      <c r="H61" s="10">
        <f t="shared" si="0"/>
        <v>0</v>
      </c>
      <c r="I61" s="10">
        <f t="shared" si="1"/>
        <v>-4866.7</v>
      </c>
    </row>
    <row r="62" spans="1:9" x14ac:dyDescent="0.25">
      <c r="A62" s="1" t="s">
        <v>100</v>
      </c>
      <c r="B62" s="1"/>
      <c r="C62" s="1"/>
      <c r="D62" s="1">
        <v>220</v>
      </c>
      <c r="E62" s="2"/>
      <c r="G62">
        <f>SUMIF(Planilha2!E:E,A62,Planilha2!D:D)</f>
        <v>0</v>
      </c>
      <c r="H62" s="10">
        <f t="shared" si="0"/>
        <v>0</v>
      </c>
      <c r="I62" s="10">
        <f t="shared" si="1"/>
        <v>0</v>
      </c>
    </row>
    <row r="63" spans="1:9" x14ac:dyDescent="0.25">
      <c r="A63" s="1" t="s">
        <v>101</v>
      </c>
      <c r="B63" s="1"/>
      <c r="C63" s="1"/>
      <c r="D63" s="1">
        <v>300</v>
      </c>
      <c r="E63" s="2">
        <v>4137</v>
      </c>
      <c r="G63">
        <f>SUMIF(Planilha2!E:E,A63,Planilha2!D:D)</f>
        <v>0</v>
      </c>
      <c r="H63" s="10">
        <f t="shared" si="0"/>
        <v>0</v>
      </c>
      <c r="I63" s="10">
        <f t="shared" si="1"/>
        <v>-4137</v>
      </c>
    </row>
    <row r="64" spans="1:9" x14ac:dyDescent="0.25">
      <c r="A64" s="1" t="s">
        <v>102</v>
      </c>
      <c r="B64" s="1"/>
      <c r="C64" s="1"/>
      <c r="D64" s="1">
        <v>150</v>
      </c>
      <c r="E64" s="7">
        <v>5289.26</v>
      </c>
      <c r="G64">
        <f>SUMIF(Planilha2!E:E,A64,Planilha2!D:D)</f>
        <v>0</v>
      </c>
      <c r="H64" s="10">
        <f t="shared" si="0"/>
        <v>0</v>
      </c>
      <c r="I64" s="10">
        <f t="shared" si="1"/>
        <v>-5289.26</v>
      </c>
    </row>
    <row r="65" spans="1:9" x14ac:dyDescent="0.25">
      <c r="A65" s="1" t="s">
        <v>103</v>
      </c>
      <c r="B65" s="1"/>
      <c r="C65" s="1"/>
      <c r="D65" s="1">
        <v>160</v>
      </c>
      <c r="E65" s="2">
        <v>4866.7</v>
      </c>
      <c r="G65">
        <f>SUMIF(Planilha2!E:E,A65,Planilha2!D:D)</f>
        <v>0</v>
      </c>
      <c r="H65" s="10">
        <f t="shared" si="0"/>
        <v>0</v>
      </c>
      <c r="I65" s="10">
        <f t="shared" si="1"/>
        <v>-4866.7</v>
      </c>
    </row>
    <row r="66" spans="1:9" x14ac:dyDescent="0.25">
      <c r="A66" s="1" t="s">
        <v>104</v>
      </c>
      <c r="B66" s="1"/>
      <c r="C66" s="1"/>
      <c r="D66" s="1">
        <v>120</v>
      </c>
      <c r="E66" s="2">
        <v>4866.7</v>
      </c>
      <c r="G66">
        <f>SUMIF(Planilha2!E:E,A66,Planilha2!D:D)</f>
        <v>0</v>
      </c>
      <c r="H66" s="10">
        <f t="shared" si="0"/>
        <v>0</v>
      </c>
      <c r="I66" s="10">
        <f t="shared" si="1"/>
        <v>-4866.7</v>
      </c>
    </row>
    <row r="67" spans="1:9" x14ac:dyDescent="0.25">
      <c r="A67" s="1" t="s">
        <v>105</v>
      </c>
      <c r="B67" s="1"/>
      <c r="C67" s="1"/>
      <c r="D67" s="1">
        <v>190</v>
      </c>
      <c r="E67" s="2">
        <v>7220.34</v>
      </c>
      <c r="G67">
        <f>SUMIF(Planilha2!E:E,A67,Planilha2!D:D)</f>
        <v>0</v>
      </c>
      <c r="H67" s="10">
        <f t="shared" si="0"/>
        <v>0</v>
      </c>
      <c r="I67" s="10">
        <f t="shared" si="1"/>
        <v>-7220.34</v>
      </c>
    </row>
    <row r="68" spans="1:9" x14ac:dyDescent="0.25">
      <c r="A68" s="1" t="s">
        <v>106</v>
      </c>
      <c r="B68" s="1"/>
      <c r="C68" s="1"/>
      <c r="D68" s="1">
        <v>200</v>
      </c>
      <c r="E68" s="2">
        <v>7220.34</v>
      </c>
      <c r="G68">
        <f>SUMIF(Planilha2!E:E,A68,Planilha2!D:D)</f>
        <v>0</v>
      </c>
      <c r="H68" s="10">
        <f t="shared" ref="H68:H87" si="2">G68*1000</f>
        <v>0</v>
      </c>
      <c r="I68" s="10">
        <f t="shared" ref="I68:I87" si="3">H68-E68</f>
        <v>-7220.34</v>
      </c>
    </row>
    <row r="69" spans="1:9" x14ac:dyDescent="0.25">
      <c r="A69" s="1" t="s">
        <v>107</v>
      </c>
      <c r="B69" s="1"/>
      <c r="C69" s="1"/>
      <c r="D69" s="1">
        <v>205</v>
      </c>
      <c r="E69" s="2">
        <v>6847</v>
      </c>
      <c r="G69">
        <f>SUMIF(Planilha2!E:E,A69,Planilha2!D:D)</f>
        <v>0</v>
      </c>
      <c r="H69" s="10">
        <f t="shared" si="2"/>
        <v>0</v>
      </c>
      <c r="I69" s="10">
        <f t="shared" si="3"/>
        <v>-6847</v>
      </c>
    </row>
    <row r="70" spans="1:9" x14ac:dyDescent="0.25">
      <c r="A70" s="1" t="s">
        <v>108</v>
      </c>
      <c r="B70" s="1"/>
      <c r="C70" s="1"/>
      <c r="D70" s="1">
        <v>110</v>
      </c>
      <c r="E70" s="2">
        <v>4162</v>
      </c>
      <c r="G70">
        <f>SUMIF(Planilha2!E:E,A70,Planilha2!D:D)</f>
        <v>0</v>
      </c>
      <c r="H70" s="10">
        <f t="shared" si="2"/>
        <v>0</v>
      </c>
      <c r="I70" s="10">
        <f t="shared" si="3"/>
        <v>-4162</v>
      </c>
    </row>
    <row r="71" spans="1:9" x14ac:dyDescent="0.25">
      <c r="A71" s="1" t="s">
        <v>109</v>
      </c>
      <c r="B71" s="1"/>
      <c r="C71" s="1"/>
      <c r="D71" s="1">
        <v>227</v>
      </c>
      <c r="E71" s="2">
        <v>7220.34</v>
      </c>
      <c r="G71">
        <f>SUMIF(Planilha2!E:E,A71,Planilha2!D:D)</f>
        <v>0</v>
      </c>
      <c r="H71" s="10">
        <f t="shared" si="2"/>
        <v>0</v>
      </c>
      <c r="I71" s="10">
        <f t="shared" si="3"/>
        <v>-7220.34</v>
      </c>
    </row>
    <row r="72" spans="1:9" x14ac:dyDescent="0.25">
      <c r="A72" s="1" t="s">
        <v>110</v>
      </c>
      <c r="B72" s="1"/>
      <c r="C72" s="1"/>
      <c r="D72" s="1">
        <v>135</v>
      </c>
      <c r="E72" s="2">
        <v>3103.58</v>
      </c>
      <c r="G72">
        <f>SUMIF(Planilha2!E:E,A72,Planilha2!D:D)</f>
        <v>0</v>
      </c>
      <c r="H72" s="10">
        <f t="shared" si="2"/>
        <v>0</v>
      </c>
      <c r="I72" s="10">
        <f t="shared" si="3"/>
        <v>-3103.58</v>
      </c>
    </row>
    <row r="73" spans="1:9" x14ac:dyDescent="0.25">
      <c r="A73" s="1" t="s">
        <v>111</v>
      </c>
      <c r="B73" s="1"/>
      <c r="C73" s="1"/>
      <c r="D73" s="1">
        <v>75</v>
      </c>
      <c r="E73" s="2">
        <v>5075</v>
      </c>
      <c r="G73">
        <f>SUMIF(Planilha2!E:E,A73,Planilha2!D:D)</f>
        <v>0</v>
      </c>
      <c r="H73" s="10">
        <f t="shared" si="2"/>
        <v>0</v>
      </c>
      <c r="I73" s="10">
        <f t="shared" si="3"/>
        <v>-5075</v>
      </c>
    </row>
    <row r="74" spans="1:9" x14ac:dyDescent="0.25">
      <c r="A74" s="1" t="s">
        <v>112</v>
      </c>
      <c r="B74" s="1"/>
      <c r="C74" s="1"/>
      <c r="D74" s="1">
        <v>90</v>
      </c>
      <c r="E74" s="2">
        <v>3103.58</v>
      </c>
      <c r="G74">
        <f>SUMIF(Planilha2!E:E,A74,Planilha2!D:D)</f>
        <v>0</v>
      </c>
      <c r="H74" s="10">
        <f t="shared" si="2"/>
        <v>0</v>
      </c>
      <c r="I74" s="10">
        <f t="shared" si="3"/>
        <v>-3103.58</v>
      </c>
    </row>
    <row r="75" spans="1:9" x14ac:dyDescent="0.25">
      <c r="A75" s="1" t="s">
        <v>113</v>
      </c>
      <c r="B75" s="1"/>
      <c r="C75" s="1"/>
      <c r="D75" s="1">
        <v>160</v>
      </c>
      <c r="E75" s="2">
        <v>3103.58</v>
      </c>
      <c r="G75">
        <f>SUMIF(Planilha2!E:E,A75,Planilha2!D:D)</f>
        <v>0</v>
      </c>
      <c r="H75" s="10">
        <f t="shared" si="2"/>
        <v>0</v>
      </c>
      <c r="I75" s="10">
        <f t="shared" si="3"/>
        <v>-3103.58</v>
      </c>
    </row>
    <row r="76" spans="1:9" x14ac:dyDescent="0.25">
      <c r="A76" s="1" t="s">
        <v>114</v>
      </c>
      <c r="B76" s="1"/>
      <c r="C76" s="1"/>
      <c r="D76" s="1">
        <v>120</v>
      </c>
      <c r="E76" s="2">
        <v>3352</v>
      </c>
      <c r="G76">
        <f>SUMIF(Planilha2!E:E,A76,Planilha2!D:D)</f>
        <v>0</v>
      </c>
      <c r="H76" s="10">
        <f t="shared" si="2"/>
        <v>0</v>
      </c>
      <c r="I76" s="10">
        <f t="shared" si="3"/>
        <v>-3352</v>
      </c>
    </row>
    <row r="77" spans="1:9" x14ac:dyDescent="0.25">
      <c r="A77" s="1" t="s">
        <v>115</v>
      </c>
      <c r="B77" s="1"/>
      <c r="C77" s="1"/>
      <c r="D77" s="1">
        <v>150</v>
      </c>
      <c r="E77" s="7">
        <v>5289.26</v>
      </c>
      <c r="G77">
        <f>SUMIF(Planilha2!E:E,A77,Planilha2!D:D)</f>
        <v>0</v>
      </c>
      <c r="H77" s="10">
        <f t="shared" si="2"/>
        <v>0</v>
      </c>
      <c r="I77" s="10">
        <f t="shared" si="3"/>
        <v>-5289.26</v>
      </c>
    </row>
    <row r="78" spans="1:9" x14ac:dyDescent="0.25">
      <c r="A78" s="1" t="s">
        <v>116</v>
      </c>
      <c r="B78" s="1"/>
      <c r="C78" s="1"/>
      <c r="D78" s="1">
        <v>100</v>
      </c>
      <c r="E78" s="2">
        <v>3103.58</v>
      </c>
      <c r="G78">
        <f>SUMIF(Planilha2!E:E,A78,Planilha2!D:D)</f>
        <v>0</v>
      </c>
      <c r="H78" s="10">
        <f t="shared" si="2"/>
        <v>0</v>
      </c>
      <c r="I78" s="10">
        <f t="shared" si="3"/>
        <v>-3103.58</v>
      </c>
    </row>
    <row r="79" spans="1:9" x14ac:dyDescent="0.25">
      <c r="A79" s="1" t="s">
        <v>117</v>
      </c>
      <c r="B79" s="1"/>
      <c r="C79" s="1"/>
      <c r="D79" s="1">
        <v>120</v>
      </c>
      <c r="E79" s="2">
        <v>4162</v>
      </c>
      <c r="G79">
        <f>SUMIF(Planilha2!E:E,A79,Planilha2!D:D)</f>
        <v>0</v>
      </c>
      <c r="H79" s="10">
        <f t="shared" si="2"/>
        <v>0</v>
      </c>
      <c r="I79" s="10">
        <f t="shared" si="3"/>
        <v>-4162</v>
      </c>
    </row>
    <row r="80" spans="1:9" x14ac:dyDescent="0.25">
      <c r="A80" s="1" t="s">
        <v>118</v>
      </c>
      <c r="B80" s="1"/>
      <c r="C80" s="1"/>
      <c r="D80" s="1">
        <v>90</v>
      </c>
      <c r="E80" s="2">
        <v>4162</v>
      </c>
      <c r="G80">
        <f>SUMIF(Planilha2!E:E,A80,Planilha2!D:D)</f>
        <v>0</v>
      </c>
      <c r="H80" s="10">
        <f t="shared" si="2"/>
        <v>0</v>
      </c>
      <c r="I80" s="10">
        <f t="shared" si="3"/>
        <v>-4162</v>
      </c>
    </row>
    <row r="81" spans="1:9" x14ac:dyDescent="0.25">
      <c r="A81" s="1" t="s">
        <v>119</v>
      </c>
      <c r="B81" s="1"/>
      <c r="C81" s="1"/>
      <c r="D81" s="1">
        <v>105</v>
      </c>
      <c r="E81" s="2">
        <v>4443.6099999999997</v>
      </c>
      <c r="G81">
        <f>SUMIF(Planilha2!E:E,A81,Planilha2!D:D)</f>
        <v>0</v>
      </c>
      <c r="H81" s="10">
        <f t="shared" si="2"/>
        <v>0</v>
      </c>
      <c r="I81" s="10">
        <f t="shared" si="3"/>
        <v>-4443.6099999999997</v>
      </c>
    </row>
    <row r="82" spans="1:9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f>SUMIF(Planilha2!E:E,A82,Planilha2!D:D)</f>
        <v>0</v>
      </c>
      <c r="H82" s="10">
        <f t="shared" si="2"/>
        <v>0</v>
      </c>
      <c r="I82" s="10">
        <f t="shared" si="3"/>
        <v>-3268</v>
      </c>
    </row>
    <row r="83" spans="1:9" x14ac:dyDescent="0.25">
      <c r="A83" s="1" t="s">
        <v>121</v>
      </c>
      <c r="B83" s="1"/>
      <c r="C83" s="1"/>
      <c r="D83" s="1">
        <v>186</v>
      </c>
      <c r="E83" s="2">
        <v>4443.6099999999997</v>
      </c>
      <c r="G83">
        <f>SUMIF(Planilha2!E:E,A83,Planilha2!D:D)</f>
        <v>0</v>
      </c>
      <c r="H83" s="10">
        <f t="shared" si="2"/>
        <v>0</v>
      </c>
      <c r="I83" s="10">
        <f t="shared" si="3"/>
        <v>-4443.6099999999997</v>
      </c>
    </row>
    <row r="84" spans="1:9" x14ac:dyDescent="0.25">
      <c r="A84" s="1" t="s">
        <v>152</v>
      </c>
      <c r="B84" s="1"/>
      <c r="C84" s="1"/>
      <c r="D84" s="1">
        <v>120</v>
      </c>
      <c r="E84" s="2">
        <v>4782</v>
      </c>
      <c r="G84">
        <f>SUMIF(Planilha2!E:E,A84,Planilha2!D:D)</f>
        <v>0</v>
      </c>
      <c r="H84" s="10">
        <f t="shared" si="2"/>
        <v>0</v>
      </c>
      <c r="I84" s="10">
        <f t="shared" si="3"/>
        <v>-4782</v>
      </c>
    </row>
    <row r="85" spans="1:9" x14ac:dyDescent="0.25">
      <c r="A85" s="1" t="s">
        <v>153</v>
      </c>
      <c r="B85" s="1"/>
      <c r="C85" s="1"/>
      <c r="D85" s="1">
        <v>90</v>
      </c>
      <c r="E85" s="2">
        <v>4782</v>
      </c>
      <c r="G85">
        <f>SUMIF(Planilha2!E:E,A85,Planilha2!D:D)</f>
        <v>0</v>
      </c>
      <c r="H85" s="10">
        <f t="shared" si="2"/>
        <v>0</v>
      </c>
      <c r="I85" s="10">
        <f t="shared" si="3"/>
        <v>-4782</v>
      </c>
    </row>
    <row r="86" spans="1:9" x14ac:dyDescent="0.25">
      <c r="A86" s="1" t="s">
        <v>154</v>
      </c>
      <c r="B86" s="1"/>
      <c r="C86" s="1"/>
      <c r="D86" s="1">
        <v>205</v>
      </c>
      <c r="E86" s="2">
        <v>7094</v>
      </c>
      <c r="G86">
        <f>SUMIF(Planilha2!E:E,A86,Planilha2!D:D)</f>
        <v>0</v>
      </c>
      <c r="H86" s="10">
        <f t="shared" si="2"/>
        <v>0</v>
      </c>
      <c r="I86" s="10">
        <f t="shared" si="3"/>
        <v>-7094</v>
      </c>
    </row>
    <row r="87" spans="1:9" x14ac:dyDescent="0.25">
      <c r="A87" s="1" t="s">
        <v>155</v>
      </c>
      <c r="B87" s="1"/>
      <c r="C87" s="1"/>
      <c r="D87" s="1">
        <v>135</v>
      </c>
      <c r="E87" s="2">
        <v>4082</v>
      </c>
      <c r="G87">
        <f>SUMIF(Planilha2!E:E,A87,Planilha2!D:D)</f>
        <v>0</v>
      </c>
      <c r="H87" s="10">
        <f t="shared" si="2"/>
        <v>0</v>
      </c>
      <c r="I87" s="10">
        <f t="shared" si="3"/>
        <v>-4082</v>
      </c>
    </row>
    <row r="88" spans="1:9" x14ac:dyDescent="0.25">
      <c r="A88" s="1" t="s">
        <v>158</v>
      </c>
      <c r="B88" s="1"/>
      <c r="C88" s="1"/>
      <c r="D88" s="1"/>
      <c r="E88" s="2"/>
    </row>
    <row r="89" spans="1:9" x14ac:dyDescent="0.25">
      <c r="A89" s="1" t="s">
        <v>159</v>
      </c>
      <c r="B89" s="1"/>
      <c r="C89" s="1"/>
      <c r="D89" s="1"/>
      <c r="E89" s="2"/>
    </row>
  </sheetData>
  <autoFilter ref="A1:I89" xr:uid="{338D838C-5815-40DE-B3CF-63F53FA2A530}"/>
  <conditionalFormatting sqref="A1:A83 A84:D86 A87:A1048576 B87:D89">
    <cfRule type="duplicateValues" dxfId="11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3470-A2C6-43A4-882F-BBFC68BFF527}">
  <dimension ref="A1:K89"/>
  <sheetViews>
    <sheetView workbookViewId="0">
      <pane ySplit="1" topLeftCell="A65" activePane="bottomLeft" state="frozen"/>
      <selection pane="bottomLeft" activeCell="I6" sqref="I6"/>
    </sheetView>
  </sheetViews>
  <sheetFormatPr defaultRowHeight="15" x14ac:dyDescent="0.25"/>
  <cols>
    <col min="1" max="1" width="13.5703125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  <col min="10" max="10" width="9.5703125" style="10" bestFit="1" customWidth="1"/>
    <col min="11" max="11" width="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1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1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0</v>
      </c>
      <c r="H3" s="10">
        <v>0</v>
      </c>
      <c r="I3" s="10">
        <f>H3-E3</f>
        <v>-7350</v>
      </c>
      <c r="J3" s="10">
        <v>7350</v>
      </c>
      <c r="K3" s="15">
        <f>J3-E3</f>
        <v>0</v>
      </c>
    </row>
    <row r="4" spans="1:11" x14ac:dyDescent="0.25">
      <c r="A4" s="1" t="s">
        <v>10</v>
      </c>
      <c r="B4" s="1" t="s">
        <v>11</v>
      </c>
      <c r="C4" s="1"/>
      <c r="D4" s="1">
        <v>75</v>
      </c>
      <c r="E4" s="2">
        <v>6023</v>
      </c>
      <c r="G4">
        <v>6.0229999999999997</v>
      </c>
      <c r="H4" s="10">
        <v>6023</v>
      </c>
      <c r="I4" s="10">
        <f t="shared" ref="I4:I67" si="0">H4-E4</f>
        <v>0</v>
      </c>
      <c r="J4" s="10">
        <v>6023</v>
      </c>
      <c r="K4" s="15">
        <f t="shared" ref="K4:K67" si="1">J4-E4</f>
        <v>0</v>
      </c>
    </row>
    <row r="5" spans="1:11" s="10" customFormat="1" x14ac:dyDescent="0.25">
      <c r="A5" s="1" t="s">
        <v>13</v>
      </c>
      <c r="B5" s="1"/>
      <c r="C5" s="1" t="s">
        <v>9</v>
      </c>
      <c r="D5" s="1">
        <v>100</v>
      </c>
      <c r="E5" s="2">
        <v>4522</v>
      </c>
      <c r="F5"/>
      <c r="G5">
        <v>0</v>
      </c>
      <c r="H5" s="10">
        <v>0</v>
      </c>
      <c r="I5" s="10">
        <f t="shared" si="0"/>
        <v>-4522</v>
      </c>
      <c r="J5" s="10">
        <v>4522</v>
      </c>
      <c r="K5" s="15">
        <f t="shared" si="1"/>
        <v>0</v>
      </c>
    </row>
    <row r="6" spans="1:11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v>0</v>
      </c>
      <c r="H6" s="10">
        <v>0</v>
      </c>
      <c r="I6" s="10">
        <f t="shared" si="0"/>
        <v>-2760</v>
      </c>
      <c r="J6" s="10">
        <v>2760</v>
      </c>
      <c r="K6" s="15">
        <f t="shared" si="1"/>
        <v>0</v>
      </c>
    </row>
    <row r="7" spans="1:11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4801</v>
      </c>
      <c r="F7"/>
      <c r="G7">
        <v>0</v>
      </c>
      <c r="H7" s="10">
        <v>0</v>
      </c>
      <c r="I7" s="10">
        <f t="shared" si="0"/>
        <v>-4801</v>
      </c>
      <c r="J7" s="10">
        <v>4801</v>
      </c>
      <c r="K7" s="15">
        <f t="shared" si="1"/>
        <v>0</v>
      </c>
    </row>
    <row r="8" spans="1:11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4682</v>
      </c>
      <c r="F8"/>
      <c r="G8">
        <v>0</v>
      </c>
      <c r="H8" s="10">
        <v>0</v>
      </c>
      <c r="I8" s="10">
        <f t="shared" si="0"/>
        <v>-4682</v>
      </c>
      <c r="J8" s="10">
        <v>4682</v>
      </c>
      <c r="K8" s="15">
        <f t="shared" si="1"/>
        <v>0</v>
      </c>
    </row>
    <row r="9" spans="1:11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v>0</v>
      </c>
      <c r="H9" s="10">
        <v>0</v>
      </c>
      <c r="I9" s="10">
        <f t="shared" si="0"/>
        <v>-5394</v>
      </c>
      <c r="J9" s="10">
        <v>5394</v>
      </c>
      <c r="K9" s="15">
        <f t="shared" si="1"/>
        <v>0</v>
      </c>
    </row>
    <row r="10" spans="1:11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5624</v>
      </c>
      <c r="F10"/>
      <c r="G10">
        <v>5.6239999999999997</v>
      </c>
      <c r="H10" s="10">
        <v>5624</v>
      </c>
      <c r="I10" s="10">
        <f t="shared" si="0"/>
        <v>0</v>
      </c>
      <c r="J10" s="10">
        <v>5975</v>
      </c>
      <c r="K10" s="15">
        <f t="shared" si="1"/>
        <v>351</v>
      </c>
    </row>
    <row r="11" spans="1:11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4806</v>
      </c>
      <c r="F11"/>
      <c r="G11">
        <v>0</v>
      </c>
      <c r="H11" s="10">
        <v>0</v>
      </c>
      <c r="I11" s="10">
        <f t="shared" si="0"/>
        <v>-4806</v>
      </c>
      <c r="J11" s="10">
        <v>4806</v>
      </c>
      <c r="K11" s="15">
        <f t="shared" si="1"/>
        <v>0</v>
      </c>
    </row>
    <row r="12" spans="1:11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v>0</v>
      </c>
      <c r="H12" s="10">
        <v>0</v>
      </c>
      <c r="I12" s="10">
        <f t="shared" si="0"/>
        <v>-7796</v>
      </c>
      <c r="J12" s="10">
        <v>7796</v>
      </c>
      <c r="K12" s="15">
        <f t="shared" si="1"/>
        <v>0</v>
      </c>
    </row>
    <row r="13" spans="1:11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v>0</v>
      </c>
      <c r="H13" s="10">
        <v>0</v>
      </c>
      <c r="I13" s="10">
        <f t="shared" si="0"/>
        <v>-7154</v>
      </c>
      <c r="J13" s="10">
        <v>7154</v>
      </c>
      <c r="K13" s="15">
        <f t="shared" si="1"/>
        <v>0</v>
      </c>
    </row>
    <row r="14" spans="1:11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6023</v>
      </c>
      <c r="F14"/>
      <c r="G14">
        <v>6.0229999999999997</v>
      </c>
      <c r="H14" s="10">
        <v>6023</v>
      </c>
      <c r="I14" s="10">
        <f t="shared" si="0"/>
        <v>0</v>
      </c>
      <c r="J14" s="10">
        <v>6023</v>
      </c>
      <c r="K14" s="15">
        <f t="shared" si="1"/>
        <v>0</v>
      </c>
    </row>
    <row r="15" spans="1:11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6770</v>
      </c>
      <c r="F15"/>
      <c r="G15">
        <v>6.77</v>
      </c>
      <c r="H15" s="10">
        <v>6770</v>
      </c>
      <c r="I15" s="10">
        <f>H15-E15</f>
        <v>0</v>
      </c>
      <c r="J15" s="10">
        <v>6847</v>
      </c>
      <c r="K15" s="15">
        <f t="shared" si="1"/>
        <v>77</v>
      </c>
    </row>
    <row r="16" spans="1:11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v>0</v>
      </c>
      <c r="H16" s="10">
        <v>0</v>
      </c>
      <c r="I16" s="10">
        <f t="shared" si="0"/>
        <v>-3971</v>
      </c>
      <c r="J16" s="10">
        <v>3971</v>
      </c>
      <c r="K16" s="15">
        <f t="shared" si="1"/>
        <v>0</v>
      </c>
    </row>
    <row r="17" spans="1:1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  <c r="G17">
        <v>0</v>
      </c>
      <c r="H17" s="10">
        <v>0</v>
      </c>
      <c r="I17" s="10">
        <f t="shared" si="0"/>
        <v>-5054</v>
      </c>
      <c r="J17" s="10">
        <v>5054</v>
      </c>
      <c r="K17" s="15">
        <f t="shared" si="1"/>
        <v>0</v>
      </c>
    </row>
    <row r="18" spans="1:1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v>0</v>
      </c>
      <c r="H18" s="10">
        <v>0</v>
      </c>
      <c r="I18" s="10">
        <f t="shared" si="0"/>
        <v>-5747</v>
      </c>
      <c r="J18" s="10">
        <v>5747</v>
      </c>
      <c r="K18" s="15">
        <f t="shared" si="1"/>
        <v>0</v>
      </c>
    </row>
    <row r="19" spans="1:1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v>0</v>
      </c>
      <c r="H19" s="10">
        <v>0</v>
      </c>
      <c r="I19" s="10">
        <f t="shared" si="0"/>
        <v>-4212</v>
      </c>
      <c r="J19" s="10">
        <v>4212</v>
      </c>
      <c r="K19" s="15">
        <f t="shared" si="1"/>
        <v>0</v>
      </c>
    </row>
    <row r="20" spans="1:1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v>0</v>
      </c>
      <c r="H20" s="10">
        <v>0</v>
      </c>
      <c r="I20" s="10">
        <f t="shared" si="0"/>
        <v>-4766</v>
      </c>
      <c r="J20" s="10">
        <v>4766</v>
      </c>
      <c r="K20" s="15">
        <f t="shared" si="1"/>
        <v>0</v>
      </c>
    </row>
    <row r="21" spans="1:1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v>0</v>
      </c>
      <c r="H21" s="10">
        <v>0</v>
      </c>
      <c r="I21" s="10">
        <f t="shared" si="0"/>
        <v>-3877</v>
      </c>
      <c r="J21" s="10">
        <v>3877</v>
      </c>
      <c r="K21" s="15">
        <f t="shared" si="1"/>
        <v>0</v>
      </c>
    </row>
    <row r="22" spans="1:11" x14ac:dyDescent="0.25">
      <c r="A22" s="1" t="s">
        <v>41</v>
      </c>
      <c r="B22" s="1" t="s">
        <v>38</v>
      </c>
      <c r="C22" s="1" t="s">
        <v>9</v>
      </c>
      <c r="D22" s="1">
        <v>125</v>
      </c>
      <c r="E22" s="14">
        <v>4260</v>
      </c>
      <c r="G22">
        <v>4.26</v>
      </c>
      <c r="H22" s="10">
        <v>4260</v>
      </c>
      <c r="I22" s="10">
        <f t="shared" si="0"/>
        <v>0</v>
      </c>
      <c r="J22" s="10">
        <v>4518</v>
      </c>
      <c r="K22" s="15">
        <f t="shared" si="1"/>
        <v>258</v>
      </c>
    </row>
    <row r="23" spans="1:1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v>0</v>
      </c>
      <c r="H23" s="10">
        <v>0</v>
      </c>
      <c r="I23" s="10">
        <f t="shared" si="0"/>
        <v>-5190</v>
      </c>
      <c r="J23" s="10">
        <v>5190</v>
      </c>
      <c r="K23" s="15">
        <f t="shared" si="1"/>
        <v>0</v>
      </c>
    </row>
    <row r="24" spans="1:1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v>0</v>
      </c>
      <c r="H24" s="10">
        <v>0</v>
      </c>
      <c r="I24" s="10">
        <f t="shared" si="0"/>
        <v>-4766</v>
      </c>
      <c r="J24" s="10">
        <v>4766</v>
      </c>
      <c r="K24" s="15">
        <f t="shared" si="1"/>
        <v>0</v>
      </c>
    </row>
    <row r="25" spans="1:1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v>0</v>
      </c>
      <c r="H25" s="10">
        <v>0</v>
      </c>
      <c r="I25" s="10">
        <f t="shared" si="0"/>
        <v>-5289.26</v>
      </c>
      <c r="J25" s="10">
        <v>5289.26</v>
      </c>
      <c r="K25" s="15">
        <f t="shared" si="1"/>
        <v>0</v>
      </c>
    </row>
    <row r="26" spans="1:1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v>0</v>
      </c>
      <c r="H26" s="10">
        <v>0</v>
      </c>
      <c r="I26" s="10">
        <f t="shared" si="0"/>
        <v>-4902</v>
      </c>
      <c r="J26" s="10">
        <v>4902</v>
      </c>
      <c r="K26" s="15">
        <f t="shared" si="1"/>
        <v>0</v>
      </c>
    </row>
    <row r="27" spans="1:1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v>0</v>
      </c>
      <c r="H27" s="10">
        <v>0</v>
      </c>
      <c r="I27" s="10">
        <f t="shared" si="0"/>
        <v>-4767</v>
      </c>
      <c r="J27" s="10">
        <v>4767</v>
      </c>
      <c r="K27" s="15">
        <f t="shared" si="1"/>
        <v>0</v>
      </c>
    </row>
    <row r="28" spans="1:11" x14ac:dyDescent="0.25">
      <c r="A28" s="1" t="s">
        <v>50</v>
      </c>
      <c r="B28" s="1" t="s">
        <v>38</v>
      </c>
      <c r="C28" s="1" t="s">
        <v>9</v>
      </c>
      <c r="D28" s="1">
        <v>185</v>
      </c>
      <c r="E28" s="14">
        <v>4796</v>
      </c>
      <c r="G28">
        <v>4.7960000000000003</v>
      </c>
      <c r="H28" s="10">
        <v>4796</v>
      </c>
      <c r="I28" s="10">
        <f t="shared" si="0"/>
        <v>0</v>
      </c>
      <c r="J28" s="10">
        <v>4652</v>
      </c>
      <c r="K28" s="15">
        <f t="shared" si="1"/>
        <v>-144</v>
      </c>
    </row>
    <row r="29" spans="1:1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v>0</v>
      </c>
      <c r="H29" s="10">
        <v>0</v>
      </c>
      <c r="I29" s="10">
        <f t="shared" si="0"/>
        <v>-5054</v>
      </c>
      <c r="J29" s="10">
        <v>5054</v>
      </c>
      <c r="K29" s="15">
        <f t="shared" si="1"/>
        <v>0</v>
      </c>
    </row>
    <row r="30" spans="1:1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v>0</v>
      </c>
      <c r="H30" s="10">
        <v>0</v>
      </c>
      <c r="I30" s="10">
        <f t="shared" si="0"/>
        <v>-4549</v>
      </c>
      <c r="J30" s="10">
        <v>4549</v>
      </c>
      <c r="K30" s="15">
        <f t="shared" si="1"/>
        <v>0</v>
      </c>
    </row>
    <row r="31" spans="1:1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v>0</v>
      </c>
      <c r="H31" s="10">
        <v>0</v>
      </c>
      <c r="I31" s="10">
        <f t="shared" si="0"/>
        <v>-4549</v>
      </c>
      <c r="J31" s="10">
        <v>4549</v>
      </c>
      <c r="K31" s="15">
        <f t="shared" si="1"/>
        <v>0</v>
      </c>
    </row>
    <row r="32" spans="1:1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4137</v>
      </c>
      <c r="G32">
        <v>0</v>
      </c>
      <c r="H32" s="10">
        <v>0</v>
      </c>
      <c r="I32" s="10">
        <f t="shared" si="0"/>
        <v>-4137</v>
      </c>
      <c r="J32" s="10">
        <v>4137</v>
      </c>
      <c r="K32" s="15">
        <f t="shared" si="1"/>
        <v>0</v>
      </c>
    </row>
    <row r="33" spans="1:1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v>0</v>
      </c>
      <c r="H33" s="10">
        <v>0</v>
      </c>
      <c r="I33" s="10">
        <f t="shared" si="0"/>
        <v>-7004</v>
      </c>
      <c r="J33" s="10">
        <v>7004</v>
      </c>
      <c r="K33" s="15">
        <f t="shared" si="1"/>
        <v>0</v>
      </c>
    </row>
    <row r="34" spans="1:1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v>8185</v>
      </c>
      <c r="G34">
        <v>0</v>
      </c>
      <c r="H34" s="10">
        <v>0</v>
      </c>
      <c r="I34" s="10">
        <f t="shared" si="0"/>
        <v>-8185</v>
      </c>
      <c r="J34" s="10">
        <v>8185</v>
      </c>
      <c r="K34" s="15">
        <f t="shared" si="1"/>
        <v>0</v>
      </c>
    </row>
    <row r="35" spans="1:11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5054</v>
      </c>
      <c r="G35">
        <v>5.0540000000000003</v>
      </c>
      <c r="H35" s="10">
        <v>5054</v>
      </c>
      <c r="I35" s="10">
        <f t="shared" si="0"/>
        <v>0</v>
      </c>
      <c r="J35" s="10">
        <v>8185</v>
      </c>
      <c r="K35" s="15">
        <f t="shared" si="1"/>
        <v>3131</v>
      </c>
    </row>
    <row r="36" spans="1:1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3363</v>
      </c>
      <c r="G36">
        <v>3.363</v>
      </c>
      <c r="H36" s="10">
        <v>3363</v>
      </c>
      <c r="I36" s="10">
        <f t="shared" si="0"/>
        <v>0</v>
      </c>
      <c r="J36" s="10">
        <v>3361</v>
      </c>
      <c r="K36" s="15">
        <f t="shared" si="1"/>
        <v>-2</v>
      </c>
    </row>
    <row r="37" spans="1:1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v>0</v>
      </c>
      <c r="H37" s="10">
        <v>0</v>
      </c>
      <c r="I37" s="10">
        <f t="shared" si="0"/>
        <v>-3356.52</v>
      </c>
      <c r="J37" s="10">
        <v>3356.52</v>
      </c>
      <c r="K37" s="15">
        <f t="shared" si="1"/>
        <v>0</v>
      </c>
    </row>
    <row r="38" spans="1:1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3316</v>
      </c>
      <c r="G38">
        <v>3.3159999999999998</v>
      </c>
      <c r="H38" s="10">
        <v>3316</v>
      </c>
      <c r="I38" s="10">
        <f t="shared" si="0"/>
        <v>0</v>
      </c>
      <c r="J38" s="10">
        <v>3244</v>
      </c>
      <c r="K38" s="15">
        <f t="shared" si="1"/>
        <v>-72</v>
      </c>
    </row>
    <row r="39" spans="1:1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v>0</v>
      </c>
      <c r="H39" s="10">
        <v>0</v>
      </c>
      <c r="I39" s="10">
        <f t="shared" si="0"/>
        <v>-3356.52</v>
      </c>
      <c r="J39" s="10">
        <v>3356.52</v>
      </c>
      <c r="K39" s="15">
        <f t="shared" si="1"/>
        <v>0</v>
      </c>
    </row>
    <row r="40" spans="1:11" x14ac:dyDescent="0.25">
      <c r="A40" s="1" t="s">
        <v>68</v>
      </c>
      <c r="B40" s="1"/>
      <c r="C40" s="1"/>
      <c r="D40" s="1">
        <v>110</v>
      </c>
      <c r="E40" s="2">
        <v>4161.9400000000005</v>
      </c>
      <c r="G40">
        <v>0</v>
      </c>
      <c r="H40" s="10">
        <v>0</v>
      </c>
      <c r="I40" s="10">
        <f t="shared" si="0"/>
        <v>-4161.9400000000005</v>
      </c>
      <c r="J40" s="10">
        <v>4161.9400000000005</v>
      </c>
      <c r="K40" s="15">
        <f t="shared" si="1"/>
        <v>0</v>
      </c>
    </row>
    <row r="41" spans="1:1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v>0</v>
      </c>
      <c r="H41" s="10">
        <v>0</v>
      </c>
      <c r="I41" s="10">
        <f t="shared" si="0"/>
        <v>-3101</v>
      </c>
      <c r="J41" s="10">
        <v>3101</v>
      </c>
      <c r="K41" s="15">
        <f t="shared" si="1"/>
        <v>0</v>
      </c>
    </row>
    <row r="42" spans="1:1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3319</v>
      </c>
      <c r="G42">
        <v>3.319</v>
      </c>
      <c r="H42" s="10">
        <v>3319</v>
      </c>
      <c r="I42" s="10">
        <f t="shared" si="0"/>
        <v>0</v>
      </c>
      <c r="J42" s="10">
        <v>3341</v>
      </c>
      <c r="K42" s="15">
        <f t="shared" si="1"/>
        <v>22</v>
      </c>
    </row>
    <row r="43" spans="1:1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v>0</v>
      </c>
      <c r="H43" s="10">
        <v>0</v>
      </c>
      <c r="I43" s="10">
        <f t="shared" si="0"/>
        <v>-3352</v>
      </c>
      <c r="J43" s="10">
        <v>3352</v>
      </c>
      <c r="K43" s="15">
        <f t="shared" si="1"/>
        <v>0</v>
      </c>
    </row>
    <row r="44" spans="1:1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v>0</v>
      </c>
      <c r="H44" s="10">
        <v>0</v>
      </c>
      <c r="I44" s="10">
        <f t="shared" si="0"/>
        <v>-3356.52</v>
      </c>
      <c r="J44" s="10">
        <v>3356.52</v>
      </c>
      <c r="K44" s="15">
        <f t="shared" si="1"/>
        <v>0</v>
      </c>
    </row>
    <row r="45" spans="1:1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v>0</v>
      </c>
      <c r="H45" s="10">
        <v>0</v>
      </c>
      <c r="I45" s="10">
        <f t="shared" si="0"/>
        <v>-3356.52</v>
      </c>
      <c r="J45" s="10">
        <v>3356.52</v>
      </c>
      <c r="K45" s="15">
        <f t="shared" si="1"/>
        <v>0</v>
      </c>
    </row>
    <row r="46" spans="1:1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v>0</v>
      </c>
      <c r="H46" s="10">
        <v>0</v>
      </c>
      <c r="I46" s="10">
        <f t="shared" si="0"/>
        <v>-3356.52</v>
      </c>
      <c r="J46" s="10">
        <v>3356.52</v>
      </c>
      <c r="K46" s="15">
        <f t="shared" si="1"/>
        <v>0</v>
      </c>
    </row>
    <row r="47" spans="1:11" x14ac:dyDescent="0.25">
      <c r="A47" s="1" t="s">
        <v>76</v>
      </c>
      <c r="B47" s="1"/>
      <c r="C47" s="1" t="s">
        <v>9</v>
      </c>
      <c r="D47" s="1">
        <v>100</v>
      </c>
      <c r="E47" s="2">
        <v>4161.9400000000005</v>
      </c>
      <c r="G47">
        <v>0</v>
      </c>
      <c r="H47" s="10">
        <v>0</v>
      </c>
      <c r="I47" s="10">
        <f t="shared" si="0"/>
        <v>-4161.9400000000005</v>
      </c>
      <c r="J47" s="10">
        <v>4161.9400000000005</v>
      </c>
      <c r="K47" s="15">
        <f t="shared" si="1"/>
        <v>0</v>
      </c>
    </row>
    <row r="48" spans="1:11" x14ac:dyDescent="0.25">
      <c r="A48" s="1" t="s">
        <v>77</v>
      </c>
      <c r="B48" s="1"/>
      <c r="C48" s="1" t="s">
        <v>9</v>
      </c>
      <c r="D48" s="1">
        <v>80</v>
      </c>
      <c r="E48" s="2">
        <v>4161.9400000000005</v>
      </c>
      <c r="G48">
        <v>0</v>
      </c>
      <c r="H48" s="10">
        <v>0</v>
      </c>
      <c r="I48" s="10">
        <f t="shared" si="0"/>
        <v>-4161.9400000000005</v>
      </c>
      <c r="J48" s="10">
        <v>4161.9400000000005</v>
      </c>
      <c r="K48" s="15">
        <f t="shared" si="1"/>
        <v>0</v>
      </c>
    </row>
    <row r="49" spans="1:11" x14ac:dyDescent="0.25">
      <c r="A49" s="1" t="s">
        <v>78</v>
      </c>
      <c r="B49" s="1"/>
      <c r="C49" s="1" t="s">
        <v>9</v>
      </c>
      <c r="D49" s="1">
        <v>110</v>
      </c>
      <c r="E49" s="2">
        <v>4161.9400000000005</v>
      </c>
      <c r="G49">
        <v>0</v>
      </c>
      <c r="H49" s="10">
        <v>0</v>
      </c>
      <c r="I49" s="10">
        <f t="shared" si="0"/>
        <v>-4161.9400000000005</v>
      </c>
      <c r="J49" s="10">
        <v>4161.9400000000005</v>
      </c>
      <c r="K49" s="15">
        <f t="shared" si="1"/>
        <v>0</v>
      </c>
    </row>
    <row r="50" spans="1:11" x14ac:dyDescent="0.25">
      <c r="A50" s="1" t="s">
        <v>79</v>
      </c>
      <c r="B50" s="1"/>
      <c r="C50" s="1" t="s">
        <v>9</v>
      </c>
      <c r="D50" s="1">
        <v>120</v>
      </c>
      <c r="E50" s="2">
        <v>4161.9400000000005</v>
      </c>
      <c r="G50">
        <v>0</v>
      </c>
      <c r="H50" s="10">
        <v>0</v>
      </c>
      <c r="I50" s="10">
        <f t="shared" si="0"/>
        <v>-4161.9400000000005</v>
      </c>
      <c r="J50" s="10">
        <v>4161.9400000000005</v>
      </c>
      <c r="K50" s="15">
        <f t="shared" si="1"/>
        <v>0</v>
      </c>
    </row>
    <row r="51" spans="1:11" x14ac:dyDescent="0.25">
      <c r="A51" s="1" t="s">
        <v>80</v>
      </c>
      <c r="B51" s="1"/>
      <c r="C51" s="1" t="s">
        <v>9</v>
      </c>
      <c r="D51" s="1">
        <v>140</v>
      </c>
      <c r="E51" s="2">
        <v>4161.9400000000005</v>
      </c>
      <c r="G51">
        <v>0</v>
      </c>
      <c r="H51" s="10">
        <v>0</v>
      </c>
      <c r="I51" s="10">
        <f t="shared" si="0"/>
        <v>-4161.9400000000005</v>
      </c>
      <c r="J51" s="10">
        <v>4161.9400000000005</v>
      </c>
      <c r="K51" s="15">
        <f t="shared" si="1"/>
        <v>0</v>
      </c>
    </row>
    <row r="52" spans="1:11" x14ac:dyDescent="0.25">
      <c r="A52" s="1" t="s">
        <v>81</v>
      </c>
      <c r="B52" s="1"/>
      <c r="C52" s="1"/>
      <c r="D52" s="1">
        <v>160</v>
      </c>
      <c r="E52" s="2">
        <v>4161.9400000000005</v>
      </c>
      <c r="G52">
        <v>0</v>
      </c>
      <c r="H52" s="10">
        <v>0</v>
      </c>
      <c r="I52" s="10">
        <f t="shared" si="0"/>
        <v>-4161.9400000000005</v>
      </c>
      <c r="J52" s="10">
        <v>4161.9400000000005</v>
      </c>
      <c r="K52" s="15">
        <f t="shared" si="1"/>
        <v>0</v>
      </c>
    </row>
    <row r="53" spans="1:11" x14ac:dyDescent="0.25">
      <c r="A53" s="1" t="s">
        <v>82</v>
      </c>
      <c r="B53" s="1"/>
      <c r="C53" s="1" t="s">
        <v>9</v>
      </c>
      <c r="D53" s="1">
        <v>185</v>
      </c>
      <c r="E53" s="2">
        <v>4162</v>
      </c>
      <c r="G53">
        <v>0</v>
      </c>
      <c r="H53" s="10">
        <v>0</v>
      </c>
      <c r="I53" s="10">
        <f t="shared" si="0"/>
        <v>-4162</v>
      </c>
      <c r="J53" s="10">
        <v>4162</v>
      </c>
      <c r="K53" s="15">
        <f t="shared" si="1"/>
        <v>0</v>
      </c>
    </row>
    <row r="54" spans="1:11" x14ac:dyDescent="0.25">
      <c r="A54" s="1" t="s">
        <v>83</v>
      </c>
      <c r="B54" s="1"/>
      <c r="C54" s="1" t="s">
        <v>9</v>
      </c>
      <c r="D54" s="1">
        <v>140</v>
      </c>
      <c r="E54" s="2">
        <v>4162</v>
      </c>
      <c r="G54">
        <v>0</v>
      </c>
      <c r="H54" s="10">
        <v>0</v>
      </c>
      <c r="I54" s="10">
        <f t="shared" si="0"/>
        <v>-4162</v>
      </c>
      <c r="J54" s="10">
        <v>4162</v>
      </c>
      <c r="K54" s="15">
        <f t="shared" si="1"/>
        <v>0</v>
      </c>
    </row>
    <row r="55" spans="1:1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v>0</v>
      </c>
      <c r="H55" s="10">
        <v>0</v>
      </c>
      <c r="I55" s="10">
        <f t="shared" si="0"/>
        <v>-4161.9400000000005</v>
      </c>
      <c r="J55" s="10">
        <v>4161.9400000000005</v>
      </c>
      <c r="K55" s="15">
        <f t="shared" si="1"/>
        <v>0</v>
      </c>
    </row>
    <row r="56" spans="1:11" x14ac:dyDescent="0.25">
      <c r="A56" s="1" t="s">
        <v>86</v>
      </c>
      <c r="B56" s="1" t="s">
        <v>87</v>
      </c>
      <c r="C56" s="1"/>
      <c r="D56" s="1">
        <v>180</v>
      </c>
      <c r="E56" s="2">
        <v>4161.9400000000005</v>
      </c>
      <c r="G56">
        <v>0</v>
      </c>
      <c r="H56" s="10">
        <v>0</v>
      </c>
      <c r="I56" s="10">
        <f t="shared" si="0"/>
        <v>-4161.9400000000005</v>
      </c>
      <c r="J56" s="10">
        <v>4161.9400000000005</v>
      </c>
      <c r="K56" s="15">
        <f t="shared" si="1"/>
        <v>0</v>
      </c>
    </row>
    <row r="57" spans="1:1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v>4161.9400000000005</v>
      </c>
      <c r="G57">
        <v>0</v>
      </c>
      <c r="H57" s="10">
        <v>0</v>
      </c>
      <c r="I57" s="10">
        <f t="shared" si="0"/>
        <v>-4161.9400000000005</v>
      </c>
      <c r="J57" s="10">
        <v>4161.9400000000005</v>
      </c>
      <c r="K57" s="15">
        <f t="shared" si="1"/>
        <v>0</v>
      </c>
    </row>
    <row r="58" spans="1:11" x14ac:dyDescent="0.25">
      <c r="A58" s="1" t="s">
        <v>95</v>
      </c>
      <c r="B58" s="1"/>
      <c r="C58" s="1"/>
      <c r="D58" s="1">
        <v>125</v>
      </c>
      <c r="E58" s="7">
        <v>9960</v>
      </c>
      <c r="G58">
        <v>9.9600000000000009</v>
      </c>
      <c r="H58" s="10">
        <v>9960</v>
      </c>
      <c r="I58" s="10">
        <f t="shared" si="0"/>
        <v>0</v>
      </c>
      <c r="J58" s="10">
        <v>9960</v>
      </c>
      <c r="K58" s="15">
        <f t="shared" si="1"/>
        <v>0</v>
      </c>
    </row>
    <row r="59" spans="1:1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v>0</v>
      </c>
      <c r="H59" s="10">
        <v>0</v>
      </c>
      <c r="I59" s="10">
        <f t="shared" si="0"/>
        <v>-4434</v>
      </c>
      <c r="J59" s="10">
        <v>4434</v>
      </c>
      <c r="K59" s="15">
        <f t="shared" si="1"/>
        <v>0</v>
      </c>
    </row>
    <row r="60" spans="1:11" x14ac:dyDescent="0.25">
      <c r="A60" s="1" t="s">
        <v>98</v>
      </c>
      <c r="B60" s="1"/>
      <c r="C60" s="1"/>
      <c r="D60" s="1">
        <v>126</v>
      </c>
      <c r="E60" s="2">
        <v>4085</v>
      </c>
      <c r="G60">
        <v>0</v>
      </c>
      <c r="H60" s="10">
        <v>0</v>
      </c>
      <c r="I60" s="10">
        <f t="shared" si="0"/>
        <v>-4085</v>
      </c>
      <c r="J60" s="10">
        <v>4085</v>
      </c>
      <c r="K60" s="15">
        <f t="shared" si="1"/>
        <v>0</v>
      </c>
    </row>
    <row r="61" spans="1:11" x14ac:dyDescent="0.25">
      <c r="A61" s="1" t="s">
        <v>99</v>
      </c>
      <c r="B61" s="1"/>
      <c r="C61" s="1"/>
      <c r="D61" s="1">
        <v>90</v>
      </c>
      <c r="E61" s="2">
        <v>4866.7</v>
      </c>
      <c r="G61">
        <v>0</v>
      </c>
      <c r="H61" s="10">
        <v>0</v>
      </c>
      <c r="I61" s="10">
        <f t="shared" si="0"/>
        <v>-4866.7</v>
      </c>
      <c r="J61" s="10">
        <v>4866.7</v>
      </c>
      <c r="K61" s="15">
        <f t="shared" si="1"/>
        <v>0</v>
      </c>
    </row>
    <row r="62" spans="1:11" x14ac:dyDescent="0.25">
      <c r="A62" s="1" t="s">
        <v>100</v>
      </c>
      <c r="B62" s="1"/>
      <c r="C62" s="1"/>
      <c r="D62" s="1">
        <v>220</v>
      </c>
      <c r="E62" s="2"/>
      <c r="G62">
        <v>0</v>
      </c>
      <c r="H62" s="10">
        <v>0</v>
      </c>
      <c r="I62" s="10">
        <f t="shared" si="0"/>
        <v>0</v>
      </c>
      <c r="K62" s="15">
        <f t="shared" si="1"/>
        <v>0</v>
      </c>
    </row>
    <row r="63" spans="1:11" x14ac:dyDescent="0.25">
      <c r="A63" s="1" t="s">
        <v>101</v>
      </c>
      <c r="B63" s="1"/>
      <c r="C63" s="1"/>
      <c r="D63" s="1">
        <v>300</v>
      </c>
      <c r="E63" s="2">
        <v>4137</v>
      </c>
      <c r="G63">
        <v>0</v>
      </c>
      <c r="H63" s="10">
        <v>0</v>
      </c>
      <c r="I63" s="10">
        <f t="shared" si="0"/>
        <v>-4137</v>
      </c>
      <c r="J63" s="10">
        <v>4137</v>
      </c>
      <c r="K63" s="15">
        <f t="shared" si="1"/>
        <v>0</v>
      </c>
    </row>
    <row r="64" spans="1:11" x14ac:dyDescent="0.25">
      <c r="A64" s="1" t="s">
        <v>102</v>
      </c>
      <c r="B64" s="1"/>
      <c r="C64" s="1"/>
      <c r="D64" s="1">
        <v>150</v>
      </c>
      <c r="E64" s="7">
        <v>5289.26</v>
      </c>
      <c r="G64">
        <v>0</v>
      </c>
      <c r="H64" s="10">
        <v>0</v>
      </c>
      <c r="I64" s="10">
        <f t="shared" si="0"/>
        <v>-5289.26</v>
      </c>
      <c r="J64" s="10">
        <v>5289.26</v>
      </c>
      <c r="K64" s="15">
        <f t="shared" si="1"/>
        <v>0</v>
      </c>
    </row>
    <row r="65" spans="1:11" x14ac:dyDescent="0.25">
      <c r="A65" s="1" t="s">
        <v>103</v>
      </c>
      <c r="B65" s="1"/>
      <c r="C65" s="1"/>
      <c r="D65" s="1">
        <v>160</v>
      </c>
      <c r="E65" s="2">
        <v>4866.7</v>
      </c>
      <c r="G65">
        <v>0</v>
      </c>
      <c r="H65" s="10">
        <v>0</v>
      </c>
      <c r="I65" s="10">
        <f t="shared" si="0"/>
        <v>-4866.7</v>
      </c>
      <c r="J65" s="10">
        <v>4866.7</v>
      </c>
      <c r="K65" s="15">
        <f t="shared" si="1"/>
        <v>0</v>
      </c>
    </row>
    <row r="66" spans="1:11" x14ac:dyDescent="0.25">
      <c r="A66" s="1" t="s">
        <v>104</v>
      </c>
      <c r="B66" s="1"/>
      <c r="C66" s="1"/>
      <c r="D66" s="1">
        <v>120</v>
      </c>
      <c r="E66" s="2">
        <v>4866.7</v>
      </c>
      <c r="G66">
        <v>0</v>
      </c>
      <c r="H66" s="10">
        <v>0</v>
      </c>
      <c r="I66" s="10">
        <f t="shared" si="0"/>
        <v>-4866.7</v>
      </c>
      <c r="J66" s="10">
        <v>4866.7</v>
      </c>
      <c r="K66" s="15">
        <f t="shared" si="1"/>
        <v>0</v>
      </c>
    </row>
    <row r="67" spans="1:11" x14ac:dyDescent="0.25">
      <c r="A67" s="1" t="s">
        <v>105</v>
      </c>
      <c r="B67" s="1"/>
      <c r="C67" s="1"/>
      <c r="D67" s="1">
        <v>190</v>
      </c>
      <c r="E67" s="2">
        <v>7220.34</v>
      </c>
      <c r="G67">
        <v>0</v>
      </c>
      <c r="H67" s="10">
        <v>0</v>
      </c>
      <c r="I67" s="10">
        <f t="shared" si="0"/>
        <v>-7220.34</v>
      </c>
      <c r="J67" s="10">
        <v>7220.34</v>
      </c>
      <c r="K67" s="15">
        <f t="shared" si="1"/>
        <v>0</v>
      </c>
    </row>
    <row r="68" spans="1:11" x14ac:dyDescent="0.25">
      <c r="A68" s="1" t="s">
        <v>106</v>
      </c>
      <c r="B68" s="1"/>
      <c r="C68" s="1"/>
      <c r="D68" s="1">
        <v>200</v>
      </c>
      <c r="E68" s="2">
        <v>7220.34</v>
      </c>
      <c r="G68">
        <v>0</v>
      </c>
      <c r="H68" s="10">
        <v>0</v>
      </c>
      <c r="I68" s="10">
        <f t="shared" ref="I68:I87" si="2">H68-E68</f>
        <v>-7220.34</v>
      </c>
      <c r="J68" s="10">
        <v>7220.34</v>
      </c>
      <c r="K68" s="15">
        <f t="shared" ref="K68:K89" si="3">J68-E68</f>
        <v>0</v>
      </c>
    </row>
    <row r="69" spans="1:11" x14ac:dyDescent="0.25">
      <c r="A69" s="1" t="s">
        <v>107</v>
      </c>
      <c r="B69" s="1"/>
      <c r="C69" s="1"/>
      <c r="D69" s="1">
        <v>205</v>
      </c>
      <c r="E69" s="2">
        <v>6847</v>
      </c>
      <c r="G69">
        <v>0</v>
      </c>
      <c r="H69" s="10">
        <v>0</v>
      </c>
      <c r="I69" s="10">
        <f t="shared" si="2"/>
        <v>-6847</v>
      </c>
      <c r="J69" s="10">
        <v>6847</v>
      </c>
      <c r="K69" s="15">
        <f t="shared" si="3"/>
        <v>0</v>
      </c>
    </row>
    <row r="70" spans="1:11" x14ac:dyDescent="0.25">
      <c r="A70" s="1" t="s">
        <v>108</v>
      </c>
      <c r="B70" s="1"/>
      <c r="C70" s="1"/>
      <c r="D70" s="1">
        <v>110</v>
      </c>
      <c r="E70" s="2">
        <v>4162</v>
      </c>
      <c r="G70">
        <v>0</v>
      </c>
      <c r="H70" s="10">
        <v>0</v>
      </c>
      <c r="I70" s="10">
        <f t="shared" si="2"/>
        <v>-4162</v>
      </c>
      <c r="J70" s="10">
        <v>4162</v>
      </c>
      <c r="K70" s="15">
        <f t="shared" si="3"/>
        <v>0</v>
      </c>
    </row>
    <row r="71" spans="1:11" x14ac:dyDescent="0.25">
      <c r="A71" s="1" t="s">
        <v>109</v>
      </c>
      <c r="B71" s="1"/>
      <c r="C71" s="1"/>
      <c r="D71" s="1">
        <v>227</v>
      </c>
      <c r="E71" s="2">
        <v>7220.34</v>
      </c>
      <c r="G71">
        <v>0</v>
      </c>
      <c r="H71" s="10">
        <v>0</v>
      </c>
      <c r="I71" s="10">
        <f t="shared" si="2"/>
        <v>-7220.34</v>
      </c>
      <c r="J71" s="10">
        <v>7220.34</v>
      </c>
      <c r="K71" s="15">
        <f t="shared" si="3"/>
        <v>0</v>
      </c>
    </row>
    <row r="72" spans="1:11" x14ac:dyDescent="0.25">
      <c r="A72" s="1" t="s">
        <v>110</v>
      </c>
      <c r="B72" s="1"/>
      <c r="C72" s="1"/>
      <c r="D72" s="1">
        <v>135</v>
      </c>
      <c r="E72" s="2">
        <v>3103.58</v>
      </c>
      <c r="G72">
        <v>0</v>
      </c>
      <c r="H72" s="10">
        <v>0</v>
      </c>
      <c r="I72" s="10">
        <f t="shared" si="2"/>
        <v>-3103.58</v>
      </c>
      <c r="J72" s="10">
        <v>3103.58</v>
      </c>
      <c r="K72" s="15">
        <f t="shared" si="3"/>
        <v>0</v>
      </c>
    </row>
    <row r="73" spans="1:11" x14ac:dyDescent="0.25">
      <c r="A73" s="1" t="s">
        <v>111</v>
      </c>
      <c r="B73" s="1"/>
      <c r="C73" s="1"/>
      <c r="D73" s="1">
        <v>75</v>
      </c>
      <c r="E73" s="2">
        <v>5075</v>
      </c>
      <c r="G73">
        <v>0</v>
      </c>
      <c r="H73" s="10">
        <v>0</v>
      </c>
      <c r="I73" s="10">
        <f t="shared" si="2"/>
        <v>-5075</v>
      </c>
      <c r="J73" s="10">
        <v>5075</v>
      </c>
      <c r="K73" s="15">
        <f t="shared" si="3"/>
        <v>0</v>
      </c>
    </row>
    <row r="74" spans="1:11" x14ac:dyDescent="0.25">
      <c r="A74" s="1" t="s">
        <v>112</v>
      </c>
      <c r="B74" s="1"/>
      <c r="C74" s="1"/>
      <c r="D74" s="1">
        <v>90</v>
      </c>
      <c r="E74" s="2">
        <v>3103.58</v>
      </c>
      <c r="G74">
        <v>0</v>
      </c>
      <c r="H74" s="10">
        <v>0</v>
      </c>
      <c r="I74" s="10">
        <f t="shared" si="2"/>
        <v>-3103.58</v>
      </c>
      <c r="J74" s="10">
        <v>3103.58</v>
      </c>
      <c r="K74" s="15">
        <f t="shared" si="3"/>
        <v>0</v>
      </c>
    </row>
    <row r="75" spans="1:11" x14ac:dyDescent="0.25">
      <c r="A75" s="1" t="s">
        <v>113</v>
      </c>
      <c r="B75" s="1"/>
      <c r="C75" s="1"/>
      <c r="D75" s="1">
        <v>160</v>
      </c>
      <c r="E75" s="2">
        <v>3103.58</v>
      </c>
      <c r="G75">
        <v>0</v>
      </c>
      <c r="H75" s="10">
        <v>0</v>
      </c>
      <c r="I75" s="10">
        <f t="shared" si="2"/>
        <v>-3103.58</v>
      </c>
      <c r="J75" s="10">
        <v>3103.58</v>
      </c>
      <c r="K75" s="15">
        <f t="shared" si="3"/>
        <v>0</v>
      </c>
    </row>
    <row r="76" spans="1:11" x14ac:dyDescent="0.25">
      <c r="A76" s="1" t="s">
        <v>114</v>
      </c>
      <c r="B76" s="1"/>
      <c r="C76" s="1"/>
      <c r="D76" s="1">
        <v>120</v>
      </c>
      <c r="E76" s="2">
        <v>3352</v>
      </c>
      <c r="G76">
        <v>0</v>
      </c>
      <c r="H76" s="10">
        <v>0</v>
      </c>
      <c r="I76" s="10">
        <f t="shared" si="2"/>
        <v>-3352</v>
      </c>
      <c r="J76" s="10">
        <v>3352</v>
      </c>
      <c r="K76" s="15">
        <f t="shared" si="3"/>
        <v>0</v>
      </c>
    </row>
    <row r="77" spans="1:11" x14ac:dyDescent="0.25">
      <c r="A77" s="1" t="s">
        <v>115</v>
      </c>
      <c r="B77" s="1"/>
      <c r="C77" s="1"/>
      <c r="D77" s="1">
        <v>150</v>
      </c>
      <c r="E77" s="7">
        <v>5289.26</v>
      </c>
      <c r="G77">
        <v>0</v>
      </c>
      <c r="H77" s="10">
        <v>0</v>
      </c>
      <c r="I77" s="10">
        <f t="shared" si="2"/>
        <v>-5289.26</v>
      </c>
      <c r="J77" s="10">
        <v>5289.26</v>
      </c>
      <c r="K77" s="15">
        <f t="shared" si="3"/>
        <v>0</v>
      </c>
    </row>
    <row r="78" spans="1:11" x14ac:dyDescent="0.25">
      <c r="A78" s="1" t="s">
        <v>116</v>
      </c>
      <c r="B78" s="1"/>
      <c r="C78" s="1"/>
      <c r="D78" s="1">
        <v>100</v>
      </c>
      <c r="E78" s="2">
        <v>3103.58</v>
      </c>
      <c r="G78">
        <v>0</v>
      </c>
      <c r="H78" s="10">
        <v>0</v>
      </c>
      <c r="I78" s="10">
        <f t="shared" si="2"/>
        <v>-3103.58</v>
      </c>
      <c r="J78" s="10">
        <v>3103.58</v>
      </c>
      <c r="K78" s="15">
        <f t="shared" si="3"/>
        <v>0</v>
      </c>
    </row>
    <row r="79" spans="1:11" x14ac:dyDescent="0.25">
      <c r="A79" s="1" t="s">
        <v>117</v>
      </c>
      <c r="B79" s="1"/>
      <c r="C79" s="1"/>
      <c r="D79" s="1">
        <v>120</v>
      </c>
      <c r="E79" s="2">
        <v>4162</v>
      </c>
      <c r="G79">
        <v>0</v>
      </c>
      <c r="H79" s="10">
        <v>0</v>
      </c>
      <c r="I79" s="10">
        <f t="shared" si="2"/>
        <v>-4162</v>
      </c>
      <c r="J79" s="10">
        <v>4162</v>
      </c>
      <c r="K79" s="15">
        <f t="shared" si="3"/>
        <v>0</v>
      </c>
    </row>
    <row r="80" spans="1:11" x14ac:dyDescent="0.25">
      <c r="A80" s="1" t="s">
        <v>118</v>
      </c>
      <c r="B80" s="1"/>
      <c r="C80" s="1"/>
      <c r="D80" s="1">
        <v>90</v>
      </c>
      <c r="E80" s="2">
        <v>4162</v>
      </c>
      <c r="G80">
        <v>0</v>
      </c>
      <c r="H80" s="10">
        <v>0</v>
      </c>
      <c r="I80" s="10">
        <f t="shared" si="2"/>
        <v>-4162</v>
      </c>
      <c r="J80" s="10">
        <v>4162</v>
      </c>
      <c r="K80" s="15">
        <f t="shared" si="3"/>
        <v>0</v>
      </c>
    </row>
    <row r="81" spans="1:11" x14ac:dyDescent="0.25">
      <c r="A81" s="1" t="s">
        <v>119</v>
      </c>
      <c r="B81" s="1"/>
      <c r="C81" s="1"/>
      <c r="D81" s="1">
        <v>105</v>
      </c>
      <c r="E81" s="2">
        <v>4443.6099999999997</v>
      </c>
      <c r="G81">
        <v>0</v>
      </c>
      <c r="H81" s="10">
        <v>0</v>
      </c>
      <c r="I81" s="10">
        <f t="shared" si="2"/>
        <v>-4443.6099999999997</v>
      </c>
      <c r="J81" s="10">
        <v>4443.6099999999997</v>
      </c>
      <c r="K81" s="15">
        <f t="shared" si="3"/>
        <v>0</v>
      </c>
    </row>
    <row r="82" spans="1:11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v>0</v>
      </c>
      <c r="H82" s="10">
        <v>0</v>
      </c>
      <c r="I82" s="10">
        <f t="shared" si="2"/>
        <v>-3268</v>
      </c>
      <c r="J82" s="10">
        <v>3268</v>
      </c>
      <c r="K82" s="15">
        <f t="shared" si="3"/>
        <v>0</v>
      </c>
    </row>
    <row r="83" spans="1:11" x14ac:dyDescent="0.25">
      <c r="A83" s="1" t="s">
        <v>121</v>
      </c>
      <c r="B83" s="1"/>
      <c r="C83" s="1"/>
      <c r="D83" s="1">
        <v>186</v>
      </c>
      <c r="E83" s="2">
        <v>4443.6099999999997</v>
      </c>
      <c r="G83">
        <v>0</v>
      </c>
      <c r="H83" s="10">
        <v>0</v>
      </c>
      <c r="I83" s="10">
        <f t="shared" si="2"/>
        <v>-4443.6099999999997</v>
      </c>
      <c r="J83" s="10">
        <v>4443.6099999999997</v>
      </c>
      <c r="K83" s="15">
        <f t="shared" si="3"/>
        <v>0</v>
      </c>
    </row>
    <row r="84" spans="1:11" x14ac:dyDescent="0.25">
      <c r="A84" s="1" t="s">
        <v>152</v>
      </c>
      <c r="B84" s="1"/>
      <c r="C84" s="1"/>
      <c r="D84" s="1">
        <v>120</v>
      </c>
      <c r="E84" s="2">
        <v>4782</v>
      </c>
      <c r="G84">
        <v>0</v>
      </c>
      <c r="H84" s="10">
        <v>0</v>
      </c>
      <c r="I84" s="10">
        <f t="shared" si="2"/>
        <v>-4782</v>
      </c>
      <c r="J84" s="10">
        <v>4782</v>
      </c>
      <c r="K84" s="15">
        <f t="shared" si="3"/>
        <v>0</v>
      </c>
    </row>
    <row r="85" spans="1:11" x14ac:dyDescent="0.25">
      <c r="A85" s="1" t="s">
        <v>153</v>
      </c>
      <c r="B85" s="1"/>
      <c r="C85" s="1"/>
      <c r="D85" s="1">
        <v>90</v>
      </c>
      <c r="E85" s="2">
        <v>4782</v>
      </c>
      <c r="G85">
        <v>0</v>
      </c>
      <c r="H85" s="10">
        <v>0</v>
      </c>
      <c r="I85" s="10">
        <f t="shared" si="2"/>
        <v>-4782</v>
      </c>
      <c r="J85" s="10">
        <v>4782</v>
      </c>
      <c r="K85" s="15">
        <f t="shared" si="3"/>
        <v>0</v>
      </c>
    </row>
    <row r="86" spans="1:11" x14ac:dyDescent="0.25">
      <c r="A86" s="1" t="s">
        <v>154</v>
      </c>
      <c r="B86" s="1"/>
      <c r="C86" s="1"/>
      <c r="D86" s="1">
        <v>205</v>
      </c>
      <c r="E86" s="2">
        <v>7094</v>
      </c>
      <c r="G86">
        <v>0</v>
      </c>
      <c r="H86" s="10">
        <v>0</v>
      </c>
      <c r="I86" s="10">
        <f t="shared" si="2"/>
        <v>-7094</v>
      </c>
      <c r="J86" s="10">
        <v>7094</v>
      </c>
      <c r="K86" s="15">
        <f t="shared" si="3"/>
        <v>0</v>
      </c>
    </row>
    <row r="87" spans="1:11" x14ac:dyDescent="0.25">
      <c r="A87" s="1" t="s">
        <v>155</v>
      </c>
      <c r="B87" s="1"/>
      <c r="C87" s="1"/>
      <c r="D87" s="1">
        <v>135</v>
      </c>
      <c r="E87" s="2">
        <v>4082</v>
      </c>
      <c r="G87">
        <v>0</v>
      </c>
      <c r="H87" s="10">
        <v>0</v>
      </c>
      <c r="I87" s="10">
        <f t="shared" si="2"/>
        <v>-4082</v>
      </c>
      <c r="J87" s="10">
        <v>4082</v>
      </c>
      <c r="K87" s="15">
        <f t="shared" si="3"/>
        <v>0</v>
      </c>
    </row>
    <row r="88" spans="1:11" x14ac:dyDescent="0.25">
      <c r="A88" s="1" t="s">
        <v>158</v>
      </c>
      <c r="B88" s="1"/>
      <c r="C88" s="1"/>
      <c r="D88" s="1"/>
      <c r="E88" s="2"/>
      <c r="K88" s="15">
        <f t="shared" si="3"/>
        <v>0</v>
      </c>
    </row>
    <row r="89" spans="1:11" x14ac:dyDescent="0.25">
      <c r="A89" s="1" t="s">
        <v>159</v>
      </c>
      <c r="B89" s="1"/>
      <c r="C89" s="1"/>
      <c r="D89" s="1"/>
      <c r="E89" s="2"/>
      <c r="K89" s="15">
        <f t="shared" si="3"/>
        <v>0</v>
      </c>
    </row>
  </sheetData>
  <autoFilter ref="A1:I89" xr:uid="{338D838C-5815-40DE-B3CF-63F53FA2A530}"/>
  <conditionalFormatting sqref="A1:A83 A84:D86 A87:A1048576 B87:D89">
    <cfRule type="duplicateValues" dxfId="1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755F-8434-47E9-ABF7-2058238C5477}">
  <dimension ref="A1:K89"/>
  <sheetViews>
    <sheetView workbookViewId="0">
      <pane ySplit="1" topLeftCell="A2" activePane="bottomLeft" state="frozen"/>
      <selection pane="bottomLeft" activeCell="P17" sqref="P17"/>
    </sheetView>
  </sheetViews>
  <sheetFormatPr defaultRowHeight="15" x14ac:dyDescent="0.25"/>
  <cols>
    <col min="1" max="1" width="13.5703125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  <col min="10" max="10" width="9.5703125" style="10" bestFit="1" customWidth="1"/>
    <col min="11" max="11" width="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1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1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0</v>
      </c>
      <c r="H3" s="10">
        <f>G3*1000</f>
        <v>0</v>
      </c>
      <c r="I3" s="10">
        <f>H3-E3</f>
        <v>-7350</v>
      </c>
      <c r="J3" s="10">
        <v>7350</v>
      </c>
      <c r="K3" s="15">
        <f>J3-E3</f>
        <v>0</v>
      </c>
    </row>
    <row r="4" spans="1:11" x14ac:dyDescent="0.25">
      <c r="A4" s="1" t="s">
        <v>10</v>
      </c>
      <c r="B4" s="1" t="s">
        <v>11</v>
      </c>
      <c r="C4" s="1"/>
      <c r="D4" s="1">
        <v>75</v>
      </c>
      <c r="E4" s="2">
        <v>6023</v>
      </c>
      <c r="G4">
        <v>0</v>
      </c>
      <c r="H4" s="10">
        <f t="shared" ref="H4:H67" si="0">G4*1000</f>
        <v>0</v>
      </c>
      <c r="I4" s="10">
        <f t="shared" ref="I4:I67" si="1">H4-E4</f>
        <v>-6023</v>
      </c>
      <c r="J4" s="10">
        <v>6023</v>
      </c>
      <c r="K4" s="15">
        <f t="shared" ref="K4:K67" si="2">J4-E4</f>
        <v>0</v>
      </c>
    </row>
    <row r="5" spans="1:11" s="10" customFormat="1" x14ac:dyDescent="0.25">
      <c r="A5" s="1" t="s">
        <v>13</v>
      </c>
      <c r="B5" s="1"/>
      <c r="C5" s="1" t="s">
        <v>9</v>
      </c>
      <c r="D5" s="1">
        <v>100</v>
      </c>
      <c r="E5" s="2">
        <v>4522</v>
      </c>
      <c r="F5"/>
      <c r="G5">
        <v>0</v>
      </c>
      <c r="H5" s="10">
        <f t="shared" si="0"/>
        <v>0</v>
      </c>
      <c r="I5" s="10">
        <f t="shared" si="1"/>
        <v>-4522</v>
      </c>
      <c r="J5" s="10">
        <v>4522</v>
      </c>
      <c r="K5" s="15">
        <f t="shared" si="2"/>
        <v>0</v>
      </c>
    </row>
    <row r="6" spans="1:11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v>0</v>
      </c>
      <c r="H6" s="10">
        <f t="shared" si="0"/>
        <v>0</v>
      </c>
      <c r="I6" s="10">
        <f t="shared" si="1"/>
        <v>-2760</v>
      </c>
      <c r="J6" s="10">
        <v>2760</v>
      </c>
      <c r="K6" s="15">
        <f t="shared" si="2"/>
        <v>0</v>
      </c>
    </row>
    <row r="7" spans="1:11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4801</v>
      </c>
      <c r="F7"/>
      <c r="G7">
        <v>0</v>
      </c>
      <c r="H7" s="10">
        <f t="shared" si="0"/>
        <v>0</v>
      </c>
      <c r="I7" s="10">
        <f t="shared" si="1"/>
        <v>-4801</v>
      </c>
      <c r="J7" s="10">
        <v>4801</v>
      </c>
      <c r="K7" s="15">
        <f t="shared" si="2"/>
        <v>0</v>
      </c>
    </row>
    <row r="8" spans="1:11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4682</v>
      </c>
      <c r="F8"/>
      <c r="G8">
        <v>0</v>
      </c>
      <c r="H8" s="10">
        <f t="shared" si="0"/>
        <v>0</v>
      </c>
      <c r="I8" s="10">
        <f t="shared" si="1"/>
        <v>-4682</v>
      </c>
      <c r="J8" s="10">
        <v>4682</v>
      </c>
      <c r="K8" s="15">
        <f t="shared" si="2"/>
        <v>0</v>
      </c>
    </row>
    <row r="9" spans="1:11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v>0</v>
      </c>
      <c r="H9" s="10">
        <f t="shared" si="0"/>
        <v>0</v>
      </c>
      <c r="I9" s="10">
        <f t="shared" si="1"/>
        <v>-5394</v>
      </c>
      <c r="J9" s="10">
        <v>5394</v>
      </c>
      <c r="K9" s="15">
        <f t="shared" si="2"/>
        <v>0</v>
      </c>
    </row>
    <row r="10" spans="1:11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5484</v>
      </c>
      <c r="F10"/>
      <c r="G10">
        <v>5.484</v>
      </c>
      <c r="H10" s="10">
        <f t="shared" si="0"/>
        <v>5484</v>
      </c>
      <c r="I10" s="10">
        <f t="shared" si="1"/>
        <v>0</v>
      </c>
      <c r="J10" s="10">
        <v>5975</v>
      </c>
      <c r="K10" s="15">
        <f t="shared" si="2"/>
        <v>491</v>
      </c>
    </row>
    <row r="11" spans="1:11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4752</v>
      </c>
      <c r="F11"/>
      <c r="G11">
        <v>4.7519999999999998</v>
      </c>
      <c r="H11" s="10">
        <f t="shared" si="0"/>
        <v>4752</v>
      </c>
      <c r="I11" s="10">
        <f t="shared" si="1"/>
        <v>0</v>
      </c>
      <c r="J11" s="10">
        <v>4806</v>
      </c>
      <c r="K11" s="15">
        <f t="shared" si="2"/>
        <v>54</v>
      </c>
    </row>
    <row r="12" spans="1:11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v>0</v>
      </c>
      <c r="H12" s="10">
        <f t="shared" si="0"/>
        <v>0</v>
      </c>
      <c r="I12" s="10">
        <f t="shared" si="1"/>
        <v>-7796</v>
      </c>
      <c r="J12" s="10">
        <v>7796</v>
      </c>
      <c r="K12" s="15">
        <f t="shared" si="2"/>
        <v>0</v>
      </c>
    </row>
    <row r="13" spans="1:11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v>0</v>
      </c>
      <c r="H13" s="10">
        <f t="shared" si="0"/>
        <v>0</v>
      </c>
      <c r="I13" s="10">
        <f t="shared" si="1"/>
        <v>-7154</v>
      </c>
      <c r="J13" s="10">
        <v>7154</v>
      </c>
      <c r="K13" s="15">
        <f t="shared" si="2"/>
        <v>0</v>
      </c>
    </row>
    <row r="14" spans="1:11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6023</v>
      </c>
      <c r="F14"/>
      <c r="G14">
        <v>0</v>
      </c>
      <c r="H14" s="10">
        <f t="shared" si="0"/>
        <v>0</v>
      </c>
      <c r="I14" s="10">
        <f t="shared" si="1"/>
        <v>-6023</v>
      </c>
      <c r="J14" s="10">
        <v>6023</v>
      </c>
      <c r="K14" s="15">
        <f t="shared" si="2"/>
        <v>0</v>
      </c>
    </row>
    <row r="15" spans="1:11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6770</v>
      </c>
      <c r="F15"/>
      <c r="G15">
        <v>0</v>
      </c>
      <c r="H15" s="10">
        <f>G15*1000</f>
        <v>0</v>
      </c>
      <c r="I15" s="10">
        <f>H15-E15</f>
        <v>-6770</v>
      </c>
      <c r="J15" s="10">
        <v>6847</v>
      </c>
      <c r="K15" s="15">
        <f t="shared" si="2"/>
        <v>77</v>
      </c>
    </row>
    <row r="16" spans="1:11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v>0</v>
      </c>
      <c r="H16" s="10">
        <f t="shared" si="0"/>
        <v>0</v>
      </c>
      <c r="I16" s="10">
        <f t="shared" si="1"/>
        <v>-3971</v>
      </c>
      <c r="J16" s="10">
        <v>3971</v>
      </c>
      <c r="K16" s="15">
        <f t="shared" si="2"/>
        <v>0</v>
      </c>
    </row>
    <row r="17" spans="1:1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  <c r="G17">
        <v>5.0540000000000003</v>
      </c>
      <c r="H17" s="10">
        <f t="shared" si="0"/>
        <v>5054</v>
      </c>
      <c r="I17" s="10">
        <f t="shared" si="1"/>
        <v>0</v>
      </c>
      <c r="J17" s="10">
        <v>5054</v>
      </c>
      <c r="K17" s="15">
        <f t="shared" si="2"/>
        <v>0</v>
      </c>
    </row>
    <row r="18" spans="1:1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v>0</v>
      </c>
      <c r="H18" s="10">
        <f t="shared" si="0"/>
        <v>0</v>
      </c>
      <c r="I18" s="10">
        <f t="shared" si="1"/>
        <v>-5747</v>
      </c>
      <c r="J18" s="10">
        <v>5747</v>
      </c>
      <c r="K18" s="15">
        <f t="shared" si="2"/>
        <v>0</v>
      </c>
    </row>
    <row r="19" spans="1:1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v>0</v>
      </c>
      <c r="H19" s="10">
        <f t="shared" si="0"/>
        <v>0</v>
      </c>
      <c r="I19" s="10">
        <f t="shared" si="1"/>
        <v>-4212</v>
      </c>
      <c r="J19" s="10">
        <v>4212</v>
      </c>
      <c r="K19" s="15">
        <f t="shared" si="2"/>
        <v>0</v>
      </c>
    </row>
    <row r="20" spans="1:1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v>0</v>
      </c>
      <c r="H20" s="10">
        <f t="shared" si="0"/>
        <v>0</v>
      </c>
      <c r="I20" s="10">
        <f t="shared" si="1"/>
        <v>-4766</v>
      </c>
      <c r="J20" s="10">
        <v>4766</v>
      </c>
      <c r="K20" s="15">
        <f t="shared" si="2"/>
        <v>0</v>
      </c>
    </row>
    <row r="21" spans="1:1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v>0</v>
      </c>
      <c r="H21" s="10">
        <f t="shared" si="0"/>
        <v>0</v>
      </c>
      <c r="I21" s="10">
        <f t="shared" si="1"/>
        <v>-3877</v>
      </c>
      <c r="J21" s="10">
        <v>3877</v>
      </c>
      <c r="K21" s="15">
        <f t="shared" si="2"/>
        <v>0</v>
      </c>
    </row>
    <row r="22" spans="1:11" x14ac:dyDescent="0.25">
      <c r="A22" s="1" t="s">
        <v>41</v>
      </c>
      <c r="B22" s="1" t="s">
        <v>38</v>
      </c>
      <c r="C22" s="1" t="s">
        <v>9</v>
      </c>
      <c r="D22" s="1">
        <v>125</v>
      </c>
      <c r="E22" s="14">
        <v>5198</v>
      </c>
      <c r="G22">
        <v>5.1980000000000004</v>
      </c>
      <c r="H22" s="10">
        <f t="shared" si="0"/>
        <v>5198</v>
      </c>
      <c r="I22" s="10">
        <f t="shared" si="1"/>
        <v>0</v>
      </c>
      <c r="J22" s="10">
        <v>4518</v>
      </c>
      <c r="K22" s="15">
        <f t="shared" si="2"/>
        <v>-680</v>
      </c>
    </row>
    <row r="23" spans="1:1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v>0</v>
      </c>
      <c r="H23" s="10">
        <f t="shared" si="0"/>
        <v>0</v>
      </c>
      <c r="I23" s="10">
        <f t="shared" si="1"/>
        <v>-5190</v>
      </c>
      <c r="J23" s="10">
        <v>5190</v>
      </c>
      <c r="K23" s="15">
        <f t="shared" si="2"/>
        <v>0</v>
      </c>
    </row>
    <row r="24" spans="1:1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v>0</v>
      </c>
      <c r="H24" s="10">
        <f t="shared" si="0"/>
        <v>0</v>
      </c>
      <c r="I24" s="10">
        <f t="shared" si="1"/>
        <v>-4766</v>
      </c>
      <c r="J24" s="10">
        <v>4766</v>
      </c>
      <c r="K24" s="15">
        <f t="shared" si="2"/>
        <v>0</v>
      </c>
    </row>
    <row r="25" spans="1:1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v>0</v>
      </c>
      <c r="H25" s="10">
        <f t="shared" si="0"/>
        <v>0</v>
      </c>
      <c r="I25" s="10">
        <f t="shared" si="1"/>
        <v>-5289.26</v>
      </c>
      <c r="J25" s="10">
        <v>5289.26</v>
      </c>
      <c r="K25" s="15">
        <f t="shared" si="2"/>
        <v>0</v>
      </c>
    </row>
    <row r="26" spans="1:1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v>0</v>
      </c>
      <c r="H26" s="10">
        <f t="shared" si="0"/>
        <v>0</v>
      </c>
      <c r="I26" s="10">
        <f t="shared" si="1"/>
        <v>-4902</v>
      </c>
      <c r="J26" s="10">
        <v>4902</v>
      </c>
      <c r="K26" s="15">
        <f t="shared" si="2"/>
        <v>0</v>
      </c>
    </row>
    <row r="27" spans="1:1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v>0</v>
      </c>
      <c r="H27" s="10">
        <f t="shared" si="0"/>
        <v>0</v>
      </c>
      <c r="I27" s="10">
        <f t="shared" si="1"/>
        <v>-4767</v>
      </c>
      <c r="J27" s="10">
        <v>4767</v>
      </c>
      <c r="K27" s="15">
        <f t="shared" si="2"/>
        <v>0</v>
      </c>
    </row>
    <row r="28" spans="1:11" x14ac:dyDescent="0.25">
      <c r="A28" s="1" t="s">
        <v>50</v>
      </c>
      <c r="B28" s="1" t="s">
        <v>38</v>
      </c>
      <c r="C28" s="1" t="s">
        <v>9</v>
      </c>
      <c r="D28" s="1">
        <v>185</v>
      </c>
      <c r="E28" s="14">
        <v>4754</v>
      </c>
      <c r="G28">
        <v>4.7539999999999996</v>
      </c>
      <c r="H28" s="10">
        <f t="shared" si="0"/>
        <v>4754</v>
      </c>
      <c r="I28" s="10">
        <f t="shared" si="1"/>
        <v>0</v>
      </c>
      <c r="J28" s="10">
        <v>4652</v>
      </c>
      <c r="K28" s="15">
        <f t="shared" si="2"/>
        <v>-102</v>
      </c>
    </row>
    <row r="29" spans="1:1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v>0</v>
      </c>
      <c r="H29" s="10">
        <f t="shared" si="0"/>
        <v>0</v>
      </c>
      <c r="I29" s="10">
        <f t="shared" si="1"/>
        <v>-5054</v>
      </c>
      <c r="J29" s="10">
        <v>5054</v>
      </c>
      <c r="K29" s="15">
        <f t="shared" si="2"/>
        <v>0</v>
      </c>
    </row>
    <row r="30" spans="1:1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v>0</v>
      </c>
      <c r="H30" s="10">
        <f t="shared" si="0"/>
        <v>0</v>
      </c>
      <c r="I30" s="10">
        <f t="shared" si="1"/>
        <v>-4549</v>
      </c>
      <c r="J30" s="10">
        <v>4549</v>
      </c>
      <c r="K30" s="15">
        <f t="shared" si="2"/>
        <v>0</v>
      </c>
    </row>
    <row r="31" spans="1:1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v>0</v>
      </c>
      <c r="H31" s="10">
        <f t="shared" si="0"/>
        <v>0</v>
      </c>
      <c r="I31" s="10">
        <f t="shared" si="1"/>
        <v>-4549</v>
      </c>
      <c r="J31" s="10">
        <v>4549</v>
      </c>
      <c r="K31" s="15">
        <f t="shared" si="2"/>
        <v>0</v>
      </c>
    </row>
    <row r="32" spans="1:1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4137</v>
      </c>
      <c r="G32">
        <v>0</v>
      </c>
      <c r="H32" s="10">
        <f t="shared" si="0"/>
        <v>0</v>
      </c>
      <c r="I32" s="10">
        <f t="shared" si="1"/>
        <v>-4137</v>
      </c>
      <c r="J32" s="10">
        <v>4137</v>
      </c>
      <c r="K32" s="15">
        <f t="shared" si="2"/>
        <v>0</v>
      </c>
    </row>
    <row r="33" spans="1:1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v>0</v>
      </c>
      <c r="H33" s="10">
        <f t="shared" si="0"/>
        <v>0</v>
      </c>
      <c r="I33" s="10">
        <f t="shared" si="1"/>
        <v>-7004</v>
      </c>
      <c r="J33" s="10">
        <v>7004</v>
      </c>
      <c r="K33" s="15">
        <f t="shared" si="2"/>
        <v>0</v>
      </c>
    </row>
    <row r="34" spans="1:1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v>8185</v>
      </c>
      <c r="G34">
        <v>0</v>
      </c>
      <c r="H34" s="10">
        <f t="shared" si="0"/>
        <v>0</v>
      </c>
      <c r="I34" s="10">
        <f t="shared" si="1"/>
        <v>-8185</v>
      </c>
      <c r="J34" s="10">
        <v>8185</v>
      </c>
      <c r="K34" s="15">
        <f t="shared" si="2"/>
        <v>0</v>
      </c>
    </row>
    <row r="35" spans="1:11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5054</v>
      </c>
      <c r="G35">
        <v>0</v>
      </c>
      <c r="H35" s="10">
        <f t="shared" si="0"/>
        <v>0</v>
      </c>
      <c r="I35" s="10">
        <f t="shared" si="1"/>
        <v>-5054</v>
      </c>
      <c r="J35" s="10">
        <v>8185</v>
      </c>
      <c r="K35" s="15">
        <f t="shared" si="2"/>
        <v>3131</v>
      </c>
    </row>
    <row r="36" spans="1:1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3339</v>
      </c>
      <c r="G36">
        <v>3.339</v>
      </c>
      <c r="H36" s="10">
        <f t="shared" si="0"/>
        <v>3339</v>
      </c>
      <c r="I36" s="10">
        <f t="shared" si="1"/>
        <v>0</v>
      </c>
      <c r="J36" s="10">
        <v>3361</v>
      </c>
      <c r="K36" s="15">
        <f t="shared" si="2"/>
        <v>22</v>
      </c>
    </row>
    <row r="37" spans="1:1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v>0</v>
      </c>
      <c r="H37" s="10">
        <f t="shared" si="0"/>
        <v>0</v>
      </c>
      <c r="I37" s="10">
        <f t="shared" si="1"/>
        <v>-3356.52</v>
      </c>
      <c r="J37" s="10">
        <v>3356.52</v>
      </c>
      <c r="K37" s="15">
        <f t="shared" si="2"/>
        <v>0</v>
      </c>
    </row>
    <row r="38" spans="1:1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3183</v>
      </c>
      <c r="G38">
        <v>3.1829999999999998</v>
      </c>
      <c r="H38" s="10">
        <f t="shared" si="0"/>
        <v>3183</v>
      </c>
      <c r="I38" s="10">
        <f t="shared" si="1"/>
        <v>0</v>
      </c>
      <c r="J38" s="10">
        <v>3244</v>
      </c>
      <c r="K38" s="15">
        <f t="shared" si="2"/>
        <v>61</v>
      </c>
    </row>
    <row r="39" spans="1:1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v>0</v>
      </c>
      <c r="H39" s="10">
        <f t="shared" si="0"/>
        <v>0</v>
      </c>
      <c r="I39" s="10">
        <f t="shared" si="1"/>
        <v>-3356.52</v>
      </c>
      <c r="J39" s="10">
        <v>3356.52</v>
      </c>
      <c r="K39" s="15">
        <f t="shared" si="2"/>
        <v>0</v>
      </c>
    </row>
    <row r="40" spans="1:11" x14ac:dyDescent="0.25">
      <c r="A40" s="1" t="s">
        <v>68</v>
      </c>
      <c r="B40" s="1"/>
      <c r="C40" s="1"/>
      <c r="D40" s="1">
        <v>110</v>
      </c>
      <c r="E40" s="2">
        <v>4161.9400000000005</v>
      </c>
      <c r="G40">
        <v>0</v>
      </c>
      <c r="H40" s="10">
        <f t="shared" si="0"/>
        <v>0</v>
      </c>
      <c r="I40" s="10">
        <f t="shared" si="1"/>
        <v>-4161.9400000000005</v>
      </c>
      <c r="J40" s="10">
        <v>4161.9400000000005</v>
      </c>
      <c r="K40" s="15">
        <f t="shared" si="2"/>
        <v>0</v>
      </c>
    </row>
    <row r="41" spans="1:1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v>0</v>
      </c>
      <c r="H41" s="10">
        <f t="shared" si="0"/>
        <v>0</v>
      </c>
      <c r="I41" s="10">
        <f t="shared" si="1"/>
        <v>-3101</v>
      </c>
      <c r="J41" s="10">
        <v>3101</v>
      </c>
      <c r="K41" s="15">
        <f t="shared" si="2"/>
        <v>0</v>
      </c>
    </row>
    <row r="42" spans="1:1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3382</v>
      </c>
      <c r="G42">
        <v>3.3820000000000001</v>
      </c>
      <c r="H42" s="10">
        <f t="shared" si="0"/>
        <v>3382</v>
      </c>
      <c r="I42" s="10">
        <f t="shared" si="1"/>
        <v>0</v>
      </c>
      <c r="J42" s="10">
        <v>3341</v>
      </c>
      <c r="K42" s="15">
        <f t="shared" si="2"/>
        <v>-41</v>
      </c>
    </row>
    <row r="43" spans="1:1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v>0</v>
      </c>
      <c r="H43" s="10">
        <f t="shared" si="0"/>
        <v>0</v>
      </c>
      <c r="I43" s="10">
        <f t="shared" si="1"/>
        <v>-3352</v>
      </c>
      <c r="J43" s="10">
        <v>3352</v>
      </c>
      <c r="K43" s="15">
        <f t="shared" si="2"/>
        <v>0</v>
      </c>
    </row>
    <row r="44" spans="1:1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v>0</v>
      </c>
      <c r="H44" s="10">
        <f t="shared" si="0"/>
        <v>0</v>
      </c>
      <c r="I44" s="10">
        <f t="shared" si="1"/>
        <v>-3356.52</v>
      </c>
      <c r="J44" s="10">
        <v>3356.52</v>
      </c>
      <c r="K44" s="15">
        <f t="shared" si="2"/>
        <v>0</v>
      </c>
    </row>
    <row r="45" spans="1:1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v>0</v>
      </c>
      <c r="H45" s="10">
        <f t="shared" si="0"/>
        <v>0</v>
      </c>
      <c r="I45" s="10">
        <f t="shared" si="1"/>
        <v>-3356.52</v>
      </c>
      <c r="J45" s="10">
        <v>3356.52</v>
      </c>
      <c r="K45" s="15">
        <f t="shared" si="2"/>
        <v>0</v>
      </c>
    </row>
    <row r="46" spans="1:1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v>0</v>
      </c>
      <c r="H46" s="10">
        <f t="shared" si="0"/>
        <v>0</v>
      </c>
      <c r="I46" s="10">
        <f t="shared" si="1"/>
        <v>-3356.52</v>
      </c>
      <c r="J46" s="10">
        <v>3356.52</v>
      </c>
      <c r="K46" s="15">
        <f t="shared" si="2"/>
        <v>0</v>
      </c>
    </row>
    <row r="47" spans="1:11" x14ac:dyDescent="0.25">
      <c r="A47" s="1" t="s">
        <v>76</v>
      </c>
      <c r="B47" s="1"/>
      <c r="C47" s="1" t="s">
        <v>9</v>
      </c>
      <c r="D47" s="1">
        <v>100</v>
      </c>
      <c r="E47" s="2">
        <v>4161.9400000000005</v>
      </c>
      <c r="G47">
        <v>0</v>
      </c>
      <c r="H47" s="10">
        <f t="shared" si="0"/>
        <v>0</v>
      </c>
      <c r="I47" s="10">
        <f t="shared" si="1"/>
        <v>-4161.9400000000005</v>
      </c>
      <c r="J47" s="10">
        <v>4161.9400000000005</v>
      </c>
      <c r="K47" s="15">
        <f t="shared" si="2"/>
        <v>0</v>
      </c>
    </row>
    <row r="48" spans="1:11" x14ac:dyDescent="0.25">
      <c r="A48" s="1" t="s">
        <v>77</v>
      </c>
      <c r="B48" s="1"/>
      <c r="C48" s="1" t="s">
        <v>9</v>
      </c>
      <c r="D48" s="1">
        <v>80</v>
      </c>
      <c r="E48" s="2">
        <v>4161.9400000000005</v>
      </c>
      <c r="G48">
        <v>0</v>
      </c>
      <c r="H48" s="10">
        <f t="shared" si="0"/>
        <v>0</v>
      </c>
      <c r="I48" s="10">
        <f t="shared" si="1"/>
        <v>-4161.9400000000005</v>
      </c>
      <c r="J48" s="10">
        <v>4161.9400000000005</v>
      </c>
      <c r="K48" s="15">
        <f t="shared" si="2"/>
        <v>0</v>
      </c>
    </row>
    <row r="49" spans="1:11" x14ac:dyDescent="0.25">
      <c r="A49" s="1" t="s">
        <v>78</v>
      </c>
      <c r="B49" s="1"/>
      <c r="C49" s="1" t="s">
        <v>9</v>
      </c>
      <c r="D49" s="1">
        <v>110</v>
      </c>
      <c r="E49" s="2">
        <v>4161.9400000000005</v>
      </c>
      <c r="G49">
        <v>0</v>
      </c>
      <c r="H49" s="10">
        <f t="shared" si="0"/>
        <v>0</v>
      </c>
      <c r="I49" s="10">
        <f t="shared" si="1"/>
        <v>-4161.9400000000005</v>
      </c>
      <c r="J49" s="10">
        <v>4161.9400000000005</v>
      </c>
      <c r="K49" s="15">
        <f t="shared" si="2"/>
        <v>0</v>
      </c>
    </row>
    <row r="50" spans="1:11" x14ac:dyDescent="0.25">
      <c r="A50" s="1" t="s">
        <v>79</v>
      </c>
      <c r="B50" s="1"/>
      <c r="C50" s="1" t="s">
        <v>9</v>
      </c>
      <c r="D50" s="1">
        <v>120</v>
      </c>
      <c r="E50" s="2">
        <v>4161.9400000000005</v>
      </c>
      <c r="G50">
        <v>0</v>
      </c>
      <c r="H50" s="10">
        <f t="shared" si="0"/>
        <v>0</v>
      </c>
      <c r="I50" s="10">
        <f t="shared" si="1"/>
        <v>-4161.9400000000005</v>
      </c>
      <c r="J50" s="10">
        <v>4161.9400000000005</v>
      </c>
      <c r="K50" s="15">
        <f t="shared" si="2"/>
        <v>0</v>
      </c>
    </row>
    <row r="51" spans="1:11" x14ac:dyDescent="0.25">
      <c r="A51" s="1" t="s">
        <v>80</v>
      </c>
      <c r="B51" s="1"/>
      <c r="C51" s="1" t="s">
        <v>9</v>
      </c>
      <c r="D51" s="1">
        <v>140</v>
      </c>
      <c r="E51" s="2">
        <v>4161.9400000000005</v>
      </c>
      <c r="G51">
        <v>0</v>
      </c>
      <c r="H51" s="10">
        <f t="shared" si="0"/>
        <v>0</v>
      </c>
      <c r="I51" s="10">
        <f t="shared" si="1"/>
        <v>-4161.9400000000005</v>
      </c>
      <c r="J51" s="10">
        <v>4161.9400000000005</v>
      </c>
      <c r="K51" s="15">
        <f t="shared" si="2"/>
        <v>0</v>
      </c>
    </row>
    <row r="52" spans="1:11" x14ac:dyDescent="0.25">
      <c r="A52" s="1" t="s">
        <v>81</v>
      </c>
      <c r="B52" s="1"/>
      <c r="C52" s="1"/>
      <c r="D52" s="1">
        <v>160</v>
      </c>
      <c r="E52" s="2">
        <v>4161.9400000000005</v>
      </c>
      <c r="G52">
        <v>0</v>
      </c>
      <c r="H52" s="10">
        <f t="shared" si="0"/>
        <v>0</v>
      </c>
      <c r="I52" s="10">
        <f t="shared" si="1"/>
        <v>-4161.9400000000005</v>
      </c>
      <c r="J52" s="10">
        <v>4161.9400000000005</v>
      </c>
      <c r="K52" s="15">
        <f t="shared" si="2"/>
        <v>0</v>
      </c>
    </row>
    <row r="53" spans="1:11" x14ac:dyDescent="0.25">
      <c r="A53" s="1" t="s">
        <v>82</v>
      </c>
      <c r="B53" s="1"/>
      <c r="C53" s="1" t="s">
        <v>9</v>
      </c>
      <c r="D53" s="1">
        <v>185</v>
      </c>
      <c r="E53" s="2">
        <v>4162</v>
      </c>
      <c r="G53">
        <v>0</v>
      </c>
      <c r="H53" s="10">
        <f t="shared" si="0"/>
        <v>0</v>
      </c>
      <c r="I53" s="10">
        <f t="shared" si="1"/>
        <v>-4162</v>
      </c>
      <c r="J53" s="10">
        <v>4162</v>
      </c>
      <c r="K53" s="15">
        <f t="shared" si="2"/>
        <v>0</v>
      </c>
    </row>
    <row r="54" spans="1:11" x14ac:dyDescent="0.25">
      <c r="A54" s="1" t="s">
        <v>83</v>
      </c>
      <c r="B54" s="1"/>
      <c r="C54" s="1" t="s">
        <v>9</v>
      </c>
      <c r="D54" s="1">
        <v>140</v>
      </c>
      <c r="E54" s="2">
        <v>4162</v>
      </c>
      <c r="G54">
        <v>0</v>
      </c>
      <c r="H54" s="10">
        <f t="shared" si="0"/>
        <v>0</v>
      </c>
      <c r="I54" s="10">
        <f t="shared" si="1"/>
        <v>-4162</v>
      </c>
      <c r="J54" s="10">
        <v>4162</v>
      </c>
      <c r="K54" s="15">
        <f t="shared" si="2"/>
        <v>0</v>
      </c>
    </row>
    <row r="55" spans="1:1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v>0</v>
      </c>
      <c r="H55" s="10">
        <f t="shared" si="0"/>
        <v>0</v>
      </c>
      <c r="I55" s="10">
        <f t="shared" si="1"/>
        <v>-4161.9400000000005</v>
      </c>
      <c r="J55" s="10">
        <v>4161.9400000000005</v>
      </c>
      <c r="K55" s="15">
        <f t="shared" si="2"/>
        <v>0</v>
      </c>
    </row>
    <row r="56" spans="1:11" x14ac:dyDescent="0.25">
      <c r="A56" s="1" t="s">
        <v>86</v>
      </c>
      <c r="B56" s="1" t="s">
        <v>87</v>
      </c>
      <c r="C56" s="1"/>
      <c r="D56" s="1">
        <v>180</v>
      </c>
      <c r="E56" s="2">
        <v>4161.9400000000005</v>
      </c>
      <c r="G56">
        <v>0</v>
      </c>
      <c r="H56" s="10">
        <f t="shared" si="0"/>
        <v>0</v>
      </c>
      <c r="I56" s="10">
        <f t="shared" si="1"/>
        <v>-4161.9400000000005</v>
      </c>
      <c r="J56" s="10">
        <v>4161.9400000000005</v>
      </c>
      <c r="K56" s="15">
        <f t="shared" si="2"/>
        <v>0</v>
      </c>
    </row>
    <row r="57" spans="1:1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v>4161.9400000000005</v>
      </c>
      <c r="G57">
        <v>0</v>
      </c>
      <c r="H57" s="10">
        <f t="shared" si="0"/>
        <v>0</v>
      </c>
      <c r="I57" s="10">
        <f t="shared" si="1"/>
        <v>-4161.9400000000005</v>
      </c>
      <c r="J57" s="10">
        <v>4161.9400000000005</v>
      </c>
      <c r="K57" s="15">
        <f t="shared" si="2"/>
        <v>0</v>
      </c>
    </row>
    <row r="58" spans="1:11" x14ac:dyDescent="0.25">
      <c r="A58" s="1" t="s">
        <v>95</v>
      </c>
      <c r="B58" s="1"/>
      <c r="C58" s="1"/>
      <c r="D58" s="1">
        <v>125</v>
      </c>
      <c r="E58" s="7">
        <v>9960</v>
      </c>
      <c r="G58">
        <v>9.9600000000000009</v>
      </c>
      <c r="H58" s="10">
        <f t="shared" si="0"/>
        <v>9960</v>
      </c>
      <c r="I58" s="10">
        <f t="shared" si="1"/>
        <v>0</v>
      </c>
      <c r="J58" s="10">
        <v>9960</v>
      </c>
      <c r="K58" s="15">
        <f t="shared" si="2"/>
        <v>0</v>
      </c>
    </row>
    <row r="59" spans="1:1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v>0</v>
      </c>
      <c r="H59" s="10">
        <f t="shared" si="0"/>
        <v>0</v>
      </c>
      <c r="I59" s="10">
        <f t="shared" si="1"/>
        <v>-4434</v>
      </c>
      <c r="J59" s="10">
        <v>4434</v>
      </c>
      <c r="K59" s="15">
        <f t="shared" si="2"/>
        <v>0</v>
      </c>
    </row>
    <row r="60" spans="1:11" x14ac:dyDescent="0.25">
      <c r="A60" s="1" t="s">
        <v>98</v>
      </c>
      <c r="B60" s="1"/>
      <c r="C60" s="1"/>
      <c r="D60" s="1">
        <v>126</v>
      </c>
      <c r="E60" s="2">
        <v>4085</v>
      </c>
      <c r="G60">
        <v>0</v>
      </c>
      <c r="H60" s="10">
        <f t="shared" si="0"/>
        <v>0</v>
      </c>
      <c r="I60" s="10">
        <f t="shared" si="1"/>
        <v>-4085</v>
      </c>
      <c r="J60" s="10">
        <v>4085</v>
      </c>
      <c r="K60" s="15">
        <f t="shared" si="2"/>
        <v>0</v>
      </c>
    </row>
    <row r="61" spans="1:11" x14ac:dyDescent="0.25">
      <c r="A61" s="1" t="s">
        <v>99</v>
      </c>
      <c r="B61" s="1"/>
      <c r="C61" s="1"/>
      <c r="D61" s="1">
        <v>90</v>
      </c>
      <c r="E61" s="2">
        <v>4866.7</v>
      </c>
      <c r="G61">
        <v>0</v>
      </c>
      <c r="H61" s="10">
        <f t="shared" si="0"/>
        <v>0</v>
      </c>
      <c r="I61" s="10">
        <f t="shared" si="1"/>
        <v>-4866.7</v>
      </c>
      <c r="J61" s="10">
        <v>4866.7</v>
      </c>
      <c r="K61" s="15">
        <f t="shared" si="2"/>
        <v>0</v>
      </c>
    </row>
    <row r="62" spans="1:11" x14ac:dyDescent="0.25">
      <c r="A62" s="1" t="s">
        <v>100</v>
      </c>
      <c r="B62" s="1"/>
      <c r="C62" s="1"/>
      <c r="D62" s="1">
        <v>220</v>
      </c>
      <c r="E62" s="2"/>
      <c r="G62">
        <v>0</v>
      </c>
      <c r="H62" s="10">
        <f t="shared" si="0"/>
        <v>0</v>
      </c>
      <c r="I62" s="10">
        <f t="shared" si="1"/>
        <v>0</v>
      </c>
      <c r="K62" s="15">
        <f t="shared" si="2"/>
        <v>0</v>
      </c>
    </row>
    <row r="63" spans="1:11" x14ac:dyDescent="0.25">
      <c r="A63" s="1" t="s">
        <v>101</v>
      </c>
      <c r="B63" s="1"/>
      <c r="C63" s="1"/>
      <c r="D63" s="1">
        <v>300</v>
      </c>
      <c r="E63" s="2">
        <v>4137</v>
      </c>
      <c r="G63">
        <v>0</v>
      </c>
      <c r="H63" s="10">
        <f t="shared" si="0"/>
        <v>0</v>
      </c>
      <c r="I63" s="10">
        <f t="shared" si="1"/>
        <v>-4137</v>
      </c>
      <c r="J63" s="10">
        <v>4137</v>
      </c>
      <c r="K63" s="15">
        <f t="shared" si="2"/>
        <v>0</v>
      </c>
    </row>
    <row r="64" spans="1:11" x14ac:dyDescent="0.25">
      <c r="A64" s="1" t="s">
        <v>102</v>
      </c>
      <c r="B64" s="1"/>
      <c r="C64" s="1"/>
      <c r="D64" s="1">
        <v>150</v>
      </c>
      <c r="E64" s="7">
        <v>5289.26</v>
      </c>
      <c r="G64">
        <v>0</v>
      </c>
      <c r="H64" s="10">
        <f t="shared" si="0"/>
        <v>0</v>
      </c>
      <c r="I64" s="10">
        <f t="shared" si="1"/>
        <v>-5289.26</v>
      </c>
      <c r="J64" s="10">
        <v>5289.26</v>
      </c>
      <c r="K64" s="15">
        <f t="shared" si="2"/>
        <v>0</v>
      </c>
    </row>
    <row r="65" spans="1:11" x14ac:dyDescent="0.25">
      <c r="A65" s="1" t="s">
        <v>103</v>
      </c>
      <c r="B65" s="1"/>
      <c r="C65" s="1"/>
      <c r="D65" s="1">
        <v>160</v>
      </c>
      <c r="E65" s="2">
        <v>4866.7</v>
      </c>
      <c r="G65">
        <v>0</v>
      </c>
      <c r="H65" s="10">
        <f t="shared" si="0"/>
        <v>0</v>
      </c>
      <c r="I65" s="10">
        <f t="shared" si="1"/>
        <v>-4866.7</v>
      </c>
      <c r="J65" s="10">
        <v>4866.7</v>
      </c>
      <c r="K65" s="15">
        <f t="shared" si="2"/>
        <v>0</v>
      </c>
    </row>
    <row r="66" spans="1:11" x14ac:dyDescent="0.25">
      <c r="A66" s="1" t="s">
        <v>104</v>
      </c>
      <c r="B66" s="1"/>
      <c r="C66" s="1"/>
      <c r="D66" s="1">
        <v>120</v>
      </c>
      <c r="E66" s="2">
        <v>4866.7</v>
      </c>
      <c r="G66">
        <v>0</v>
      </c>
      <c r="H66" s="10">
        <f t="shared" si="0"/>
        <v>0</v>
      </c>
      <c r="I66" s="10">
        <f t="shared" si="1"/>
        <v>-4866.7</v>
      </c>
      <c r="J66" s="10">
        <v>4866.7</v>
      </c>
      <c r="K66" s="15">
        <f t="shared" si="2"/>
        <v>0</v>
      </c>
    </row>
    <row r="67" spans="1:11" x14ac:dyDescent="0.25">
      <c r="A67" s="1" t="s">
        <v>105</v>
      </c>
      <c r="B67" s="1"/>
      <c r="C67" s="1"/>
      <c r="D67" s="1">
        <v>190</v>
      </c>
      <c r="E67" s="2">
        <v>7220.34</v>
      </c>
      <c r="G67">
        <v>0</v>
      </c>
      <c r="H67" s="10">
        <f t="shared" si="0"/>
        <v>0</v>
      </c>
      <c r="I67" s="10">
        <f t="shared" si="1"/>
        <v>-7220.34</v>
      </c>
      <c r="J67" s="10">
        <v>7220.34</v>
      </c>
      <c r="K67" s="15">
        <f t="shared" si="2"/>
        <v>0</v>
      </c>
    </row>
    <row r="68" spans="1:11" x14ac:dyDescent="0.25">
      <c r="A68" s="1" t="s">
        <v>106</v>
      </c>
      <c r="B68" s="1"/>
      <c r="C68" s="1"/>
      <c r="D68" s="1">
        <v>200</v>
      </c>
      <c r="E68" s="2">
        <v>7220.34</v>
      </c>
      <c r="G68">
        <v>0</v>
      </c>
      <c r="H68" s="10">
        <f t="shared" ref="H68:H87" si="3">G68*1000</f>
        <v>0</v>
      </c>
      <c r="I68" s="10">
        <f t="shared" ref="I68:I87" si="4">H68-E68</f>
        <v>-7220.34</v>
      </c>
      <c r="J68" s="10">
        <v>7220.34</v>
      </c>
      <c r="K68" s="15">
        <f t="shared" ref="K68:K89" si="5">J68-E68</f>
        <v>0</v>
      </c>
    </row>
    <row r="69" spans="1:11" x14ac:dyDescent="0.25">
      <c r="A69" s="1" t="s">
        <v>107</v>
      </c>
      <c r="B69" s="1"/>
      <c r="C69" s="1"/>
      <c r="D69" s="1">
        <v>205</v>
      </c>
      <c r="E69" s="2">
        <v>6847</v>
      </c>
      <c r="G69">
        <v>0</v>
      </c>
      <c r="H69" s="10">
        <f t="shared" si="3"/>
        <v>0</v>
      </c>
      <c r="I69" s="10">
        <f t="shared" si="4"/>
        <v>-6847</v>
      </c>
      <c r="J69" s="10">
        <v>6847</v>
      </c>
      <c r="K69" s="15">
        <f t="shared" si="5"/>
        <v>0</v>
      </c>
    </row>
    <row r="70" spans="1:11" x14ac:dyDescent="0.25">
      <c r="A70" s="1" t="s">
        <v>108</v>
      </c>
      <c r="B70" s="1"/>
      <c r="C70" s="1"/>
      <c r="D70" s="1">
        <v>110</v>
      </c>
      <c r="E70" s="2">
        <v>4162</v>
      </c>
      <c r="G70">
        <v>0</v>
      </c>
      <c r="H70" s="10">
        <f t="shared" si="3"/>
        <v>0</v>
      </c>
      <c r="I70" s="10">
        <f t="shared" si="4"/>
        <v>-4162</v>
      </c>
      <c r="J70" s="10">
        <v>4162</v>
      </c>
      <c r="K70" s="15">
        <f t="shared" si="5"/>
        <v>0</v>
      </c>
    </row>
    <row r="71" spans="1:11" x14ac:dyDescent="0.25">
      <c r="A71" s="1" t="s">
        <v>109</v>
      </c>
      <c r="B71" s="1"/>
      <c r="C71" s="1"/>
      <c r="D71" s="1">
        <v>227</v>
      </c>
      <c r="E71" s="2">
        <v>7220.34</v>
      </c>
      <c r="G71">
        <v>0</v>
      </c>
      <c r="H71" s="10">
        <f t="shared" si="3"/>
        <v>0</v>
      </c>
      <c r="I71" s="10">
        <f t="shared" si="4"/>
        <v>-7220.34</v>
      </c>
      <c r="J71" s="10">
        <v>7220.34</v>
      </c>
      <c r="K71" s="15">
        <f t="shared" si="5"/>
        <v>0</v>
      </c>
    </row>
    <row r="72" spans="1:11" x14ac:dyDescent="0.25">
      <c r="A72" s="1" t="s">
        <v>110</v>
      </c>
      <c r="B72" s="1"/>
      <c r="C72" s="1"/>
      <c r="D72" s="1">
        <v>135</v>
      </c>
      <c r="E72" s="2">
        <v>3103.58</v>
      </c>
      <c r="G72">
        <v>0</v>
      </c>
      <c r="H72" s="10">
        <f t="shared" si="3"/>
        <v>0</v>
      </c>
      <c r="I72" s="10">
        <f t="shared" si="4"/>
        <v>-3103.58</v>
      </c>
      <c r="J72" s="10">
        <v>3103.58</v>
      </c>
      <c r="K72" s="15">
        <f t="shared" si="5"/>
        <v>0</v>
      </c>
    </row>
    <row r="73" spans="1:11" x14ac:dyDescent="0.25">
      <c r="A73" s="1" t="s">
        <v>111</v>
      </c>
      <c r="B73" s="1"/>
      <c r="C73" s="1"/>
      <c r="D73" s="1">
        <v>75</v>
      </c>
      <c r="E73" s="2">
        <v>5075</v>
      </c>
      <c r="G73">
        <v>0</v>
      </c>
      <c r="H73" s="10">
        <f t="shared" si="3"/>
        <v>0</v>
      </c>
      <c r="I73" s="10">
        <f t="shared" si="4"/>
        <v>-5075</v>
      </c>
      <c r="J73" s="10">
        <v>5075</v>
      </c>
      <c r="K73" s="15">
        <f t="shared" si="5"/>
        <v>0</v>
      </c>
    </row>
    <row r="74" spans="1:11" x14ac:dyDescent="0.25">
      <c r="A74" s="1" t="s">
        <v>112</v>
      </c>
      <c r="B74" s="1"/>
      <c r="C74" s="1"/>
      <c r="D74" s="1">
        <v>90</v>
      </c>
      <c r="E74" s="2">
        <v>3103.58</v>
      </c>
      <c r="G74">
        <v>0</v>
      </c>
      <c r="H74" s="10">
        <f t="shared" si="3"/>
        <v>0</v>
      </c>
      <c r="I74" s="10">
        <f t="shared" si="4"/>
        <v>-3103.58</v>
      </c>
      <c r="J74" s="10">
        <v>3103.58</v>
      </c>
      <c r="K74" s="15">
        <f t="shared" si="5"/>
        <v>0</v>
      </c>
    </row>
    <row r="75" spans="1:11" x14ac:dyDescent="0.25">
      <c r="A75" s="1" t="s">
        <v>113</v>
      </c>
      <c r="B75" s="1"/>
      <c r="C75" s="1"/>
      <c r="D75" s="1">
        <v>160</v>
      </c>
      <c r="E75" s="2">
        <v>3103.58</v>
      </c>
      <c r="G75">
        <v>0</v>
      </c>
      <c r="H75" s="10">
        <f t="shared" si="3"/>
        <v>0</v>
      </c>
      <c r="I75" s="10">
        <f t="shared" si="4"/>
        <v>-3103.58</v>
      </c>
      <c r="J75" s="10">
        <v>3103.58</v>
      </c>
      <c r="K75" s="15">
        <f t="shared" si="5"/>
        <v>0</v>
      </c>
    </row>
    <row r="76" spans="1:11" x14ac:dyDescent="0.25">
      <c r="A76" s="1" t="s">
        <v>114</v>
      </c>
      <c r="B76" s="1"/>
      <c r="C76" s="1"/>
      <c r="D76" s="1">
        <v>120</v>
      </c>
      <c r="E76" s="2">
        <v>3352</v>
      </c>
      <c r="G76">
        <v>0</v>
      </c>
      <c r="H76" s="10">
        <f t="shared" si="3"/>
        <v>0</v>
      </c>
      <c r="I76" s="10">
        <f t="shared" si="4"/>
        <v>-3352</v>
      </c>
      <c r="J76" s="10">
        <v>3352</v>
      </c>
      <c r="K76" s="15">
        <f t="shared" si="5"/>
        <v>0</v>
      </c>
    </row>
    <row r="77" spans="1:11" x14ac:dyDescent="0.25">
      <c r="A77" s="1" t="s">
        <v>115</v>
      </c>
      <c r="B77" s="1"/>
      <c r="C77" s="1"/>
      <c r="D77" s="1">
        <v>150</v>
      </c>
      <c r="E77" s="7">
        <v>5289.26</v>
      </c>
      <c r="G77">
        <v>0</v>
      </c>
      <c r="H77" s="10">
        <f t="shared" si="3"/>
        <v>0</v>
      </c>
      <c r="I77" s="10">
        <f t="shared" si="4"/>
        <v>-5289.26</v>
      </c>
      <c r="J77" s="10">
        <v>5289.26</v>
      </c>
      <c r="K77" s="15">
        <f t="shared" si="5"/>
        <v>0</v>
      </c>
    </row>
    <row r="78" spans="1:11" x14ac:dyDescent="0.25">
      <c r="A78" s="1" t="s">
        <v>116</v>
      </c>
      <c r="B78" s="1"/>
      <c r="C78" s="1"/>
      <c r="D78" s="1">
        <v>100</v>
      </c>
      <c r="E78" s="2">
        <v>3103.58</v>
      </c>
      <c r="G78">
        <v>0</v>
      </c>
      <c r="H78" s="10">
        <f t="shared" si="3"/>
        <v>0</v>
      </c>
      <c r="I78" s="10">
        <f t="shared" si="4"/>
        <v>-3103.58</v>
      </c>
      <c r="J78" s="10">
        <v>3103.58</v>
      </c>
      <c r="K78" s="15">
        <f t="shared" si="5"/>
        <v>0</v>
      </c>
    </row>
    <row r="79" spans="1:11" x14ac:dyDescent="0.25">
      <c r="A79" s="1" t="s">
        <v>117</v>
      </c>
      <c r="B79" s="1"/>
      <c r="C79" s="1"/>
      <c r="D79" s="1">
        <v>120</v>
      </c>
      <c r="E79" s="2">
        <v>4162</v>
      </c>
      <c r="G79">
        <v>0</v>
      </c>
      <c r="H79" s="10">
        <f t="shared" si="3"/>
        <v>0</v>
      </c>
      <c r="I79" s="10">
        <f t="shared" si="4"/>
        <v>-4162</v>
      </c>
      <c r="J79" s="10">
        <v>4162</v>
      </c>
      <c r="K79" s="15">
        <f t="shared" si="5"/>
        <v>0</v>
      </c>
    </row>
    <row r="80" spans="1:11" x14ac:dyDescent="0.25">
      <c r="A80" s="1" t="s">
        <v>118</v>
      </c>
      <c r="B80" s="1"/>
      <c r="C80" s="1"/>
      <c r="D80" s="1">
        <v>90</v>
      </c>
      <c r="E80" s="2">
        <v>4162</v>
      </c>
      <c r="G80">
        <v>0</v>
      </c>
      <c r="H80" s="10">
        <f t="shared" si="3"/>
        <v>0</v>
      </c>
      <c r="I80" s="10">
        <f t="shared" si="4"/>
        <v>-4162</v>
      </c>
      <c r="J80" s="10">
        <v>4162</v>
      </c>
      <c r="K80" s="15">
        <f t="shared" si="5"/>
        <v>0</v>
      </c>
    </row>
    <row r="81" spans="1:11" x14ac:dyDescent="0.25">
      <c r="A81" s="1" t="s">
        <v>119</v>
      </c>
      <c r="B81" s="1"/>
      <c r="C81" s="1"/>
      <c r="D81" s="1">
        <v>105</v>
      </c>
      <c r="E81" s="2">
        <v>4443.6099999999997</v>
      </c>
      <c r="G81">
        <v>0</v>
      </c>
      <c r="H81" s="10">
        <f t="shared" si="3"/>
        <v>0</v>
      </c>
      <c r="I81" s="10">
        <f t="shared" si="4"/>
        <v>-4443.6099999999997</v>
      </c>
      <c r="J81" s="10">
        <v>4443.6099999999997</v>
      </c>
      <c r="K81" s="15">
        <f t="shared" si="5"/>
        <v>0</v>
      </c>
    </row>
    <row r="82" spans="1:11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v>0</v>
      </c>
      <c r="H82" s="10">
        <f t="shared" si="3"/>
        <v>0</v>
      </c>
      <c r="I82" s="10">
        <f t="shared" si="4"/>
        <v>-3268</v>
      </c>
      <c r="J82" s="10">
        <v>3268</v>
      </c>
      <c r="K82" s="15">
        <f t="shared" si="5"/>
        <v>0</v>
      </c>
    </row>
    <row r="83" spans="1:11" x14ac:dyDescent="0.25">
      <c r="A83" s="1" t="s">
        <v>121</v>
      </c>
      <c r="B83" s="1"/>
      <c r="C83" s="1"/>
      <c r="D83" s="1">
        <v>186</v>
      </c>
      <c r="E83" s="2">
        <v>4443.6099999999997</v>
      </c>
      <c r="G83">
        <v>0</v>
      </c>
      <c r="H83" s="10">
        <f t="shared" si="3"/>
        <v>0</v>
      </c>
      <c r="I83" s="10">
        <f t="shared" si="4"/>
        <v>-4443.6099999999997</v>
      </c>
      <c r="J83" s="10">
        <v>4443.6099999999997</v>
      </c>
      <c r="K83" s="15">
        <f t="shared" si="5"/>
        <v>0</v>
      </c>
    </row>
    <row r="84" spans="1:11" x14ac:dyDescent="0.25">
      <c r="A84" s="1" t="s">
        <v>152</v>
      </c>
      <c r="B84" s="1"/>
      <c r="C84" s="1"/>
      <c r="D84" s="1">
        <v>120</v>
      </c>
      <c r="E84" s="2">
        <v>4782</v>
      </c>
      <c r="G84">
        <v>0</v>
      </c>
      <c r="H84" s="10">
        <f t="shared" si="3"/>
        <v>0</v>
      </c>
      <c r="I84" s="10">
        <f t="shared" si="4"/>
        <v>-4782</v>
      </c>
      <c r="J84" s="10">
        <v>4782</v>
      </c>
      <c r="K84" s="15">
        <f t="shared" si="5"/>
        <v>0</v>
      </c>
    </row>
    <row r="85" spans="1:11" x14ac:dyDescent="0.25">
      <c r="A85" s="1" t="s">
        <v>153</v>
      </c>
      <c r="B85" s="1"/>
      <c r="C85" s="1"/>
      <c r="D85" s="1">
        <v>90</v>
      </c>
      <c r="E85" s="2">
        <v>4782</v>
      </c>
      <c r="G85">
        <v>0</v>
      </c>
      <c r="H85" s="10">
        <f t="shared" si="3"/>
        <v>0</v>
      </c>
      <c r="I85" s="10">
        <f t="shared" si="4"/>
        <v>-4782</v>
      </c>
      <c r="J85" s="10">
        <v>4782</v>
      </c>
      <c r="K85" s="15">
        <f t="shared" si="5"/>
        <v>0</v>
      </c>
    </row>
    <row r="86" spans="1:11" x14ac:dyDescent="0.25">
      <c r="A86" s="1" t="s">
        <v>154</v>
      </c>
      <c r="B86" s="1"/>
      <c r="C86" s="1"/>
      <c r="D86" s="1">
        <v>205</v>
      </c>
      <c r="E86" s="2">
        <v>7094</v>
      </c>
      <c r="G86">
        <v>0</v>
      </c>
      <c r="H86" s="10">
        <f t="shared" si="3"/>
        <v>0</v>
      </c>
      <c r="I86" s="10">
        <f t="shared" si="4"/>
        <v>-7094</v>
      </c>
      <c r="J86" s="10">
        <v>7094</v>
      </c>
      <c r="K86" s="15">
        <f t="shared" si="5"/>
        <v>0</v>
      </c>
    </row>
    <row r="87" spans="1:11" x14ac:dyDescent="0.25">
      <c r="A87" s="1" t="s">
        <v>155</v>
      </c>
      <c r="B87" s="1"/>
      <c r="C87" s="1"/>
      <c r="D87" s="1">
        <v>135</v>
      </c>
      <c r="E87" s="2">
        <v>4082</v>
      </c>
      <c r="G87">
        <v>0</v>
      </c>
      <c r="H87" s="10">
        <f t="shared" si="3"/>
        <v>0</v>
      </c>
      <c r="I87" s="10">
        <f t="shared" si="4"/>
        <v>-4082</v>
      </c>
      <c r="J87" s="10">
        <v>4082</v>
      </c>
      <c r="K87" s="15">
        <f t="shared" si="5"/>
        <v>0</v>
      </c>
    </row>
    <row r="88" spans="1:11" x14ac:dyDescent="0.25">
      <c r="A88" s="1" t="s">
        <v>158</v>
      </c>
      <c r="B88" s="1"/>
      <c r="C88" s="1"/>
      <c r="D88" s="1"/>
      <c r="E88" s="2"/>
      <c r="K88" s="15">
        <f t="shared" si="5"/>
        <v>0</v>
      </c>
    </row>
    <row r="89" spans="1:11" x14ac:dyDescent="0.25">
      <c r="A89" s="1" t="s">
        <v>159</v>
      </c>
      <c r="B89" s="1"/>
      <c r="C89" s="1"/>
      <c r="D89" s="1"/>
      <c r="E89" s="2"/>
      <c r="K89" s="15">
        <f t="shared" si="5"/>
        <v>0</v>
      </c>
    </row>
  </sheetData>
  <autoFilter ref="A1:I89" xr:uid="{338D838C-5815-40DE-B3CF-63F53FA2A530}"/>
  <conditionalFormatting sqref="A1:A83 A84:D86 A87:A1048576 B87:D89">
    <cfRule type="duplicateValues" dxfId="9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B71A-2F9E-4FFD-AF9D-EEBE0DFD877E}">
  <dimension ref="A1:K89"/>
  <sheetViews>
    <sheetView workbookViewId="0">
      <pane ySplit="1" topLeftCell="A77" activePane="bottomLeft" state="frozen"/>
      <selection pane="bottomLeft" activeCell="H85" sqref="H85"/>
    </sheetView>
  </sheetViews>
  <sheetFormatPr defaultRowHeight="15" x14ac:dyDescent="0.25"/>
  <cols>
    <col min="1" max="1" width="13.5703125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  <col min="10" max="10" width="9.5703125" style="10" bestFit="1" customWidth="1"/>
    <col min="11" max="11" width="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1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1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0</v>
      </c>
      <c r="H3" s="10">
        <f>G3*1000</f>
        <v>0</v>
      </c>
      <c r="I3" s="10">
        <f>H3-E3</f>
        <v>-7350</v>
      </c>
      <c r="J3" s="10">
        <v>7350</v>
      </c>
      <c r="K3" s="15">
        <f>J3-E3</f>
        <v>0</v>
      </c>
    </row>
    <row r="4" spans="1:11" x14ac:dyDescent="0.25">
      <c r="A4" s="1" t="s">
        <v>10</v>
      </c>
      <c r="B4" s="1" t="s">
        <v>11</v>
      </c>
      <c r="C4" s="1"/>
      <c r="D4" s="1">
        <v>75</v>
      </c>
      <c r="E4" s="2">
        <v>6023</v>
      </c>
      <c r="G4">
        <v>0</v>
      </c>
      <c r="H4" s="10">
        <f t="shared" ref="H4:H67" si="0">G4*1000</f>
        <v>0</v>
      </c>
      <c r="I4" s="10">
        <f t="shared" ref="I4:I67" si="1">H4-E4</f>
        <v>-6023</v>
      </c>
      <c r="J4" s="10">
        <v>6023</v>
      </c>
      <c r="K4" s="15">
        <f t="shared" ref="K4:K67" si="2">J4-E4</f>
        <v>0</v>
      </c>
    </row>
    <row r="5" spans="1:11" s="10" customFormat="1" x14ac:dyDescent="0.25">
      <c r="A5" s="1" t="s">
        <v>13</v>
      </c>
      <c r="B5" s="1"/>
      <c r="C5" s="1" t="s">
        <v>9</v>
      </c>
      <c r="D5" s="1">
        <v>100</v>
      </c>
      <c r="E5" s="2">
        <v>4522</v>
      </c>
      <c r="F5"/>
      <c r="G5">
        <v>0</v>
      </c>
      <c r="H5" s="10">
        <f t="shared" si="0"/>
        <v>0</v>
      </c>
      <c r="I5" s="10">
        <f t="shared" si="1"/>
        <v>-4522</v>
      </c>
      <c r="J5" s="10">
        <v>4522</v>
      </c>
      <c r="K5" s="15">
        <f t="shared" si="2"/>
        <v>0</v>
      </c>
    </row>
    <row r="6" spans="1:11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v>0</v>
      </c>
      <c r="H6" s="10">
        <f t="shared" si="0"/>
        <v>0</v>
      </c>
      <c r="I6" s="10">
        <f t="shared" si="1"/>
        <v>-2760</v>
      </c>
      <c r="J6" s="10">
        <v>2760</v>
      </c>
      <c r="K6" s="15">
        <f t="shared" si="2"/>
        <v>0</v>
      </c>
    </row>
    <row r="7" spans="1:11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4801</v>
      </c>
      <c r="F7"/>
      <c r="G7">
        <v>0</v>
      </c>
      <c r="H7" s="10">
        <f t="shared" si="0"/>
        <v>0</v>
      </c>
      <c r="I7" s="10">
        <f t="shared" si="1"/>
        <v>-4801</v>
      </c>
      <c r="J7" s="10">
        <v>4801</v>
      </c>
      <c r="K7" s="15">
        <f t="shared" si="2"/>
        <v>0</v>
      </c>
    </row>
    <row r="8" spans="1:11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4785</v>
      </c>
      <c r="F8"/>
      <c r="G8">
        <v>4.7850000000000001</v>
      </c>
      <c r="H8" s="10">
        <f t="shared" si="0"/>
        <v>4785</v>
      </c>
      <c r="I8" s="10">
        <f t="shared" si="1"/>
        <v>0</v>
      </c>
      <c r="J8" s="10">
        <v>4682</v>
      </c>
      <c r="K8" s="15">
        <f t="shared" si="2"/>
        <v>-103</v>
      </c>
    </row>
    <row r="9" spans="1:11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v>0</v>
      </c>
      <c r="H9" s="10">
        <f t="shared" si="0"/>
        <v>0</v>
      </c>
      <c r="I9" s="10">
        <f t="shared" si="1"/>
        <v>-5394</v>
      </c>
      <c r="J9" s="10">
        <v>5394</v>
      </c>
      <c r="K9" s="15">
        <f t="shared" si="2"/>
        <v>0</v>
      </c>
    </row>
    <row r="10" spans="1:11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4851</v>
      </c>
      <c r="F10"/>
      <c r="G10">
        <v>4.851</v>
      </c>
      <c r="H10" s="10">
        <f>G10*1000</f>
        <v>4851</v>
      </c>
      <c r="I10" s="10">
        <f>H10-E10</f>
        <v>0</v>
      </c>
      <c r="J10" s="10">
        <v>5975</v>
      </c>
      <c r="K10" s="15">
        <f>J10-E10</f>
        <v>1124</v>
      </c>
    </row>
    <row r="11" spans="1:11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5041</v>
      </c>
      <c r="F11"/>
      <c r="G11">
        <v>5.0410000000000004</v>
      </c>
      <c r="H11" s="10">
        <f t="shared" si="0"/>
        <v>5041</v>
      </c>
      <c r="I11" s="10">
        <f t="shared" si="1"/>
        <v>0</v>
      </c>
      <c r="J11" s="10">
        <v>4806</v>
      </c>
      <c r="K11" s="15">
        <f t="shared" si="2"/>
        <v>-235</v>
      </c>
    </row>
    <row r="12" spans="1:11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v>0</v>
      </c>
      <c r="H12" s="10">
        <f t="shared" si="0"/>
        <v>0</v>
      </c>
      <c r="I12" s="10">
        <f t="shared" si="1"/>
        <v>-7796</v>
      </c>
      <c r="J12" s="10">
        <v>7796</v>
      </c>
      <c r="K12" s="15">
        <f t="shared" si="2"/>
        <v>0</v>
      </c>
    </row>
    <row r="13" spans="1:11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v>0</v>
      </c>
      <c r="H13" s="10">
        <f t="shared" si="0"/>
        <v>0</v>
      </c>
      <c r="I13" s="10">
        <f t="shared" si="1"/>
        <v>-7154</v>
      </c>
      <c r="J13" s="10">
        <v>7154</v>
      </c>
      <c r="K13" s="15">
        <f t="shared" si="2"/>
        <v>0</v>
      </c>
    </row>
    <row r="14" spans="1:11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6023</v>
      </c>
      <c r="F14"/>
      <c r="G14">
        <v>0</v>
      </c>
      <c r="H14" s="10">
        <f t="shared" si="0"/>
        <v>0</v>
      </c>
      <c r="I14" s="10">
        <f t="shared" si="1"/>
        <v>-6023</v>
      </c>
      <c r="J14" s="10">
        <v>6023</v>
      </c>
      <c r="K14" s="15">
        <f t="shared" si="2"/>
        <v>0</v>
      </c>
    </row>
    <row r="15" spans="1:11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6770</v>
      </c>
      <c r="F15"/>
      <c r="G15">
        <v>0</v>
      </c>
      <c r="H15" s="10">
        <f>G15*1000</f>
        <v>0</v>
      </c>
      <c r="I15" s="10">
        <f>H15-E15</f>
        <v>-6770</v>
      </c>
      <c r="J15" s="10">
        <v>6847</v>
      </c>
      <c r="K15" s="15">
        <f t="shared" si="2"/>
        <v>77</v>
      </c>
    </row>
    <row r="16" spans="1:11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v>0</v>
      </c>
      <c r="H16" s="10">
        <f t="shared" si="0"/>
        <v>0</v>
      </c>
      <c r="I16" s="10">
        <f t="shared" si="1"/>
        <v>-3971</v>
      </c>
      <c r="J16" s="10">
        <v>3971</v>
      </c>
      <c r="K16" s="15">
        <f t="shared" si="2"/>
        <v>0</v>
      </c>
    </row>
    <row r="17" spans="1:1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  <c r="G17">
        <v>0</v>
      </c>
      <c r="H17" s="10">
        <f t="shared" si="0"/>
        <v>0</v>
      </c>
      <c r="I17" s="10">
        <f t="shared" si="1"/>
        <v>-5054</v>
      </c>
      <c r="J17" s="10">
        <v>5054</v>
      </c>
      <c r="K17" s="15">
        <f t="shared" si="2"/>
        <v>0</v>
      </c>
    </row>
    <row r="18" spans="1:1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v>0</v>
      </c>
      <c r="H18" s="10">
        <f t="shared" si="0"/>
        <v>0</v>
      </c>
      <c r="I18" s="10">
        <f t="shared" si="1"/>
        <v>-5747</v>
      </c>
      <c r="J18" s="10">
        <v>5747</v>
      </c>
      <c r="K18" s="15">
        <f t="shared" si="2"/>
        <v>0</v>
      </c>
    </row>
    <row r="19" spans="1:1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v>0</v>
      </c>
      <c r="H19" s="10">
        <f t="shared" si="0"/>
        <v>0</v>
      </c>
      <c r="I19" s="10">
        <f t="shared" si="1"/>
        <v>-4212</v>
      </c>
      <c r="J19" s="10">
        <v>4212</v>
      </c>
      <c r="K19" s="15">
        <f t="shared" si="2"/>
        <v>0</v>
      </c>
    </row>
    <row r="20" spans="1:1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v>0</v>
      </c>
      <c r="H20" s="10">
        <f t="shared" si="0"/>
        <v>0</v>
      </c>
      <c r="I20" s="10">
        <f t="shared" si="1"/>
        <v>-4766</v>
      </c>
      <c r="J20" s="10">
        <v>4766</v>
      </c>
      <c r="K20" s="15">
        <f t="shared" si="2"/>
        <v>0</v>
      </c>
    </row>
    <row r="21" spans="1:1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v>0</v>
      </c>
      <c r="H21" s="10">
        <f t="shared" si="0"/>
        <v>0</v>
      </c>
      <c r="I21" s="10">
        <f t="shared" si="1"/>
        <v>-3877</v>
      </c>
      <c r="J21" s="10">
        <v>3877</v>
      </c>
      <c r="K21" s="15">
        <f t="shared" si="2"/>
        <v>0</v>
      </c>
    </row>
    <row r="22" spans="1:11" x14ac:dyDescent="0.25">
      <c r="A22" s="1" t="s">
        <v>41</v>
      </c>
      <c r="B22" s="1" t="s">
        <v>38</v>
      </c>
      <c r="C22" s="1" t="s">
        <v>9</v>
      </c>
      <c r="D22" s="1">
        <v>125</v>
      </c>
      <c r="E22" s="14">
        <v>4579</v>
      </c>
      <c r="G22">
        <v>4.5789999999999997</v>
      </c>
      <c r="H22" s="10">
        <f t="shared" si="0"/>
        <v>4579</v>
      </c>
      <c r="I22" s="10">
        <f t="shared" si="1"/>
        <v>0</v>
      </c>
      <c r="J22" s="10">
        <v>4518</v>
      </c>
      <c r="K22" s="15">
        <f t="shared" si="2"/>
        <v>-61</v>
      </c>
    </row>
    <row r="23" spans="1:1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v>0</v>
      </c>
      <c r="H23" s="10">
        <f t="shared" si="0"/>
        <v>0</v>
      </c>
      <c r="I23" s="10">
        <f t="shared" si="1"/>
        <v>-5190</v>
      </c>
      <c r="J23" s="10">
        <v>5190</v>
      </c>
      <c r="K23" s="15">
        <f t="shared" si="2"/>
        <v>0</v>
      </c>
    </row>
    <row r="24" spans="1:1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v>0</v>
      </c>
      <c r="H24" s="10">
        <f t="shared" si="0"/>
        <v>0</v>
      </c>
      <c r="I24" s="10">
        <f t="shared" si="1"/>
        <v>-4766</v>
      </c>
      <c r="J24" s="10">
        <v>4766</v>
      </c>
      <c r="K24" s="15">
        <f t="shared" si="2"/>
        <v>0</v>
      </c>
    </row>
    <row r="25" spans="1:1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v>0</v>
      </c>
      <c r="H25" s="10">
        <f t="shared" si="0"/>
        <v>0</v>
      </c>
      <c r="I25" s="10">
        <f t="shared" si="1"/>
        <v>-5289.26</v>
      </c>
      <c r="J25" s="10">
        <v>5289.26</v>
      </c>
      <c r="K25" s="15">
        <f t="shared" si="2"/>
        <v>0</v>
      </c>
    </row>
    <row r="26" spans="1:1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v>0</v>
      </c>
      <c r="H26" s="10">
        <f t="shared" si="0"/>
        <v>0</v>
      </c>
      <c r="I26" s="10">
        <f t="shared" si="1"/>
        <v>-4902</v>
      </c>
      <c r="J26" s="10">
        <v>4902</v>
      </c>
      <c r="K26" s="15">
        <f t="shared" si="2"/>
        <v>0</v>
      </c>
    </row>
    <row r="27" spans="1:1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v>0</v>
      </c>
      <c r="H27" s="10">
        <f t="shared" si="0"/>
        <v>0</v>
      </c>
      <c r="I27" s="10">
        <f t="shared" si="1"/>
        <v>-4767</v>
      </c>
      <c r="J27" s="10">
        <v>4767</v>
      </c>
      <c r="K27" s="15">
        <f t="shared" si="2"/>
        <v>0</v>
      </c>
    </row>
    <row r="28" spans="1:11" x14ac:dyDescent="0.25">
      <c r="A28" s="1" t="s">
        <v>50</v>
      </c>
      <c r="B28" s="1" t="s">
        <v>38</v>
      </c>
      <c r="C28" s="1" t="s">
        <v>9</v>
      </c>
      <c r="D28" s="1">
        <v>185</v>
      </c>
      <c r="E28" s="14">
        <v>4891</v>
      </c>
      <c r="G28">
        <v>4.891</v>
      </c>
      <c r="H28" s="10">
        <f t="shared" si="0"/>
        <v>4891</v>
      </c>
      <c r="I28" s="10">
        <f t="shared" si="1"/>
        <v>0</v>
      </c>
      <c r="J28" s="10">
        <v>4652</v>
      </c>
      <c r="K28" s="15">
        <f t="shared" si="2"/>
        <v>-239</v>
      </c>
    </row>
    <row r="29" spans="1:1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v>0</v>
      </c>
      <c r="H29" s="10">
        <f t="shared" si="0"/>
        <v>0</v>
      </c>
      <c r="I29" s="10">
        <f t="shared" si="1"/>
        <v>-5054</v>
      </c>
      <c r="J29" s="10">
        <v>5054</v>
      </c>
      <c r="K29" s="15">
        <f t="shared" si="2"/>
        <v>0</v>
      </c>
    </row>
    <row r="30" spans="1:1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v>0</v>
      </c>
      <c r="H30" s="10">
        <f t="shared" si="0"/>
        <v>0</v>
      </c>
      <c r="I30" s="10">
        <f t="shared" si="1"/>
        <v>-4549</v>
      </c>
      <c r="J30" s="10">
        <v>4549</v>
      </c>
      <c r="K30" s="15">
        <f t="shared" si="2"/>
        <v>0</v>
      </c>
    </row>
    <row r="31" spans="1:1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v>0</v>
      </c>
      <c r="H31" s="10">
        <f t="shared" si="0"/>
        <v>0</v>
      </c>
      <c r="I31" s="10">
        <f t="shared" si="1"/>
        <v>-4549</v>
      </c>
      <c r="J31" s="10">
        <v>4549</v>
      </c>
      <c r="K31" s="15">
        <f t="shared" si="2"/>
        <v>0</v>
      </c>
    </row>
    <row r="32" spans="1:1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4137</v>
      </c>
      <c r="G32">
        <v>0</v>
      </c>
      <c r="H32" s="10">
        <f t="shared" si="0"/>
        <v>0</v>
      </c>
      <c r="I32" s="10">
        <f t="shared" si="1"/>
        <v>-4137</v>
      </c>
      <c r="J32" s="10">
        <v>4137</v>
      </c>
      <c r="K32" s="15">
        <f t="shared" si="2"/>
        <v>0</v>
      </c>
    </row>
    <row r="33" spans="1:1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v>0</v>
      </c>
      <c r="H33" s="10">
        <f t="shared" si="0"/>
        <v>0</v>
      </c>
      <c r="I33" s="10">
        <f t="shared" si="1"/>
        <v>-7004</v>
      </c>
      <c r="J33" s="10">
        <v>7004</v>
      </c>
      <c r="K33" s="15">
        <f t="shared" si="2"/>
        <v>0</v>
      </c>
    </row>
    <row r="34" spans="1:1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v>8185</v>
      </c>
      <c r="G34">
        <v>0</v>
      </c>
      <c r="H34" s="10">
        <f t="shared" si="0"/>
        <v>0</v>
      </c>
      <c r="I34" s="10">
        <f t="shared" si="1"/>
        <v>-8185</v>
      </c>
      <c r="J34" s="10">
        <v>8185</v>
      </c>
      <c r="K34" s="15">
        <f t="shared" si="2"/>
        <v>0</v>
      </c>
    </row>
    <row r="35" spans="1:11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5054</v>
      </c>
      <c r="G35">
        <v>0</v>
      </c>
      <c r="H35" s="10">
        <f t="shared" si="0"/>
        <v>0</v>
      </c>
      <c r="I35" s="10">
        <f t="shared" si="1"/>
        <v>-5054</v>
      </c>
      <c r="J35" s="10">
        <v>8185</v>
      </c>
      <c r="K35" s="15">
        <f t="shared" si="2"/>
        <v>3131</v>
      </c>
    </row>
    <row r="36" spans="1:1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3357</v>
      </c>
      <c r="G36">
        <v>3.3570000000000002</v>
      </c>
      <c r="H36" s="10">
        <f t="shared" si="0"/>
        <v>3357</v>
      </c>
      <c r="I36" s="10">
        <f t="shared" si="1"/>
        <v>0</v>
      </c>
      <c r="J36" s="10">
        <v>3361</v>
      </c>
      <c r="K36" s="15">
        <f t="shared" si="2"/>
        <v>4</v>
      </c>
    </row>
    <row r="37" spans="1:1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v>0</v>
      </c>
      <c r="H37" s="10">
        <f t="shared" si="0"/>
        <v>0</v>
      </c>
      <c r="I37" s="10">
        <f t="shared" si="1"/>
        <v>-3356.52</v>
      </c>
      <c r="J37" s="10">
        <v>3356.52</v>
      </c>
      <c r="K37" s="15">
        <f t="shared" si="2"/>
        <v>0</v>
      </c>
    </row>
    <row r="38" spans="1:1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3358</v>
      </c>
      <c r="G38">
        <v>3.3580000000000001</v>
      </c>
      <c r="H38" s="10">
        <f t="shared" si="0"/>
        <v>3358</v>
      </c>
      <c r="I38" s="10">
        <f t="shared" si="1"/>
        <v>0</v>
      </c>
      <c r="J38" s="10">
        <v>3244</v>
      </c>
      <c r="K38" s="15">
        <f t="shared" si="2"/>
        <v>-114</v>
      </c>
    </row>
    <row r="39" spans="1:1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v>0</v>
      </c>
      <c r="H39" s="10">
        <f t="shared" si="0"/>
        <v>0</v>
      </c>
      <c r="I39" s="10">
        <f t="shared" si="1"/>
        <v>-3356.52</v>
      </c>
      <c r="J39" s="10">
        <v>3356.52</v>
      </c>
      <c r="K39" s="15">
        <f t="shared" si="2"/>
        <v>0</v>
      </c>
    </row>
    <row r="40" spans="1:11" x14ac:dyDescent="0.25">
      <c r="A40" s="1" t="s">
        <v>68</v>
      </c>
      <c r="B40" s="1"/>
      <c r="C40" s="1"/>
      <c r="D40" s="1">
        <v>110</v>
      </c>
      <c r="E40" s="2">
        <v>4161.9400000000005</v>
      </c>
      <c r="G40">
        <v>0</v>
      </c>
      <c r="H40" s="10">
        <f t="shared" si="0"/>
        <v>0</v>
      </c>
      <c r="I40" s="10">
        <f t="shared" si="1"/>
        <v>-4161.9400000000005</v>
      </c>
      <c r="J40" s="10">
        <v>4161.9400000000005</v>
      </c>
      <c r="K40" s="15">
        <f t="shared" si="2"/>
        <v>0</v>
      </c>
    </row>
    <row r="41" spans="1:1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v>0</v>
      </c>
      <c r="H41" s="10">
        <f t="shared" si="0"/>
        <v>0</v>
      </c>
      <c r="I41" s="10">
        <f t="shared" si="1"/>
        <v>-3101</v>
      </c>
      <c r="J41" s="10">
        <v>3101</v>
      </c>
      <c r="K41" s="15">
        <f t="shared" si="2"/>
        <v>0</v>
      </c>
    </row>
    <row r="42" spans="1:1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3198</v>
      </c>
      <c r="G42">
        <v>3.198</v>
      </c>
      <c r="H42" s="10">
        <f t="shared" si="0"/>
        <v>3198</v>
      </c>
      <c r="I42" s="10">
        <f t="shared" si="1"/>
        <v>0</v>
      </c>
      <c r="J42" s="10">
        <v>3341</v>
      </c>
      <c r="K42" s="15">
        <f t="shared" si="2"/>
        <v>143</v>
      </c>
    </row>
    <row r="43" spans="1:1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v>0</v>
      </c>
      <c r="H43" s="10">
        <f t="shared" si="0"/>
        <v>0</v>
      </c>
      <c r="I43" s="10">
        <f t="shared" si="1"/>
        <v>-3352</v>
      </c>
      <c r="J43" s="10">
        <v>3352</v>
      </c>
      <c r="K43" s="15">
        <f t="shared" si="2"/>
        <v>0</v>
      </c>
    </row>
    <row r="44" spans="1:1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v>0</v>
      </c>
      <c r="H44" s="10">
        <f t="shared" si="0"/>
        <v>0</v>
      </c>
      <c r="I44" s="10">
        <f t="shared" si="1"/>
        <v>-3356.52</v>
      </c>
      <c r="J44" s="10">
        <v>3356.52</v>
      </c>
      <c r="K44" s="15">
        <f t="shared" si="2"/>
        <v>0</v>
      </c>
    </row>
    <row r="45" spans="1:1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v>0</v>
      </c>
      <c r="H45" s="10">
        <f t="shared" si="0"/>
        <v>0</v>
      </c>
      <c r="I45" s="10">
        <f t="shared" si="1"/>
        <v>-3356.52</v>
      </c>
      <c r="J45" s="10">
        <v>3356.52</v>
      </c>
      <c r="K45" s="15">
        <f t="shared" si="2"/>
        <v>0</v>
      </c>
    </row>
    <row r="46" spans="1:1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v>0</v>
      </c>
      <c r="H46" s="10">
        <f t="shared" si="0"/>
        <v>0</v>
      </c>
      <c r="I46" s="10">
        <f t="shared" si="1"/>
        <v>-3356.52</v>
      </c>
      <c r="J46" s="10">
        <v>3356.52</v>
      </c>
      <c r="K46" s="15">
        <f t="shared" si="2"/>
        <v>0</v>
      </c>
    </row>
    <row r="47" spans="1:11" x14ac:dyDescent="0.25">
      <c r="A47" s="1" t="s">
        <v>76</v>
      </c>
      <c r="B47" s="1"/>
      <c r="C47" s="1" t="s">
        <v>9</v>
      </c>
      <c r="D47" s="1">
        <v>100</v>
      </c>
      <c r="E47" s="2">
        <v>4161.9400000000005</v>
      </c>
      <c r="G47">
        <v>0</v>
      </c>
      <c r="H47" s="10">
        <f t="shared" si="0"/>
        <v>0</v>
      </c>
      <c r="I47" s="10">
        <f t="shared" si="1"/>
        <v>-4161.9400000000005</v>
      </c>
      <c r="J47" s="10">
        <v>4161.9400000000005</v>
      </c>
      <c r="K47" s="15">
        <f t="shared" si="2"/>
        <v>0</v>
      </c>
    </row>
    <row r="48" spans="1:11" x14ac:dyDescent="0.25">
      <c r="A48" s="1" t="s">
        <v>77</v>
      </c>
      <c r="B48" s="1"/>
      <c r="C48" s="1" t="s">
        <v>9</v>
      </c>
      <c r="D48" s="1">
        <v>80</v>
      </c>
      <c r="E48" s="2">
        <v>4161.9400000000005</v>
      </c>
      <c r="G48">
        <v>0</v>
      </c>
      <c r="H48" s="10">
        <f t="shared" si="0"/>
        <v>0</v>
      </c>
      <c r="I48" s="10">
        <f t="shared" si="1"/>
        <v>-4161.9400000000005</v>
      </c>
      <c r="J48" s="10">
        <v>4161.9400000000005</v>
      </c>
      <c r="K48" s="15">
        <f t="shared" si="2"/>
        <v>0</v>
      </c>
    </row>
    <row r="49" spans="1:11" x14ac:dyDescent="0.25">
      <c r="A49" s="1" t="s">
        <v>78</v>
      </c>
      <c r="B49" s="1"/>
      <c r="C49" s="1" t="s">
        <v>9</v>
      </c>
      <c r="D49" s="1">
        <v>110</v>
      </c>
      <c r="E49" s="2">
        <v>4161.9400000000005</v>
      </c>
      <c r="G49">
        <v>0</v>
      </c>
      <c r="H49" s="10">
        <f t="shared" si="0"/>
        <v>0</v>
      </c>
      <c r="I49" s="10">
        <f t="shared" si="1"/>
        <v>-4161.9400000000005</v>
      </c>
      <c r="J49" s="10">
        <v>4161.9400000000005</v>
      </c>
      <c r="K49" s="15">
        <f t="shared" si="2"/>
        <v>0</v>
      </c>
    </row>
    <row r="50" spans="1:11" x14ac:dyDescent="0.25">
      <c r="A50" s="1" t="s">
        <v>79</v>
      </c>
      <c r="B50" s="1"/>
      <c r="C50" s="1" t="s">
        <v>9</v>
      </c>
      <c r="D50" s="1">
        <v>120</v>
      </c>
      <c r="E50" s="2">
        <v>4161.9400000000005</v>
      </c>
      <c r="G50">
        <v>0</v>
      </c>
      <c r="H50" s="10">
        <f t="shared" si="0"/>
        <v>0</v>
      </c>
      <c r="I50" s="10">
        <f t="shared" si="1"/>
        <v>-4161.9400000000005</v>
      </c>
      <c r="J50" s="10">
        <v>4161.9400000000005</v>
      </c>
      <c r="K50" s="15">
        <f t="shared" si="2"/>
        <v>0</v>
      </c>
    </row>
    <row r="51" spans="1:11" x14ac:dyDescent="0.25">
      <c r="A51" s="1" t="s">
        <v>80</v>
      </c>
      <c r="B51" s="1"/>
      <c r="C51" s="1" t="s">
        <v>9</v>
      </c>
      <c r="D51" s="1">
        <v>140</v>
      </c>
      <c r="E51" s="2">
        <v>4161.9400000000005</v>
      </c>
      <c r="G51">
        <v>0</v>
      </c>
      <c r="H51" s="10">
        <f t="shared" si="0"/>
        <v>0</v>
      </c>
      <c r="I51" s="10">
        <f t="shared" si="1"/>
        <v>-4161.9400000000005</v>
      </c>
      <c r="J51" s="10">
        <v>4161.9400000000005</v>
      </c>
      <c r="K51" s="15">
        <f t="shared" si="2"/>
        <v>0</v>
      </c>
    </row>
    <row r="52" spans="1:11" x14ac:dyDescent="0.25">
      <c r="A52" s="1" t="s">
        <v>81</v>
      </c>
      <c r="B52" s="1"/>
      <c r="C52" s="1"/>
      <c r="D52" s="1">
        <v>160</v>
      </c>
      <c r="E52" s="2">
        <v>4161.9400000000005</v>
      </c>
      <c r="G52">
        <v>0</v>
      </c>
      <c r="H52" s="10">
        <f t="shared" si="0"/>
        <v>0</v>
      </c>
      <c r="I52" s="10">
        <f t="shared" si="1"/>
        <v>-4161.9400000000005</v>
      </c>
      <c r="J52" s="10">
        <v>4161.9400000000005</v>
      </c>
      <c r="K52" s="15">
        <f t="shared" si="2"/>
        <v>0</v>
      </c>
    </row>
    <row r="53" spans="1:11" x14ac:dyDescent="0.25">
      <c r="A53" s="1" t="s">
        <v>82</v>
      </c>
      <c r="B53" s="1"/>
      <c r="C53" s="1" t="s">
        <v>9</v>
      </c>
      <c r="D53" s="1">
        <v>185</v>
      </c>
      <c r="E53" s="2">
        <v>4162</v>
      </c>
      <c r="G53">
        <v>0</v>
      </c>
      <c r="H53" s="10">
        <f t="shared" si="0"/>
        <v>0</v>
      </c>
      <c r="I53" s="10">
        <f t="shared" si="1"/>
        <v>-4162</v>
      </c>
      <c r="J53" s="10">
        <v>4162</v>
      </c>
      <c r="K53" s="15">
        <f t="shared" si="2"/>
        <v>0</v>
      </c>
    </row>
    <row r="54" spans="1:11" x14ac:dyDescent="0.25">
      <c r="A54" s="1" t="s">
        <v>83</v>
      </c>
      <c r="B54" s="1"/>
      <c r="C54" s="1" t="s">
        <v>9</v>
      </c>
      <c r="D54" s="1">
        <v>140</v>
      </c>
      <c r="E54" s="2">
        <v>4162</v>
      </c>
      <c r="G54">
        <v>0</v>
      </c>
      <c r="H54" s="10">
        <f t="shared" si="0"/>
        <v>0</v>
      </c>
      <c r="I54" s="10">
        <f t="shared" si="1"/>
        <v>-4162</v>
      </c>
      <c r="J54" s="10">
        <v>4162</v>
      </c>
      <c r="K54" s="15">
        <f t="shared" si="2"/>
        <v>0</v>
      </c>
    </row>
    <row r="55" spans="1:1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v>0</v>
      </c>
      <c r="H55" s="10">
        <f t="shared" si="0"/>
        <v>0</v>
      </c>
      <c r="I55" s="10">
        <f t="shared" si="1"/>
        <v>-4161.9400000000005</v>
      </c>
      <c r="J55" s="10">
        <v>4161.9400000000005</v>
      </c>
      <c r="K55" s="15">
        <f t="shared" si="2"/>
        <v>0</v>
      </c>
    </row>
    <row r="56" spans="1:11" x14ac:dyDescent="0.25">
      <c r="A56" s="1" t="s">
        <v>86</v>
      </c>
      <c r="B56" s="1" t="s">
        <v>87</v>
      </c>
      <c r="C56" s="1"/>
      <c r="D56" s="1">
        <v>180</v>
      </c>
      <c r="E56" s="2">
        <v>4161.9400000000005</v>
      </c>
      <c r="G56">
        <v>0</v>
      </c>
      <c r="H56" s="10">
        <f t="shared" si="0"/>
        <v>0</v>
      </c>
      <c r="I56" s="10">
        <f t="shared" si="1"/>
        <v>-4161.9400000000005</v>
      </c>
      <c r="J56" s="10">
        <v>4161.9400000000005</v>
      </c>
      <c r="K56" s="15">
        <f t="shared" si="2"/>
        <v>0</v>
      </c>
    </row>
    <row r="57" spans="1:1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v>4161.9400000000005</v>
      </c>
      <c r="G57">
        <v>0</v>
      </c>
      <c r="H57" s="10">
        <f t="shared" si="0"/>
        <v>0</v>
      </c>
      <c r="I57" s="10">
        <f t="shared" si="1"/>
        <v>-4161.9400000000005</v>
      </c>
      <c r="J57" s="10">
        <v>4161.9400000000005</v>
      </c>
      <c r="K57" s="15">
        <f t="shared" si="2"/>
        <v>0</v>
      </c>
    </row>
    <row r="58" spans="1:11" x14ac:dyDescent="0.25">
      <c r="A58" s="1" t="s">
        <v>95</v>
      </c>
      <c r="B58" s="1"/>
      <c r="C58" s="1"/>
      <c r="D58" s="1">
        <v>125</v>
      </c>
      <c r="E58" s="7">
        <v>9960</v>
      </c>
      <c r="G58">
        <v>0</v>
      </c>
      <c r="H58" s="10">
        <f t="shared" si="0"/>
        <v>0</v>
      </c>
      <c r="I58" s="10">
        <f t="shared" si="1"/>
        <v>-9960</v>
      </c>
      <c r="J58" s="10">
        <v>9960</v>
      </c>
      <c r="K58" s="15">
        <f t="shared" si="2"/>
        <v>0</v>
      </c>
    </row>
    <row r="59" spans="1:1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v>0</v>
      </c>
      <c r="H59" s="10">
        <f t="shared" si="0"/>
        <v>0</v>
      </c>
      <c r="I59" s="10">
        <f t="shared" si="1"/>
        <v>-4434</v>
      </c>
      <c r="J59" s="10">
        <v>4434</v>
      </c>
      <c r="K59" s="15">
        <f t="shared" si="2"/>
        <v>0</v>
      </c>
    </row>
    <row r="60" spans="1:11" x14ac:dyDescent="0.25">
      <c r="A60" s="1" t="s">
        <v>98</v>
      </c>
      <c r="B60" s="1"/>
      <c r="C60" s="1"/>
      <c r="D60" s="1">
        <v>126</v>
      </c>
      <c r="E60" s="2">
        <v>4085</v>
      </c>
      <c r="G60">
        <v>0</v>
      </c>
      <c r="H60" s="10">
        <f t="shared" si="0"/>
        <v>0</v>
      </c>
      <c r="I60" s="10">
        <f t="shared" si="1"/>
        <v>-4085</v>
      </c>
      <c r="J60" s="10">
        <v>4085</v>
      </c>
      <c r="K60" s="15">
        <f t="shared" si="2"/>
        <v>0</v>
      </c>
    </row>
    <row r="61" spans="1:11" x14ac:dyDescent="0.25">
      <c r="A61" s="1" t="s">
        <v>99</v>
      </c>
      <c r="B61" s="1"/>
      <c r="C61" s="1"/>
      <c r="D61" s="1">
        <v>90</v>
      </c>
      <c r="E61" s="2">
        <v>4866.7</v>
      </c>
      <c r="G61">
        <v>0</v>
      </c>
      <c r="H61" s="10">
        <f t="shared" si="0"/>
        <v>0</v>
      </c>
      <c r="I61" s="10">
        <f t="shared" si="1"/>
        <v>-4866.7</v>
      </c>
      <c r="J61" s="10">
        <v>4866.7</v>
      </c>
      <c r="K61" s="15">
        <f t="shared" si="2"/>
        <v>0</v>
      </c>
    </row>
    <row r="62" spans="1:11" x14ac:dyDescent="0.25">
      <c r="A62" s="1" t="s">
        <v>100</v>
      </c>
      <c r="B62" s="1"/>
      <c r="C62" s="1"/>
      <c r="D62" s="1">
        <v>220</v>
      </c>
      <c r="E62" s="2"/>
      <c r="G62">
        <v>0</v>
      </c>
      <c r="H62" s="10">
        <f t="shared" si="0"/>
        <v>0</v>
      </c>
      <c r="I62" s="10">
        <f t="shared" si="1"/>
        <v>0</v>
      </c>
      <c r="K62" s="15">
        <f t="shared" si="2"/>
        <v>0</v>
      </c>
    </row>
    <row r="63" spans="1:11" x14ac:dyDescent="0.25">
      <c r="A63" s="1" t="s">
        <v>101</v>
      </c>
      <c r="B63" s="1"/>
      <c r="C63" s="1"/>
      <c r="D63" s="1">
        <v>300</v>
      </c>
      <c r="E63" s="2">
        <v>4137</v>
      </c>
      <c r="G63">
        <v>0</v>
      </c>
      <c r="H63" s="10">
        <f t="shared" si="0"/>
        <v>0</v>
      </c>
      <c r="I63" s="10">
        <f t="shared" si="1"/>
        <v>-4137</v>
      </c>
      <c r="J63" s="10">
        <v>4137</v>
      </c>
      <c r="K63" s="15">
        <f t="shared" si="2"/>
        <v>0</v>
      </c>
    </row>
    <row r="64" spans="1:11" x14ac:dyDescent="0.25">
      <c r="A64" s="1" t="s">
        <v>102</v>
      </c>
      <c r="B64" s="1"/>
      <c r="C64" s="1"/>
      <c r="D64" s="1">
        <v>150</v>
      </c>
      <c r="E64" s="7">
        <v>5289.26</v>
      </c>
      <c r="G64">
        <v>0</v>
      </c>
      <c r="H64" s="10">
        <f t="shared" si="0"/>
        <v>0</v>
      </c>
      <c r="I64" s="10">
        <f t="shared" si="1"/>
        <v>-5289.26</v>
      </c>
      <c r="J64" s="10">
        <v>5289.26</v>
      </c>
      <c r="K64" s="15">
        <f t="shared" si="2"/>
        <v>0</v>
      </c>
    </row>
    <row r="65" spans="1:11" x14ac:dyDescent="0.25">
      <c r="A65" s="1" t="s">
        <v>103</v>
      </c>
      <c r="B65" s="1"/>
      <c r="C65" s="1"/>
      <c r="D65" s="1">
        <v>160</v>
      </c>
      <c r="E65" s="2">
        <v>4866.7</v>
      </c>
      <c r="G65">
        <v>0</v>
      </c>
      <c r="H65" s="10">
        <f t="shared" si="0"/>
        <v>0</v>
      </c>
      <c r="I65" s="10">
        <f t="shared" si="1"/>
        <v>-4866.7</v>
      </c>
      <c r="J65" s="10">
        <v>4866.7</v>
      </c>
      <c r="K65" s="15">
        <f t="shared" si="2"/>
        <v>0</v>
      </c>
    </row>
    <row r="66" spans="1:11" x14ac:dyDescent="0.25">
      <c r="A66" s="1" t="s">
        <v>104</v>
      </c>
      <c r="B66" s="1"/>
      <c r="C66" s="1"/>
      <c r="D66" s="1">
        <v>120</v>
      </c>
      <c r="E66" s="2">
        <v>4866.7</v>
      </c>
      <c r="G66">
        <v>0</v>
      </c>
      <c r="H66" s="10">
        <f t="shared" si="0"/>
        <v>0</v>
      </c>
      <c r="I66" s="10">
        <f t="shared" si="1"/>
        <v>-4866.7</v>
      </c>
      <c r="J66" s="10">
        <v>4866.7</v>
      </c>
      <c r="K66" s="15">
        <f t="shared" si="2"/>
        <v>0</v>
      </c>
    </row>
    <row r="67" spans="1:11" x14ac:dyDescent="0.25">
      <c r="A67" s="1" t="s">
        <v>105</v>
      </c>
      <c r="B67" s="1"/>
      <c r="C67" s="1"/>
      <c r="D67" s="1">
        <v>190</v>
      </c>
      <c r="E67" s="2">
        <v>7220.34</v>
      </c>
      <c r="G67">
        <v>0</v>
      </c>
      <c r="H67" s="10">
        <f t="shared" si="0"/>
        <v>0</v>
      </c>
      <c r="I67" s="10">
        <f t="shared" si="1"/>
        <v>-7220.34</v>
      </c>
      <c r="J67" s="10">
        <v>7220.34</v>
      </c>
      <c r="K67" s="15">
        <f t="shared" si="2"/>
        <v>0</v>
      </c>
    </row>
    <row r="68" spans="1:11" x14ac:dyDescent="0.25">
      <c r="A68" s="1" t="s">
        <v>106</v>
      </c>
      <c r="B68" s="1"/>
      <c r="C68" s="1"/>
      <c r="D68" s="1">
        <v>200</v>
      </c>
      <c r="E68" s="2">
        <v>7220.34</v>
      </c>
      <c r="G68">
        <v>0</v>
      </c>
      <c r="H68" s="10">
        <f t="shared" ref="H68:H87" si="3">G68*1000</f>
        <v>0</v>
      </c>
      <c r="I68" s="10">
        <f t="shared" ref="I68:I87" si="4">H68-E68</f>
        <v>-7220.34</v>
      </c>
      <c r="J68" s="10">
        <v>7220.34</v>
      </c>
      <c r="K68" s="15">
        <f t="shared" ref="K68:K89" si="5">J68-E68</f>
        <v>0</v>
      </c>
    </row>
    <row r="69" spans="1:11" x14ac:dyDescent="0.25">
      <c r="A69" s="1" t="s">
        <v>107</v>
      </c>
      <c r="B69" s="1"/>
      <c r="C69" s="1"/>
      <c r="D69" s="1">
        <v>205</v>
      </c>
      <c r="E69" s="2">
        <v>6847</v>
      </c>
      <c r="G69">
        <v>0</v>
      </c>
      <c r="H69" s="10">
        <f t="shared" si="3"/>
        <v>0</v>
      </c>
      <c r="I69" s="10">
        <f t="shared" si="4"/>
        <v>-6847</v>
      </c>
      <c r="J69" s="10">
        <v>6847</v>
      </c>
      <c r="K69" s="15">
        <f t="shared" si="5"/>
        <v>0</v>
      </c>
    </row>
    <row r="70" spans="1:11" x14ac:dyDescent="0.25">
      <c r="A70" s="1" t="s">
        <v>108</v>
      </c>
      <c r="B70" s="1"/>
      <c r="C70" s="1"/>
      <c r="D70" s="1">
        <v>110</v>
      </c>
      <c r="E70" s="2">
        <v>4162</v>
      </c>
      <c r="G70">
        <v>0</v>
      </c>
      <c r="H70" s="10">
        <f t="shared" si="3"/>
        <v>0</v>
      </c>
      <c r="I70" s="10">
        <f t="shared" si="4"/>
        <v>-4162</v>
      </c>
      <c r="J70" s="10">
        <v>4162</v>
      </c>
      <c r="K70" s="15">
        <f t="shared" si="5"/>
        <v>0</v>
      </c>
    </row>
    <row r="71" spans="1:11" x14ac:dyDescent="0.25">
      <c r="A71" s="1" t="s">
        <v>109</v>
      </c>
      <c r="B71" s="1"/>
      <c r="C71" s="1"/>
      <c r="D71" s="1">
        <v>227</v>
      </c>
      <c r="E71" s="2">
        <v>7220.34</v>
      </c>
      <c r="G71">
        <v>0</v>
      </c>
      <c r="H71" s="10">
        <f t="shared" si="3"/>
        <v>0</v>
      </c>
      <c r="I71" s="10">
        <f t="shared" si="4"/>
        <v>-7220.34</v>
      </c>
      <c r="J71" s="10">
        <v>7220.34</v>
      </c>
      <c r="K71" s="15">
        <f t="shared" si="5"/>
        <v>0</v>
      </c>
    </row>
    <row r="72" spans="1:11" x14ac:dyDescent="0.25">
      <c r="A72" s="1" t="s">
        <v>110</v>
      </c>
      <c r="B72" s="1"/>
      <c r="C72" s="1"/>
      <c r="D72" s="1">
        <v>135</v>
      </c>
      <c r="E72" s="2">
        <v>3103.58</v>
      </c>
      <c r="G72">
        <v>0</v>
      </c>
      <c r="H72" s="10">
        <f t="shared" si="3"/>
        <v>0</v>
      </c>
      <c r="I72" s="10">
        <f t="shared" si="4"/>
        <v>-3103.58</v>
      </c>
      <c r="J72" s="10">
        <v>3103.58</v>
      </c>
      <c r="K72" s="15">
        <f t="shared" si="5"/>
        <v>0</v>
      </c>
    </row>
    <row r="73" spans="1:11" x14ac:dyDescent="0.25">
      <c r="A73" s="1" t="s">
        <v>111</v>
      </c>
      <c r="B73" s="1"/>
      <c r="C73" s="1"/>
      <c r="D73" s="1">
        <v>75</v>
      </c>
      <c r="E73" s="2">
        <v>5075</v>
      </c>
      <c r="G73">
        <v>0</v>
      </c>
      <c r="H73" s="10">
        <f t="shared" si="3"/>
        <v>0</v>
      </c>
      <c r="I73" s="10">
        <f t="shared" si="4"/>
        <v>-5075</v>
      </c>
      <c r="J73" s="10">
        <v>5075</v>
      </c>
      <c r="K73" s="15">
        <f t="shared" si="5"/>
        <v>0</v>
      </c>
    </row>
    <row r="74" spans="1:11" x14ac:dyDescent="0.25">
      <c r="A74" s="1" t="s">
        <v>112</v>
      </c>
      <c r="B74" s="1"/>
      <c r="C74" s="1"/>
      <c r="D74" s="1">
        <v>90</v>
      </c>
      <c r="E74" s="2">
        <v>3103.58</v>
      </c>
      <c r="G74">
        <v>0</v>
      </c>
      <c r="H74" s="10">
        <f t="shared" si="3"/>
        <v>0</v>
      </c>
      <c r="I74" s="10">
        <f t="shared" si="4"/>
        <v>-3103.58</v>
      </c>
      <c r="J74" s="10">
        <v>3103.58</v>
      </c>
      <c r="K74" s="15">
        <f t="shared" si="5"/>
        <v>0</v>
      </c>
    </row>
    <row r="75" spans="1:11" x14ac:dyDescent="0.25">
      <c r="A75" s="1" t="s">
        <v>113</v>
      </c>
      <c r="B75" s="1"/>
      <c r="C75" s="1"/>
      <c r="D75" s="1">
        <v>160</v>
      </c>
      <c r="E75" s="2">
        <v>3103.58</v>
      </c>
      <c r="G75">
        <v>0</v>
      </c>
      <c r="H75" s="10">
        <f t="shared" si="3"/>
        <v>0</v>
      </c>
      <c r="I75" s="10">
        <f t="shared" si="4"/>
        <v>-3103.58</v>
      </c>
      <c r="J75" s="10">
        <v>3103.58</v>
      </c>
      <c r="K75" s="15">
        <f t="shared" si="5"/>
        <v>0</v>
      </c>
    </row>
    <row r="76" spans="1:11" x14ac:dyDescent="0.25">
      <c r="A76" s="1" t="s">
        <v>114</v>
      </c>
      <c r="B76" s="1"/>
      <c r="C76" s="1"/>
      <c r="D76" s="1">
        <v>120</v>
      </c>
      <c r="E76" s="2">
        <v>3352</v>
      </c>
      <c r="G76">
        <v>0</v>
      </c>
      <c r="H76" s="10">
        <f t="shared" si="3"/>
        <v>0</v>
      </c>
      <c r="I76" s="10">
        <f t="shared" si="4"/>
        <v>-3352</v>
      </c>
      <c r="J76" s="10">
        <v>3352</v>
      </c>
      <c r="K76" s="15">
        <f t="shared" si="5"/>
        <v>0</v>
      </c>
    </row>
    <row r="77" spans="1:11" x14ac:dyDescent="0.25">
      <c r="A77" s="1" t="s">
        <v>115</v>
      </c>
      <c r="B77" s="1"/>
      <c r="C77" s="1"/>
      <c r="D77" s="1">
        <v>150</v>
      </c>
      <c r="E77" s="7">
        <v>5289.26</v>
      </c>
      <c r="G77">
        <v>0</v>
      </c>
      <c r="H77" s="10">
        <f t="shared" si="3"/>
        <v>0</v>
      </c>
      <c r="I77" s="10">
        <f t="shared" si="4"/>
        <v>-5289.26</v>
      </c>
      <c r="J77" s="10">
        <v>5289.26</v>
      </c>
      <c r="K77" s="15">
        <f t="shared" si="5"/>
        <v>0</v>
      </c>
    </row>
    <row r="78" spans="1:11" x14ac:dyDescent="0.25">
      <c r="A78" s="1" t="s">
        <v>116</v>
      </c>
      <c r="B78" s="1"/>
      <c r="C78" s="1"/>
      <c r="D78" s="1">
        <v>100</v>
      </c>
      <c r="E78" s="2">
        <v>3103.58</v>
      </c>
      <c r="G78">
        <v>0</v>
      </c>
      <c r="H78" s="10">
        <f t="shared" si="3"/>
        <v>0</v>
      </c>
      <c r="I78" s="10">
        <f t="shared" si="4"/>
        <v>-3103.58</v>
      </c>
      <c r="J78" s="10">
        <v>3103.58</v>
      </c>
      <c r="K78" s="15">
        <f t="shared" si="5"/>
        <v>0</v>
      </c>
    </row>
    <row r="79" spans="1:11" x14ac:dyDescent="0.25">
      <c r="A79" s="1" t="s">
        <v>117</v>
      </c>
      <c r="B79" s="1"/>
      <c r="C79" s="1"/>
      <c r="D79" s="1">
        <v>120</v>
      </c>
      <c r="E79" s="2">
        <v>4162</v>
      </c>
      <c r="G79">
        <v>0</v>
      </c>
      <c r="H79" s="10">
        <f t="shared" si="3"/>
        <v>0</v>
      </c>
      <c r="I79" s="10">
        <f t="shared" si="4"/>
        <v>-4162</v>
      </c>
      <c r="J79" s="10">
        <v>4162</v>
      </c>
      <c r="K79" s="15">
        <f t="shared" si="5"/>
        <v>0</v>
      </c>
    </row>
    <row r="80" spans="1:11" x14ac:dyDescent="0.25">
      <c r="A80" s="1" t="s">
        <v>118</v>
      </c>
      <c r="B80" s="1"/>
      <c r="C80" s="1"/>
      <c r="D80" s="1">
        <v>90</v>
      </c>
      <c r="E80" s="2">
        <v>4162</v>
      </c>
      <c r="G80">
        <v>0</v>
      </c>
      <c r="H80" s="10">
        <f t="shared" si="3"/>
        <v>0</v>
      </c>
      <c r="I80" s="10">
        <f t="shared" si="4"/>
        <v>-4162</v>
      </c>
      <c r="J80" s="10">
        <v>4162</v>
      </c>
      <c r="K80" s="15">
        <f t="shared" si="5"/>
        <v>0</v>
      </c>
    </row>
    <row r="81" spans="1:11" x14ac:dyDescent="0.25">
      <c r="A81" s="1" t="s">
        <v>119</v>
      </c>
      <c r="B81" s="1"/>
      <c r="C81" s="1"/>
      <c r="D81" s="1">
        <v>105</v>
      </c>
      <c r="E81" s="2">
        <v>4443.6099999999997</v>
      </c>
      <c r="G81">
        <v>0</v>
      </c>
      <c r="H81" s="10">
        <f t="shared" si="3"/>
        <v>0</v>
      </c>
      <c r="I81" s="10">
        <f t="shared" si="4"/>
        <v>-4443.6099999999997</v>
      </c>
      <c r="J81" s="10">
        <v>4443.6099999999997</v>
      </c>
      <c r="K81" s="15">
        <f t="shared" si="5"/>
        <v>0</v>
      </c>
    </row>
    <row r="82" spans="1:11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v>0</v>
      </c>
      <c r="H82" s="10">
        <f t="shared" si="3"/>
        <v>0</v>
      </c>
      <c r="I82" s="10">
        <f t="shared" si="4"/>
        <v>-3268</v>
      </c>
      <c r="J82" s="10">
        <v>3268</v>
      </c>
      <c r="K82" s="15">
        <f t="shared" si="5"/>
        <v>0</v>
      </c>
    </row>
    <row r="83" spans="1:11" x14ac:dyDescent="0.25">
      <c r="A83" s="1" t="s">
        <v>121</v>
      </c>
      <c r="B83" s="1"/>
      <c r="C83" s="1"/>
      <c r="D83" s="1">
        <v>186</v>
      </c>
      <c r="E83" s="2">
        <v>4443.6099999999997</v>
      </c>
      <c r="G83">
        <v>0</v>
      </c>
      <c r="H83" s="10">
        <f t="shared" si="3"/>
        <v>0</v>
      </c>
      <c r="I83" s="10">
        <f t="shared" si="4"/>
        <v>-4443.6099999999997</v>
      </c>
      <c r="J83" s="10">
        <v>4443.6099999999997</v>
      </c>
      <c r="K83" s="15">
        <f t="shared" si="5"/>
        <v>0</v>
      </c>
    </row>
    <row r="84" spans="1:11" x14ac:dyDescent="0.25">
      <c r="A84" s="1" t="s">
        <v>152</v>
      </c>
      <c r="B84" s="1"/>
      <c r="C84" s="1"/>
      <c r="D84" s="1">
        <v>120</v>
      </c>
      <c r="E84" s="2">
        <v>4782</v>
      </c>
      <c r="G84">
        <v>0</v>
      </c>
      <c r="H84" s="10">
        <f t="shared" si="3"/>
        <v>0</v>
      </c>
      <c r="I84" s="10">
        <f t="shared" si="4"/>
        <v>-4782</v>
      </c>
      <c r="J84" s="10">
        <v>4782</v>
      </c>
      <c r="K84" s="15">
        <f t="shared" si="5"/>
        <v>0</v>
      </c>
    </row>
    <row r="85" spans="1:11" x14ac:dyDescent="0.25">
      <c r="A85" s="1" t="s">
        <v>153</v>
      </c>
      <c r="B85" s="1"/>
      <c r="C85" s="1"/>
      <c r="D85" s="1">
        <v>90</v>
      </c>
      <c r="E85" s="2">
        <v>4782</v>
      </c>
      <c r="G85">
        <v>0</v>
      </c>
      <c r="H85" s="10">
        <f t="shared" si="3"/>
        <v>0</v>
      </c>
      <c r="I85" s="10">
        <f t="shared" si="4"/>
        <v>-4782</v>
      </c>
      <c r="J85" s="10">
        <v>4782</v>
      </c>
      <c r="K85" s="15">
        <f t="shared" si="5"/>
        <v>0</v>
      </c>
    </row>
    <row r="86" spans="1:11" x14ac:dyDescent="0.25">
      <c r="A86" s="1" t="s">
        <v>154</v>
      </c>
      <c r="B86" s="1"/>
      <c r="C86" s="1"/>
      <c r="D86" s="1">
        <v>205</v>
      </c>
      <c r="E86" s="2">
        <v>7094</v>
      </c>
      <c r="G86">
        <v>0</v>
      </c>
      <c r="H86" s="10">
        <f t="shared" si="3"/>
        <v>0</v>
      </c>
      <c r="I86" s="10">
        <f t="shared" si="4"/>
        <v>-7094</v>
      </c>
      <c r="J86" s="10">
        <v>7094</v>
      </c>
      <c r="K86" s="15">
        <f t="shared" si="5"/>
        <v>0</v>
      </c>
    </row>
    <row r="87" spans="1:11" x14ac:dyDescent="0.25">
      <c r="A87" s="1" t="s">
        <v>155</v>
      </c>
      <c r="B87" s="1"/>
      <c r="C87" s="1"/>
      <c r="D87" s="1">
        <v>135</v>
      </c>
      <c r="E87" s="2">
        <v>4082</v>
      </c>
      <c r="G87">
        <v>0</v>
      </c>
      <c r="H87" s="10">
        <f t="shared" si="3"/>
        <v>0</v>
      </c>
      <c r="I87" s="10">
        <f t="shared" si="4"/>
        <v>-4082</v>
      </c>
      <c r="J87" s="10">
        <v>4082</v>
      </c>
      <c r="K87" s="15">
        <f t="shared" si="5"/>
        <v>0</v>
      </c>
    </row>
    <row r="88" spans="1:11" x14ac:dyDescent="0.25">
      <c r="A88" s="1" t="s">
        <v>158</v>
      </c>
      <c r="B88" s="1"/>
      <c r="C88" s="1"/>
      <c r="D88" s="1"/>
      <c r="E88" s="2"/>
      <c r="G88">
        <v>0</v>
      </c>
      <c r="K88" s="15">
        <f t="shared" si="5"/>
        <v>0</v>
      </c>
    </row>
    <row r="89" spans="1:11" x14ac:dyDescent="0.25">
      <c r="A89" s="1" t="s">
        <v>159</v>
      </c>
      <c r="B89" s="1"/>
      <c r="C89" s="1"/>
      <c r="D89" s="1"/>
      <c r="E89" s="2"/>
      <c r="G89">
        <v>0</v>
      </c>
      <c r="K89" s="15">
        <f t="shared" si="5"/>
        <v>0</v>
      </c>
    </row>
  </sheetData>
  <autoFilter ref="A1:I89" xr:uid="{338D838C-5815-40DE-B3CF-63F53FA2A530}"/>
  <conditionalFormatting sqref="A1:A83 A84:D86 A87:A1048576 B87:D89">
    <cfRule type="duplicateValues" dxfId="8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A13B-80F9-4C7C-8ED4-10D8780DD011}">
  <dimension ref="A1:K89"/>
  <sheetViews>
    <sheetView workbookViewId="0">
      <pane ySplit="1" topLeftCell="A26" activePane="bottomLeft" state="frozen"/>
      <selection pane="bottomLeft" activeCell="G32" sqref="G32"/>
    </sheetView>
  </sheetViews>
  <sheetFormatPr defaultRowHeight="15" x14ac:dyDescent="0.25"/>
  <cols>
    <col min="1" max="1" width="13.5703125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  <col min="10" max="10" width="9.5703125" style="10" bestFit="1" customWidth="1"/>
    <col min="11" max="11" width="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1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1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0</v>
      </c>
      <c r="H3" s="10">
        <f>G3*1000</f>
        <v>0</v>
      </c>
      <c r="I3" s="10">
        <f>H3-E3</f>
        <v>-7350</v>
      </c>
      <c r="J3" s="10">
        <v>7350</v>
      </c>
      <c r="K3" s="15">
        <f>J3-E3</f>
        <v>0</v>
      </c>
    </row>
    <row r="4" spans="1:11" x14ac:dyDescent="0.25">
      <c r="A4" s="1" t="s">
        <v>10</v>
      </c>
      <c r="B4" s="1" t="s">
        <v>11</v>
      </c>
      <c r="C4" s="1"/>
      <c r="D4" s="1">
        <v>75</v>
      </c>
      <c r="E4" s="2">
        <v>5884</v>
      </c>
      <c r="G4">
        <v>5.8840000000000003</v>
      </c>
      <c r="H4" s="10">
        <f t="shared" ref="H4:H67" si="0">G4*1000</f>
        <v>5884</v>
      </c>
      <c r="I4" s="10">
        <f t="shared" ref="I4:I67" si="1">H4-E4</f>
        <v>0</v>
      </c>
      <c r="J4" s="10">
        <v>6023</v>
      </c>
      <c r="K4" s="15">
        <f t="shared" ref="K4:K67" si="2">J4-E4</f>
        <v>139</v>
      </c>
    </row>
    <row r="5" spans="1:11" s="10" customFormat="1" x14ac:dyDescent="0.25">
      <c r="A5" s="1" t="s">
        <v>13</v>
      </c>
      <c r="B5" s="1"/>
      <c r="C5" s="1" t="s">
        <v>9</v>
      </c>
      <c r="D5" s="1">
        <v>100</v>
      </c>
      <c r="E5" s="2">
        <v>4522</v>
      </c>
      <c r="F5"/>
      <c r="G5">
        <v>0</v>
      </c>
      <c r="H5" s="10">
        <f t="shared" si="0"/>
        <v>0</v>
      </c>
      <c r="I5" s="10">
        <f t="shared" si="1"/>
        <v>-4522</v>
      </c>
      <c r="J5" s="10">
        <v>4522</v>
      </c>
      <c r="K5" s="15">
        <f t="shared" si="2"/>
        <v>0</v>
      </c>
    </row>
    <row r="6" spans="1:11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v>0</v>
      </c>
      <c r="H6" s="10">
        <f t="shared" si="0"/>
        <v>0</v>
      </c>
      <c r="I6" s="10">
        <f t="shared" si="1"/>
        <v>-2760</v>
      </c>
      <c r="J6" s="10">
        <v>2760</v>
      </c>
      <c r="K6" s="15">
        <f t="shared" si="2"/>
        <v>0</v>
      </c>
    </row>
    <row r="7" spans="1:11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4579</v>
      </c>
      <c r="F7"/>
      <c r="G7">
        <v>4.5789999999999997</v>
      </c>
      <c r="H7" s="10">
        <f t="shared" si="0"/>
        <v>4579</v>
      </c>
      <c r="I7" s="10">
        <f t="shared" si="1"/>
        <v>0</v>
      </c>
      <c r="J7" s="10">
        <v>4801</v>
      </c>
      <c r="K7" s="15">
        <f t="shared" si="2"/>
        <v>222</v>
      </c>
    </row>
    <row r="8" spans="1:11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4785</v>
      </c>
      <c r="F8"/>
      <c r="G8">
        <v>0</v>
      </c>
      <c r="H8" s="10">
        <f t="shared" si="0"/>
        <v>0</v>
      </c>
      <c r="I8" s="10">
        <f t="shared" si="1"/>
        <v>-4785</v>
      </c>
      <c r="J8" s="10">
        <v>4682</v>
      </c>
      <c r="K8" s="15">
        <f t="shared" si="2"/>
        <v>-103</v>
      </c>
    </row>
    <row r="9" spans="1:11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v>0</v>
      </c>
      <c r="H9" s="10">
        <f t="shared" si="0"/>
        <v>0</v>
      </c>
      <c r="I9" s="10">
        <f t="shared" si="1"/>
        <v>-5394</v>
      </c>
      <c r="J9" s="10">
        <v>5394</v>
      </c>
      <c r="K9" s="15">
        <f t="shared" si="2"/>
        <v>0</v>
      </c>
    </row>
    <row r="10" spans="1:11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4779</v>
      </c>
      <c r="F10"/>
      <c r="G10">
        <v>4.7789999999999999</v>
      </c>
      <c r="H10" s="10">
        <f>G10*1000</f>
        <v>4779</v>
      </c>
      <c r="I10" s="10">
        <f>H10-E10</f>
        <v>0</v>
      </c>
      <c r="J10" s="10">
        <v>5975</v>
      </c>
      <c r="K10" s="15">
        <f>J10-E10</f>
        <v>1196</v>
      </c>
    </row>
    <row r="11" spans="1:11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5041</v>
      </c>
      <c r="F11"/>
      <c r="G11">
        <v>0</v>
      </c>
      <c r="H11" s="10">
        <f t="shared" si="0"/>
        <v>0</v>
      </c>
      <c r="I11" s="10">
        <f t="shared" si="1"/>
        <v>-5041</v>
      </c>
      <c r="J11" s="10">
        <v>4806</v>
      </c>
      <c r="K11" s="15">
        <f t="shared" si="2"/>
        <v>-235</v>
      </c>
    </row>
    <row r="12" spans="1:11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v>0</v>
      </c>
      <c r="H12" s="10">
        <f t="shared" si="0"/>
        <v>0</v>
      </c>
      <c r="I12" s="10">
        <f t="shared" si="1"/>
        <v>-7796</v>
      </c>
      <c r="J12" s="10">
        <v>7796</v>
      </c>
      <c r="K12" s="15">
        <f t="shared" si="2"/>
        <v>0</v>
      </c>
    </row>
    <row r="13" spans="1:11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v>0</v>
      </c>
      <c r="H13" s="10">
        <f t="shared" si="0"/>
        <v>0</v>
      </c>
      <c r="I13" s="10">
        <f t="shared" si="1"/>
        <v>-7154</v>
      </c>
      <c r="J13" s="10">
        <v>7154</v>
      </c>
      <c r="K13" s="15">
        <f t="shared" si="2"/>
        <v>0</v>
      </c>
    </row>
    <row r="14" spans="1:11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5884</v>
      </c>
      <c r="F14"/>
      <c r="G14">
        <v>5.8840000000000003</v>
      </c>
      <c r="H14" s="10">
        <f t="shared" si="0"/>
        <v>5884</v>
      </c>
      <c r="I14" s="10">
        <f t="shared" si="1"/>
        <v>0</v>
      </c>
      <c r="J14" s="10">
        <v>6023</v>
      </c>
      <c r="K14" s="15">
        <f t="shared" si="2"/>
        <v>139</v>
      </c>
    </row>
    <row r="15" spans="1:11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6405</v>
      </c>
      <c r="F15"/>
      <c r="G15">
        <v>6.4050000000000002</v>
      </c>
      <c r="H15" s="10">
        <f>G15*1000</f>
        <v>6405</v>
      </c>
      <c r="I15" s="10">
        <f>H15-E15</f>
        <v>0</v>
      </c>
      <c r="J15" s="10">
        <v>6847</v>
      </c>
      <c r="K15" s="15">
        <f t="shared" si="2"/>
        <v>442</v>
      </c>
    </row>
    <row r="16" spans="1:11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v>0</v>
      </c>
      <c r="H16" s="10">
        <f t="shared" si="0"/>
        <v>0</v>
      </c>
      <c r="I16" s="10">
        <f t="shared" si="1"/>
        <v>-3971</v>
      </c>
      <c r="J16" s="10">
        <v>3971</v>
      </c>
      <c r="K16" s="15">
        <f t="shared" si="2"/>
        <v>0</v>
      </c>
    </row>
    <row r="17" spans="1:1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5054</v>
      </c>
      <c r="G17">
        <v>0</v>
      </c>
      <c r="H17" s="10">
        <f t="shared" si="0"/>
        <v>0</v>
      </c>
      <c r="I17" s="10">
        <f t="shared" si="1"/>
        <v>-5054</v>
      </c>
      <c r="J17" s="10">
        <v>5054</v>
      </c>
      <c r="K17" s="15">
        <f t="shared" si="2"/>
        <v>0</v>
      </c>
    </row>
    <row r="18" spans="1:1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v>0</v>
      </c>
      <c r="H18" s="10">
        <f t="shared" si="0"/>
        <v>0</v>
      </c>
      <c r="I18" s="10">
        <f t="shared" si="1"/>
        <v>-5747</v>
      </c>
      <c r="J18" s="10">
        <v>5747</v>
      </c>
      <c r="K18" s="15">
        <f t="shared" si="2"/>
        <v>0</v>
      </c>
    </row>
    <row r="19" spans="1:1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v>0</v>
      </c>
      <c r="H19" s="10">
        <f t="shared" si="0"/>
        <v>0</v>
      </c>
      <c r="I19" s="10">
        <f t="shared" si="1"/>
        <v>-4212</v>
      </c>
      <c r="J19" s="10">
        <v>4212</v>
      </c>
      <c r="K19" s="15">
        <f t="shared" si="2"/>
        <v>0</v>
      </c>
    </row>
    <row r="20" spans="1:1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v>0</v>
      </c>
      <c r="H20" s="10">
        <f t="shared" si="0"/>
        <v>0</v>
      </c>
      <c r="I20" s="10">
        <f t="shared" si="1"/>
        <v>-4766</v>
      </c>
      <c r="J20" s="10">
        <v>4766</v>
      </c>
      <c r="K20" s="15">
        <f t="shared" si="2"/>
        <v>0</v>
      </c>
    </row>
    <row r="21" spans="1:1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v>0</v>
      </c>
      <c r="H21" s="10">
        <f t="shared" si="0"/>
        <v>0</v>
      </c>
      <c r="I21" s="10">
        <f t="shared" si="1"/>
        <v>-3877</v>
      </c>
      <c r="J21" s="10">
        <v>3877</v>
      </c>
      <c r="K21" s="15">
        <f t="shared" si="2"/>
        <v>0</v>
      </c>
    </row>
    <row r="22" spans="1:11" x14ac:dyDescent="0.25">
      <c r="A22" s="1" t="s">
        <v>41</v>
      </c>
      <c r="B22" s="1" t="s">
        <v>38</v>
      </c>
      <c r="C22" s="1" t="s">
        <v>9</v>
      </c>
      <c r="D22" s="1">
        <v>125</v>
      </c>
      <c r="E22" s="14">
        <v>3922</v>
      </c>
      <c r="G22">
        <v>3.9220000000000002</v>
      </c>
      <c r="H22" s="10">
        <f t="shared" si="0"/>
        <v>3922</v>
      </c>
      <c r="I22" s="10">
        <f t="shared" si="1"/>
        <v>0</v>
      </c>
      <c r="J22" s="10">
        <v>4518</v>
      </c>
      <c r="K22" s="15">
        <f t="shared" si="2"/>
        <v>596</v>
      </c>
    </row>
    <row r="23" spans="1:1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v>0</v>
      </c>
      <c r="H23" s="10">
        <f t="shared" si="0"/>
        <v>0</v>
      </c>
      <c r="I23" s="10">
        <f t="shared" si="1"/>
        <v>-5190</v>
      </c>
      <c r="J23" s="10">
        <v>5190</v>
      </c>
      <c r="K23" s="15">
        <f t="shared" si="2"/>
        <v>0</v>
      </c>
    </row>
    <row r="24" spans="1:1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v>0</v>
      </c>
      <c r="H24" s="10">
        <f t="shared" si="0"/>
        <v>0</v>
      </c>
      <c r="I24" s="10">
        <f t="shared" si="1"/>
        <v>-4766</v>
      </c>
      <c r="J24" s="10">
        <v>4766</v>
      </c>
      <c r="K24" s="15">
        <f t="shared" si="2"/>
        <v>0</v>
      </c>
    </row>
    <row r="25" spans="1:1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v>0</v>
      </c>
      <c r="H25" s="10">
        <f t="shared" si="0"/>
        <v>0</v>
      </c>
      <c r="I25" s="10">
        <f t="shared" si="1"/>
        <v>-5289.26</v>
      </c>
      <c r="J25" s="10">
        <v>5289.26</v>
      </c>
      <c r="K25" s="15">
        <f t="shared" si="2"/>
        <v>0</v>
      </c>
    </row>
    <row r="26" spans="1:1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v>0</v>
      </c>
      <c r="H26" s="10">
        <f t="shared" si="0"/>
        <v>0</v>
      </c>
      <c r="I26" s="10">
        <f t="shared" si="1"/>
        <v>-4902</v>
      </c>
      <c r="J26" s="10">
        <v>4902</v>
      </c>
      <c r="K26" s="15">
        <f t="shared" si="2"/>
        <v>0</v>
      </c>
    </row>
    <row r="27" spans="1:1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v>0</v>
      </c>
      <c r="H27" s="10">
        <f t="shared" si="0"/>
        <v>0</v>
      </c>
      <c r="I27" s="10">
        <f t="shared" si="1"/>
        <v>-4767</v>
      </c>
      <c r="J27" s="10">
        <v>4767</v>
      </c>
      <c r="K27" s="15">
        <f t="shared" si="2"/>
        <v>0</v>
      </c>
    </row>
    <row r="28" spans="1:11" x14ac:dyDescent="0.25">
      <c r="A28" s="1" t="s">
        <v>50</v>
      </c>
      <c r="B28" s="1" t="s">
        <v>38</v>
      </c>
      <c r="C28" s="1" t="s">
        <v>9</v>
      </c>
      <c r="D28" s="1">
        <v>185</v>
      </c>
      <c r="E28" s="14">
        <v>4842</v>
      </c>
      <c r="G28">
        <v>4.8419999999999996</v>
      </c>
      <c r="H28" s="10">
        <f t="shared" si="0"/>
        <v>4842</v>
      </c>
      <c r="I28" s="10">
        <f t="shared" si="1"/>
        <v>0</v>
      </c>
      <c r="J28" s="10">
        <v>4652</v>
      </c>
      <c r="K28" s="15">
        <f t="shared" si="2"/>
        <v>-190</v>
      </c>
    </row>
    <row r="29" spans="1:1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v>0</v>
      </c>
      <c r="H29" s="10">
        <f t="shared" si="0"/>
        <v>0</v>
      </c>
      <c r="I29" s="10">
        <f t="shared" si="1"/>
        <v>-5054</v>
      </c>
      <c r="J29" s="10">
        <v>5054</v>
      </c>
      <c r="K29" s="15">
        <f t="shared" si="2"/>
        <v>0</v>
      </c>
    </row>
    <row r="30" spans="1:1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v>0</v>
      </c>
      <c r="H30" s="10">
        <f t="shared" si="0"/>
        <v>0</v>
      </c>
      <c r="I30" s="10">
        <f t="shared" si="1"/>
        <v>-4549</v>
      </c>
      <c r="J30" s="10">
        <v>4549</v>
      </c>
      <c r="K30" s="15">
        <f t="shared" si="2"/>
        <v>0</v>
      </c>
    </row>
    <row r="31" spans="1:1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v>0</v>
      </c>
      <c r="H31" s="10">
        <f t="shared" si="0"/>
        <v>0</v>
      </c>
      <c r="I31" s="10">
        <f t="shared" si="1"/>
        <v>-4549</v>
      </c>
      <c r="J31" s="10">
        <v>4549</v>
      </c>
      <c r="K31" s="15">
        <f t="shared" si="2"/>
        <v>0</v>
      </c>
    </row>
    <row r="32" spans="1:1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4137</v>
      </c>
      <c r="G32">
        <v>0</v>
      </c>
      <c r="H32" s="10">
        <f t="shared" si="0"/>
        <v>0</v>
      </c>
      <c r="I32" s="10">
        <f t="shared" si="1"/>
        <v>-4137</v>
      </c>
      <c r="J32" s="10">
        <v>4137</v>
      </c>
      <c r="K32" s="15">
        <f t="shared" si="2"/>
        <v>0</v>
      </c>
    </row>
    <row r="33" spans="1:1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v>0</v>
      </c>
      <c r="H33" s="10">
        <f t="shared" si="0"/>
        <v>0</v>
      </c>
      <c r="I33" s="10">
        <f t="shared" si="1"/>
        <v>-7004</v>
      </c>
      <c r="J33" s="10">
        <v>7004</v>
      </c>
      <c r="K33" s="15">
        <f t="shared" si="2"/>
        <v>0</v>
      </c>
    </row>
    <row r="34" spans="1:1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v>8185</v>
      </c>
      <c r="G34">
        <v>0</v>
      </c>
      <c r="H34" s="10">
        <f t="shared" si="0"/>
        <v>0</v>
      </c>
      <c r="I34" s="10">
        <f t="shared" si="1"/>
        <v>-8185</v>
      </c>
      <c r="J34" s="10">
        <v>8185</v>
      </c>
      <c r="K34" s="15">
        <f t="shared" si="2"/>
        <v>0</v>
      </c>
    </row>
    <row r="35" spans="1:11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5054</v>
      </c>
      <c r="G35">
        <v>0</v>
      </c>
      <c r="H35" s="10">
        <f t="shared" si="0"/>
        <v>0</v>
      </c>
      <c r="I35" s="10">
        <f t="shared" si="1"/>
        <v>-5054</v>
      </c>
      <c r="J35" s="10">
        <v>8185</v>
      </c>
      <c r="K35" s="15">
        <f t="shared" si="2"/>
        <v>3131</v>
      </c>
    </row>
    <row r="36" spans="1:1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3245</v>
      </c>
      <c r="G36">
        <v>3.2450000000000001</v>
      </c>
      <c r="H36" s="10">
        <f t="shared" si="0"/>
        <v>3245</v>
      </c>
      <c r="I36" s="10">
        <f t="shared" si="1"/>
        <v>0</v>
      </c>
      <c r="J36" s="10">
        <v>3361</v>
      </c>
      <c r="K36" s="15">
        <f t="shared" si="2"/>
        <v>116</v>
      </c>
    </row>
    <row r="37" spans="1:1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v>0</v>
      </c>
      <c r="H37" s="10">
        <f t="shared" si="0"/>
        <v>0</v>
      </c>
      <c r="I37" s="10">
        <f t="shared" si="1"/>
        <v>-3356.52</v>
      </c>
      <c r="J37" s="10">
        <v>3356.52</v>
      </c>
      <c r="K37" s="15">
        <f t="shared" si="2"/>
        <v>0</v>
      </c>
    </row>
    <row r="38" spans="1:1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3203</v>
      </c>
      <c r="G38">
        <v>3.2029999999999998</v>
      </c>
      <c r="H38" s="10">
        <f t="shared" si="0"/>
        <v>3203</v>
      </c>
      <c r="I38" s="10">
        <f t="shared" si="1"/>
        <v>0</v>
      </c>
      <c r="J38" s="10">
        <v>3244</v>
      </c>
      <c r="K38" s="15">
        <f t="shared" si="2"/>
        <v>41</v>
      </c>
    </row>
    <row r="39" spans="1:1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v>0</v>
      </c>
      <c r="H39" s="10">
        <f t="shared" si="0"/>
        <v>0</v>
      </c>
      <c r="I39" s="10">
        <f t="shared" si="1"/>
        <v>-3356.52</v>
      </c>
      <c r="J39" s="10">
        <v>3356.52</v>
      </c>
      <c r="K39" s="15">
        <f t="shared" si="2"/>
        <v>0</v>
      </c>
    </row>
    <row r="40" spans="1:11" x14ac:dyDescent="0.25">
      <c r="A40" s="1" t="s">
        <v>68</v>
      </c>
      <c r="B40" s="1"/>
      <c r="C40" s="1"/>
      <c r="D40" s="1">
        <v>110</v>
      </c>
      <c r="E40" s="2">
        <v>4161.9400000000005</v>
      </c>
      <c r="G40">
        <v>0</v>
      </c>
      <c r="H40" s="10">
        <f t="shared" si="0"/>
        <v>0</v>
      </c>
      <c r="I40" s="10">
        <f t="shared" si="1"/>
        <v>-4161.9400000000005</v>
      </c>
      <c r="J40" s="10">
        <v>4161.9400000000005</v>
      </c>
      <c r="K40" s="15">
        <f t="shared" si="2"/>
        <v>0</v>
      </c>
    </row>
    <row r="41" spans="1:1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v>0</v>
      </c>
      <c r="H41" s="10">
        <f t="shared" si="0"/>
        <v>0</v>
      </c>
      <c r="I41" s="10">
        <f t="shared" si="1"/>
        <v>-3101</v>
      </c>
      <c r="J41" s="10">
        <v>3101</v>
      </c>
      <c r="K41" s="15">
        <f t="shared" si="2"/>
        <v>0</v>
      </c>
    </row>
    <row r="42" spans="1:1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3048</v>
      </c>
      <c r="G42">
        <v>3.048</v>
      </c>
      <c r="H42" s="10">
        <f t="shared" si="0"/>
        <v>3048</v>
      </c>
      <c r="I42" s="10">
        <f t="shared" si="1"/>
        <v>0</v>
      </c>
      <c r="J42" s="10">
        <v>3341</v>
      </c>
      <c r="K42" s="15">
        <f t="shared" si="2"/>
        <v>293</v>
      </c>
    </row>
    <row r="43" spans="1:1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v>0</v>
      </c>
      <c r="H43" s="10">
        <f t="shared" si="0"/>
        <v>0</v>
      </c>
      <c r="I43" s="10">
        <f t="shared" si="1"/>
        <v>-3352</v>
      </c>
      <c r="J43" s="10">
        <v>3352</v>
      </c>
      <c r="K43" s="15">
        <f t="shared" si="2"/>
        <v>0</v>
      </c>
    </row>
    <row r="44" spans="1:1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v>0</v>
      </c>
      <c r="H44" s="10">
        <f t="shared" si="0"/>
        <v>0</v>
      </c>
      <c r="I44" s="10">
        <f t="shared" si="1"/>
        <v>-3356.52</v>
      </c>
      <c r="J44" s="10">
        <v>3356.52</v>
      </c>
      <c r="K44" s="15">
        <f t="shared" si="2"/>
        <v>0</v>
      </c>
    </row>
    <row r="45" spans="1:1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v>0</v>
      </c>
      <c r="H45" s="10">
        <f t="shared" si="0"/>
        <v>0</v>
      </c>
      <c r="I45" s="10">
        <f t="shared" si="1"/>
        <v>-3356.52</v>
      </c>
      <c r="J45" s="10">
        <v>3356.52</v>
      </c>
      <c r="K45" s="15">
        <f t="shared" si="2"/>
        <v>0</v>
      </c>
    </row>
    <row r="46" spans="1:1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v>0</v>
      </c>
      <c r="H46" s="10">
        <f t="shared" si="0"/>
        <v>0</v>
      </c>
      <c r="I46" s="10">
        <f t="shared" si="1"/>
        <v>-3356.52</v>
      </c>
      <c r="J46" s="10">
        <v>3356.52</v>
      </c>
      <c r="K46" s="15">
        <f t="shared" si="2"/>
        <v>0</v>
      </c>
    </row>
    <row r="47" spans="1:11" x14ac:dyDescent="0.25">
      <c r="A47" s="1" t="s">
        <v>76</v>
      </c>
      <c r="B47" s="1"/>
      <c r="C47" s="1" t="s">
        <v>9</v>
      </c>
      <c r="D47" s="1">
        <v>100</v>
      </c>
      <c r="E47" s="2">
        <v>4161.9400000000005</v>
      </c>
      <c r="G47">
        <v>0</v>
      </c>
      <c r="H47" s="10">
        <f t="shared" si="0"/>
        <v>0</v>
      </c>
      <c r="I47" s="10">
        <f t="shared" si="1"/>
        <v>-4161.9400000000005</v>
      </c>
      <c r="J47" s="10">
        <v>4161.9400000000005</v>
      </c>
      <c r="K47" s="15">
        <f t="shared" si="2"/>
        <v>0</v>
      </c>
    </row>
    <row r="48" spans="1:11" x14ac:dyDescent="0.25">
      <c r="A48" s="1" t="s">
        <v>77</v>
      </c>
      <c r="B48" s="1"/>
      <c r="C48" s="1" t="s">
        <v>9</v>
      </c>
      <c r="D48" s="1">
        <v>80</v>
      </c>
      <c r="E48" s="2">
        <v>4161.9400000000005</v>
      </c>
      <c r="G48">
        <v>0</v>
      </c>
      <c r="H48" s="10">
        <f t="shared" si="0"/>
        <v>0</v>
      </c>
      <c r="I48" s="10">
        <f t="shared" si="1"/>
        <v>-4161.9400000000005</v>
      </c>
      <c r="J48" s="10">
        <v>4161.9400000000005</v>
      </c>
      <c r="K48" s="15">
        <f t="shared" si="2"/>
        <v>0</v>
      </c>
    </row>
    <row r="49" spans="1:11" x14ac:dyDescent="0.25">
      <c r="A49" s="1" t="s">
        <v>78</v>
      </c>
      <c r="B49" s="1"/>
      <c r="C49" s="1" t="s">
        <v>9</v>
      </c>
      <c r="D49" s="1">
        <v>110</v>
      </c>
      <c r="E49" s="2">
        <v>4161.9400000000005</v>
      </c>
      <c r="G49">
        <v>0</v>
      </c>
      <c r="H49" s="10">
        <f t="shared" si="0"/>
        <v>0</v>
      </c>
      <c r="I49" s="10">
        <f t="shared" si="1"/>
        <v>-4161.9400000000005</v>
      </c>
      <c r="J49" s="10">
        <v>4161.9400000000005</v>
      </c>
      <c r="K49" s="15">
        <f t="shared" si="2"/>
        <v>0</v>
      </c>
    </row>
    <row r="50" spans="1:11" x14ac:dyDescent="0.25">
      <c r="A50" s="1" t="s">
        <v>79</v>
      </c>
      <c r="B50" s="1"/>
      <c r="C50" s="1" t="s">
        <v>9</v>
      </c>
      <c r="D50" s="1">
        <v>120</v>
      </c>
      <c r="E50" s="2">
        <v>4161.9400000000005</v>
      </c>
      <c r="G50">
        <v>0</v>
      </c>
      <c r="H50" s="10">
        <f t="shared" si="0"/>
        <v>0</v>
      </c>
      <c r="I50" s="10">
        <f t="shared" si="1"/>
        <v>-4161.9400000000005</v>
      </c>
      <c r="J50" s="10">
        <v>4161.9400000000005</v>
      </c>
      <c r="K50" s="15">
        <f t="shared" si="2"/>
        <v>0</v>
      </c>
    </row>
    <row r="51" spans="1:11" x14ac:dyDescent="0.25">
      <c r="A51" s="1" t="s">
        <v>80</v>
      </c>
      <c r="B51" s="1"/>
      <c r="C51" s="1" t="s">
        <v>9</v>
      </c>
      <c r="D51" s="1">
        <v>140</v>
      </c>
      <c r="E51" s="2">
        <v>4161.9400000000005</v>
      </c>
      <c r="G51">
        <v>0</v>
      </c>
      <c r="H51" s="10">
        <f t="shared" si="0"/>
        <v>0</v>
      </c>
      <c r="I51" s="10">
        <f t="shared" si="1"/>
        <v>-4161.9400000000005</v>
      </c>
      <c r="J51" s="10">
        <v>4161.9400000000005</v>
      </c>
      <c r="K51" s="15">
        <f t="shared" si="2"/>
        <v>0</v>
      </c>
    </row>
    <row r="52" spans="1:11" x14ac:dyDescent="0.25">
      <c r="A52" s="1" t="s">
        <v>81</v>
      </c>
      <c r="B52" s="1"/>
      <c r="C52" s="1"/>
      <c r="D52" s="1">
        <v>160</v>
      </c>
      <c r="E52" s="2">
        <v>4161.9400000000005</v>
      </c>
      <c r="G52">
        <v>0</v>
      </c>
      <c r="H52" s="10">
        <f t="shared" si="0"/>
        <v>0</v>
      </c>
      <c r="I52" s="10">
        <f t="shared" si="1"/>
        <v>-4161.9400000000005</v>
      </c>
      <c r="J52" s="10">
        <v>4161.9400000000005</v>
      </c>
      <c r="K52" s="15">
        <f t="shared" si="2"/>
        <v>0</v>
      </c>
    </row>
    <row r="53" spans="1:11" x14ac:dyDescent="0.25">
      <c r="A53" s="1" t="s">
        <v>82</v>
      </c>
      <c r="B53" s="1"/>
      <c r="C53" s="1" t="s">
        <v>9</v>
      </c>
      <c r="D53" s="1">
        <v>185</v>
      </c>
      <c r="E53" s="2">
        <v>4162</v>
      </c>
      <c r="G53">
        <v>0</v>
      </c>
      <c r="H53" s="10">
        <f t="shared" si="0"/>
        <v>0</v>
      </c>
      <c r="I53" s="10">
        <f t="shared" si="1"/>
        <v>-4162</v>
      </c>
      <c r="J53" s="10">
        <v>4162</v>
      </c>
      <c r="K53" s="15">
        <f t="shared" si="2"/>
        <v>0</v>
      </c>
    </row>
    <row r="54" spans="1:11" x14ac:dyDescent="0.25">
      <c r="A54" s="1" t="s">
        <v>83</v>
      </c>
      <c r="B54" s="1"/>
      <c r="C54" s="1" t="s">
        <v>9</v>
      </c>
      <c r="D54" s="1">
        <v>140</v>
      </c>
      <c r="E54" s="2">
        <v>4162</v>
      </c>
      <c r="G54">
        <v>0</v>
      </c>
      <c r="H54" s="10">
        <f t="shared" si="0"/>
        <v>0</v>
      </c>
      <c r="I54" s="10">
        <f t="shared" si="1"/>
        <v>-4162</v>
      </c>
      <c r="J54" s="10">
        <v>4162</v>
      </c>
      <c r="K54" s="15">
        <f t="shared" si="2"/>
        <v>0</v>
      </c>
    </row>
    <row r="55" spans="1:1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v>0</v>
      </c>
      <c r="H55" s="10">
        <f t="shared" si="0"/>
        <v>0</v>
      </c>
      <c r="I55" s="10">
        <f t="shared" si="1"/>
        <v>-4161.9400000000005</v>
      </c>
      <c r="J55" s="10">
        <v>4161.9400000000005</v>
      </c>
      <c r="K55" s="15">
        <f t="shared" si="2"/>
        <v>0</v>
      </c>
    </row>
    <row r="56" spans="1:11" x14ac:dyDescent="0.25">
      <c r="A56" s="1" t="s">
        <v>86</v>
      </c>
      <c r="B56" s="1" t="s">
        <v>87</v>
      </c>
      <c r="C56" s="1"/>
      <c r="D56" s="1">
        <v>180</v>
      </c>
      <c r="E56" s="2">
        <v>4161.9400000000005</v>
      </c>
      <c r="G56">
        <v>0</v>
      </c>
      <c r="H56" s="10">
        <f t="shared" si="0"/>
        <v>0</v>
      </c>
      <c r="I56" s="10">
        <f t="shared" si="1"/>
        <v>-4161.9400000000005</v>
      </c>
      <c r="J56" s="10">
        <v>4161.9400000000005</v>
      </c>
      <c r="K56" s="15">
        <f t="shared" si="2"/>
        <v>0</v>
      </c>
    </row>
    <row r="57" spans="1:1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v>4161.9400000000005</v>
      </c>
      <c r="G57">
        <v>0</v>
      </c>
      <c r="H57" s="10">
        <f t="shared" si="0"/>
        <v>0</v>
      </c>
      <c r="I57" s="10">
        <f t="shared" si="1"/>
        <v>-4161.9400000000005</v>
      </c>
      <c r="J57" s="10">
        <v>4161.9400000000005</v>
      </c>
      <c r="K57" s="15">
        <f t="shared" si="2"/>
        <v>0</v>
      </c>
    </row>
    <row r="58" spans="1:11" x14ac:dyDescent="0.25">
      <c r="A58" s="1" t="s">
        <v>95</v>
      </c>
      <c r="B58" s="1"/>
      <c r="C58" s="1"/>
      <c r="D58" s="1">
        <v>125</v>
      </c>
      <c r="E58" s="7">
        <v>9960</v>
      </c>
      <c r="G58">
        <v>0</v>
      </c>
      <c r="H58" s="10">
        <f t="shared" si="0"/>
        <v>0</v>
      </c>
      <c r="I58" s="10">
        <f t="shared" si="1"/>
        <v>-9960</v>
      </c>
      <c r="J58" s="10">
        <v>9960</v>
      </c>
      <c r="K58" s="15">
        <f t="shared" si="2"/>
        <v>0</v>
      </c>
    </row>
    <row r="59" spans="1:1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v>0</v>
      </c>
      <c r="H59" s="10">
        <f t="shared" si="0"/>
        <v>0</v>
      </c>
      <c r="I59" s="10">
        <f t="shared" si="1"/>
        <v>-4434</v>
      </c>
      <c r="J59" s="10">
        <v>4434</v>
      </c>
      <c r="K59" s="15">
        <f t="shared" si="2"/>
        <v>0</v>
      </c>
    </row>
    <row r="60" spans="1:11" x14ac:dyDescent="0.25">
      <c r="A60" s="1" t="s">
        <v>98</v>
      </c>
      <c r="B60" s="1"/>
      <c r="C60" s="1"/>
      <c r="D60" s="1">
        <v>126</v>
      </c>
      <c r="E60" s="2">
        <v>4085</v>
      </c>
      <c r="G60">
        <v>0</v>
      </c>
      <c r="H60" s="10">
        <f t="shared" si="0"/>
        <v>0</v>
      </c>
      <c r="I60" s="10">
        <f t="shared" si="1"/>
        <v>-4085</v>
      </c>
      <c r="J60" s="10">
        <v>4085</v>
      </c>
      <c r="K60" s="15">
        <f t="shared" si="2"/>
        <v>0</v>
      </c>
    </row>
    <row r="61" spans="1:11" x14ac:dyDescent="0.25">
      <c r="A61" s="1" t="s">
        <v>99</v>
      </c>
      <c r="B61" s="1"/>
      <c r="C61" s="1"/>
      <c r="D61" s="1">
        <v>90</v>
      </c>
      <c r="E61" s="2">
        <v>4866.7</v>
      </c>
      <c r="G61">
        <v>0</v>
      </c>
      <c r="H61" s="10">
        <f t="shared" si="0"/>
        <v>0</v>
      </c>
      <c r="I61" s="10">
        <f t="shared" si="1"/>
        <v>-4866.7</v>
      </c>
      <c r="J61" s="10">
        <v>4866.7</v>
      </c>
      <c r="K61" s="15">
        <f t="shared" si="2"/>
        <v>0</v>
      </c>
    </row>
    <row r="62" spans="1:11" x14ac:dyDescent="0.25">
      <c r="A62" s="1" t="s">
        <v>100</v>
      </c>
      <c r="B62" s="1"/>
      <c r="C62" s="1"/>
      <c r="D62" s="1">
        <v>220</v>
      </c>
      <c r="E62" s="2"/>
      <c r="G62">
        <v>0</v>
      </c>
      <c r="H62" s="10">
        <f t="shared" si="0"/>
        <v>0</v>
      </c>
      <c r="I62" s="10">
        <f t="shared" si="1"/>
        <v>0</v>
      </c>
      <c r="K62" s="15">
        <f t="shared" si="2"/>
        <v>0</v>
      </c>
    </row>
    <row r="63" spans="1:11" x14ac:dyDescent="0.25">
      <c r="A63" s="1" t="s">
        <v>101</v>
      </c>
      <c r="B63" s="1"/>
      <c r="C63" s="1"/>
      <c r="D63" s="1">
        <v>300</v>
      </c>
      <c r="E63" s="2">
        <v>4137</v>
      </c>
      <c r="G63">
        <v>0</v>
      </c>
      <c r="H63" s="10">
        <f t="shared" si="0"/>
        <v>0</v>
      </c>
      <c r="I63" s="10">
        <f t="shared" si="1"/>
        <v>-4137</v>
      </c>
      <c r="J63" s="10">
        <v>4137</v>
      </c>
      <c r="K63" s="15">
        <f t="shared" si="2"/>
        <v>0</v>
      </c>
    </row>
    <row r="64" spans="1:11" x14ac:dyDescent="0.25">
      <c r="A64" s="1" t="s">
        <v>102</v>
      </c>
      <c r="B64" s="1"/>
      <c r="C64" s="1"/>
      <c r="D64" s="1">
        <v>150</v>
      </c>
      <c r="E64" s="7">
        <v>5289.26</v>
      </c>
      <c r="G64">
        <v>0</v>
      </c>
      <c r="H64" s="10">
        <f t="shared" si="0"/>
        <v>0</v>
      </c>
      <c r="I64" s="10">
        <f t="shared" si="1"/>
        <v>-5289.26</v>
      </c>
      <c r="J64" s="10">
        <v>5289.26</v>
      </c>
      <c r="K64" s="15">
        <f t="shared" si="2"/>
        <v>0</v>
      </c>
    </row>
    <row r="65" spans="1:11" x14ac:dyDescent="0.25">
      <c r="A65" s="1" t="s">
        <v>103</v>
      </c>
      <c r="B65" s="1"/>
      <c r="C65" s="1"/>
      <c r="D65" s="1">
        <v>160</v>
      </c>
      <c r="E65" s="2">
        <v>4866.7</v>
      </c>
      <c r="G65">
        <v>0</v>
      </c>
      <c r="H65" s="10">
        <f t="shared" si="0"/>
        <v>0</v>
      </c>
      <c r="I65" s="10">
        <f t="shared" si="1"/>
        <v>-4866.7</v>
      </c>
      <c r="J65" s="10">
        <v>4866.7</v>
      </c>
      <c r="K65" s="15">
        <f t="shared" si="2"/>
        <v>0</v>
      </c>
    </row>
    <row r="66" spans="1:11" x14ac:dyDescent="0.25">
      <c r="A66" s="1" t="s">
        <v>104</v>
      </c>
      <c r="B66" s="1"/>
      <c r="C66" s="1"/>
      <c r="D66" s="1">
        <v>120</v>
      </c>
      <c r="E66" s="2">
        <v>4866.7</v>
      </c>
      <c r="G66">
        <v>0</v>
      </c>
      <c r="H66" s="10">
        <f t="shared" si="0"/>
        <v>0</v>
      </c>
      <c r="I66" s="10">
        <f t="shared" si="1"/>
        <v>-4866.7</v>
      </c>
      <c r="J66" s="10">
        <v>4866.7</v>
      </c>
      <c r="K66" s="15">
        <f t="shared" si="2"/>
        <v>0</v>
      </c>
    </row>
    <row r="67" spans="1:11" x14ac:dyDescent="0.25">
      <c r="A67" s="1" t="s">
        <v>105</v>
      </c>
      <c r="B67" s="1"/>
      <c r="C67" s="1"/>
      <c r="D67" s="1">
        <v>190</v>
      </c>
      <c r="E67" s="2">
        <v>7220.34</v>
      </c>
      <c r="G67">
        <v>0</v>
      </c>
      <c r="H67" s="10">
        <f t="shared" si="0"/>
        <v>0</v>
      </c>
      <c r="I67" s="10">
        <f t="shared" si="1"/>
        <v>-7220.34</v>
      </c>
      <c r="J67" s="10">
        <v>7220.34</v>
      </c>
      <c r="K67" s="15">
        <f t="shared" si="2"/>
        <v>0</v>
      </c>
    </row>
    <row r="68" spans="1:11" x14ac:dyDescent="0.25">
      <c r="A68" s="1" t="s">
        <v>106</v>
      </c>
      <c r="B68" s="1"/>
      <c r="C68" s="1"/>
      <c r="D68" s="1">
        <v>200</v>
      </c>
      <c r="E68" s="2">
        <v>7220.34</v>
      </c>
      <c r="G68">
        <v>0</v>
      </c>
      <c r="H68" s="10">
        <f t="shared" ref="H68:H87" si="3">G68*1000</f>
        <v>0</v>
      </c>
      <c r="I68" s="10">
        <f t="shared" ref="I68:I87" si="4">H68-E68</f>
        <v>-7220.34</v>
      </c>
      <c r="J68" s="10">
        <v>7220.34</v>
      </c>
      <c r="K68" s="15">
        <f t="shared" ref="K68:K89" si="5">J68-E68</f>
        <v>0</v>
      </c>
    </row>
    <row r="69" spans="1:11" x14ac:dyDescent="0.25">
      <c r="A69" s="1" t="s">
        <v>107</v>
      </c>
      <c r="B69" s="1"/>
      <c r="C69" s="1"/>
      <c r="D69" s="1">
        <v>205</v>
      </c>
      <c r="E69" s="2">
        <v>6847</v>
      </c>
      <c r="G69">
        <v>0</v>
      </c>
      <c r="H69" s="10">
        <f t="shared" si="3"/>
        <v>0</v>
      </c>
      <c r="I69" s="10">
        <f t="shared" si="4"/>
        <v>-6847</v>
      </c>
      <c r="J69" s="10">
        <v>6847</v>
      </c>
      <c r="K69" s="15">
        <f t="shared" si="5"/>
        <v>0</v>
      </c>
    </row>
    <row r="70" spans="1:11" x14ac:dyDescent="0.25">
      <c r="A70" s="1" t="s">
        <v>108</v>
      </c>
      <c r="B70" s="1"/>
      <c r="C70" s="1"/>
      <c r="D70" s="1">
        <v>110</v>
      </c>
      <c r="E70" s="2">
        <v>4162</v>
      </c>
      <c r="G70">
        <v>0</v>
      </c>
      <c r="H70" s="10">
        <f t="shared" si="3"/>
        <v>0</v>
      </c>
      <c r="I70" s="10">
        <f t="shared" si="4"/>
        <v>-4162</v>
      </c>
      <c r="J70" s="10">
        <v>4162</v>
      </c>
      <c r="K70" s="15">
        <f t="shared" si="5"/>
        <v>0</v>
      </c>
    </row>
    <row r="71" spans="1:11" x14ac:dyDescent="0.25">
      <c r="A71" s="1" t="s">
        <v>109</v>
      </c>
      <c r="B71" s="1"/>
      <c r="C71" s="1"/>
      <c r="D71" s="1">
        <v>227</v>
      </c>
      <c r="E71" s="2">
        <v>7220.34</v>
      </c>
      <c r="G71">
        <v>0</v>
      </c>
      <c r="H71" s="10">
        <f t="shared" si="3"/>
        <v>0</v>
      </c>
      <c r="I71" s="10">
        <f t="shared" si="4"/>
        <v>-7220.34</v>
      </c>
      <c r="J71" s="10">
        <v>7220.34</v>
      </c>
      <c r="K71" s="15">
        <f t="shared" si="5"/>
        <v>0</v>
      </c>
    </row>
    <row r="72" spans="1:11" x14ac:dyDescent="0.25">
      <c r="A72" s="1" t="s">
        <v>110</v>
      </c>
      <c r="B72" s="1"/>
      <c r="C72" s="1"/>
      <c r="D72" s="1">
        <v>135</v>
      </c>
      <c r="E72" s="2">
        <v>3103.58</v>
      </c>
      <c r="G72">
        <v>0</v>
      </c>
      <c r="H72" s="10">
        <f t="shared" si="3"/>
        <v>0</v>
      </c>
      <c r="I72" s="10">
        <f t="shared" si="4"/>
        <v>-3103.58</v>
      </c>
      <c r="J72" s="10">
        <v>3103.58</v>
      </c>
      <c r="K72" s="15">
        <f t="shared" si="5"/>
        <v>0</v>
      </c>
    </row>
    <row r="73" spans="1:11" x14ac:dyDescent="0.25">
      <c r="A73" s="1" t="s">
        <v>111</v>
      </c>
      <c r="B73" s="1"/>
      <c r="C73" s="1"/>
      <c r="D73" s="1">
        <v>75</v>
      </c>
      <c r="E73" s="2">
        <v>5075</v>
      </c>
      <c r="G73">
        <v>0</v>
      </c>
      <c r="H73" s="10">
        <f t="shared" si="3"/>
        <v>0</v>
      </c>
      <c r="I73" s="10">
        <f t="shared" si="4"/>
        <v>-5075</v>
      </c>
      <c r="J73" s="10">
        <v>5075</v>
      </c>
      <c r="K73" s="15">
        <f t="shared" si="5"/>
        <v>0</v>
      </c>
    </row>
    <row r="74" spans="1:11" x14ac:dyDescent="0.25">
      <c r="A74" s="1" t="s">
        <v>112</v>
      </c>
      <c r="B74" s="1"/>
      <c r="C74" s="1"/>
      <c r="D74" s="1">
        <v>90</v>
      </c>
      <c r="E74" s="2">
        <v>3103.58</v>
      </c>
      <c r="G74">
        <v>0</v>
      </c>
      <c r="H74" s="10">
        <f t="shared" si="3"/>
        <v>0</v>
      </c>
      <c r="I74" s="10">
        <f t="shared" si="4"/>
        <v>-3103.58</v>
      </c>
      <c r="J74" s="10">
        <v>3103.58</v>
      </c>
      <c r="K74" s="15">
        <f t="shared" si="5"/>
        <v>0</v>
      </c>
    </row>
    <row r="75" spans="1:11" x14ac:dyDescent="0.25">
      <c r="A75" s="1" t="s">
        <v>113</v>
      </c>
      <c r="B75" s="1"/>
      <c r="C75" s="1"/>
      <c r="D75" s="1">
        <v>160</v>
      </c>
      <c r="E75" s="2">
        <v>3103.58</v>
      </c>
      <c r="G75">
        <v>0</v>
      </c>
      <c r="H75" s="10">
        <f t="shared" si="3"/>
        <v>0</v>
      </c>
      <c r="I75" s="10">
        <f t="shared" si="4"/>
        <v>-3103.58</v>
      </c>
      <c r="J75" s="10">
        <v>3103.58</v>
      </c>
      <c r="K75" s="15">
        <f t="shared" si="5"/>
        <v>0</v>
      </c>
    </row>
    <row r="76" spans="1:11" x14ac:dyDescent="0.25">
      <c r="A76" s="1" t="s">
        <v>114</v>
      </c>
      <c r="B76" s="1"/>
      <c r="C76" s="1"/>
      <c r="D76" s="1">
        <v>120</v>
      </c>
      <c r="E76" s="2">
        <v>3352</v>
      </c>
      <c r="G76">
        <v>0</v>
      </c>
      <c r="H76" s="10">
        <f t="shared" si="3"/>
        <v>0</v>
      </c>
      <c r="I76" s="10">
        <f t="shared" si="4"/>
        <v>-3352</v>
      </c>
      <c r="J76" s="10">
        <v>3352</v>
      </c>
      <c r="K76" s="15">
        <f t="shared" si="5"/>
        <v>0</v>
      </c>
    </row>
    <row r="77" spans="1:11" x14ac:dyDescent="0.25">
      <c r="A77" s="1" t="s">
        <v>115</v>
      </c>
      <c r="B77" s="1"/>
      <c r="C77" s="1"/>
      <c r="D77" s="1">
        <v>150</v>
      </c>
      <c r="E77" s="7">
        <v>5289.26</v>
      </c>
      <c r="G77">
        <v>0</v>
      </c>
      <c r="H77" s="10">
        <f t="shared" si="3"/>
        <v>0</v>
      </c>
      <c r="I77" s="10">
        <f t="shared" si="4"/>
        <v>-5289.26</v>
      </c>
      <c r="J77" s="10">
        <v>5289.26</v>
      </c>
      <c r="K77" s="15">
        <f t="shared" si="5"/>
        <v>0</v>
      </c>
    </row>
    <row r="78" spans="1:11" x14ac:dyDescent="0.25">
      <c r="A78" s="1" t="s">
        <v>116</v>
      </c>
      <c r="B78" s="1"/>
      <c r="C78" s="1"/>
      <c r="D78" s="1">
        <v>100</v>
      </c>
      <c r="E78" s="2">
        <v>3103.58</v>
      </c>
      <c r="G78">
        <v>0</v>
      </c>
      <c r="H78" s="10">
        <f t="shared" si="3"/>
        <v>0</v>
      </c>
      <c r="I78" s="10">
        <f t="shared" si="4"/>
        <v>-3103.58</v>
      </c>
      <c r="J78" s="10">
        <v>3103.58</v>
      </c>
      <c r="K78" s="15">
        <f t="shared" si="5"/>
        <v>0</v>
      </c>
    </row>
    <row r="79" spans="1:11" x14ac:dyDescent="0.25">
      <c r="A79" s="1" t="s">
        <v>117</v>
      </c>
      <c r="B79" s="1"/>
      <c r="C79" s="1"/>
      <c r="D79" s="1">
        <v>120</v>
      </c>
      <c r="E79" s="2">
        <v>4162</v>
      </c>
      <c r="G79">
        <v>0</v>
      </c>
      <c r="H79" s="10">
        <f t="shared" si="3"/>
        <v>0</v>
      </c>
      <c r="I79" s="10">
        <f t="shared" si="4"/>
        <v>-4162</v>
      </c>
      <c r="J79" s="10">
        <v>4162</v>
      </c>
      <c r="K79" s="15">
        <f t="shared" si="5"/>
        <v>0</v>
      </c>
    </row>
    <row r="80" spans="1:11" x14ac:dyDescent="0.25">
      <c r="A80" s="1" t="s">
        <v>118</v>
      </c>
      <c r="B80" s="1"/>
      <c r="C80" s="1"/>
      <c r="D80" s="1">
        <v>90</v>
      </c>
      <c r="E80" s="2">
        <v>4162</v>
      </c>
      <c r="G80">
        <v>0</v>
      </c>
      <c r="H80" s="10">
        <f t="shared" si="3"/>
        <v>0</v>
      </c>
      <c r="I80" s="10">
        <f t="shared" si="4"/>
        <v>-4162</v>
      </c>
      <c r="J80" s="10">
        <v>4162</v>
      </c>
      <c r="K80" s="15">
        <f t="shared" si="5"/>
        <v>0</v>
      </c>
    </row>
    <row r="81" spans="1:11" x14ac:dyDescent="0.25">
      <c r="A81" s="1" t="s">
        <v>119</v>
      </c>
      <c r="B81" s="1"/>
      <c r="C81" s="1"/>
      <c r="D81" s="1">
        <v>105</v>
      </c>
      <c r="E81" s="2">
        <v>4443.6099999999997</v>
      </c>
      <c r="G81">
        <v>0</v>
      </c>
      <c r="H81" s="10">
        <f t="shared" si="3"/>
        <v>0</v>
      </c>
      <c r="I81" s="10">
        <f t="shared" si="4"/>
        <v>-4443.6099999999997</v>
      </c>
      <c r="J81" s="10">
        <v>4443.6099999999997</v>
      </c>
      <c r="K81" s="15">
        <f t="shared" si="5"/>
        <v>0</v>
      </c>
    </row>
    <row r="82" spans="1:11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v>0</v>
      </c>
      <c r="H82" s="10">
        <f t="shared" si="3"/>
        <v>0</v>
      </c>
      <c r="I82" s="10">
        <f t="shared" si="4"/>
        <v>-3268</v>
      </c>
      <c r="J82" s="10">
        <v>3268</v>
      </c>
      <c r="K82" s="15">
        <f t="shared" si="5"/>
        <v>0</v>
      </c>
    </row>
    <row r="83" spans="1:11" x14ac:dyDescent="0.25">
      <c r="A83" s="1" t="s">
        <v>121</v>
      </c>
      <c r="B83" s="1"/>
      <c r="C83" s="1"/>
      <c r="D83" s="1">
        <v>186</v>
      </c>
      <c r="E83" s="2">
        <v>4443.6099999999997</v>
      </c>
      <c r="G83">
        <v>0</v>
      </c>
      <c r="H83" s="10">
        <f t="shared" si="3"/>
        <v>0</v>
      </c>
      <c r="I83" s="10">
        <f t="shared" si="4"/>
        <v>-4443.6099999999997</v>
      </c>
      <c r="J83" s="10">
        <v>4443.6099999999997</v>
      </c>
      <c r="K83" s="15">
        <f t="shared" si="5"/>
        <v>0</v>
      </c>
    </row>
    <row r="84" spans="1:11" x14ac:dyDescent="0.25">
      <c r="A84" s="1" t="s">
        <v>152</v>
      </c>
      <c r="B84" s="1"/>
      <c r="C84" s="1"/>
      <c r="D84" s="1">
        <v>120</v>
      </c>
      <c r="E84" s="2">
        <v>4782</v>
      </c>
      <c r="G84">
        <v>0</v>
      </c>
      <c r="H84" s="10">
        <f t="shared" si="3"/>
        <v>0</v>
      </c>
      <c r="I84" s="10">
        <f t="shared" si="4"/>
        <v>-4782</v>
      </c>
      <c r="J84" s="10">
        <v>4782</v>
      </c>
      <c r="K84" s="15">
        <f t="shared" si="5"/>
        <v>0</v>
      </c>
    </row>
    <row r="85" spans="1:11" x14ac:dyDescent="0.25">
      <c r="A85" s="1" t="s">
        <v>153</v>
      </c>
      <c r="B85" s="1"/>
      <c r="C85" s="1"/>
      <c r="D85" s="1">
        <v>90</v>
      </c>
      <c r="E85" s="2">
        <v>4782</v>
      </c>
      <c r="G85">
        <v>0</v>
      </c>
      <c r="H85" s="10">
        <f t="shared" si="3"/>
        <v>0</v>
      </c>
      <c r="I85" s="10">
        <f t="shared" si="4"/>
        <v>-4782</v>
      </c>
      <c r="J85" s="10">
        <v>4782</v>
      </c>
      <c r="K85" s="15">
        <f t="shared" si="5"/>
        <v>0</v>
      </c>
    </row>
    <row r="86" spans="1:11" x14ac:dyDescent="0.25">
      <c r="A86" s="1" t="s">
        <v>154</v>
      </c>
      <c r="B86" s="1"/>
      <c r="C86" s="1"/>
      <c r="D86" s="1">
        <v>205</v>
      </c>
      <c r="E86" s="2">
        <v>7094</v>
      </c>
      <c r="G86">
        <v>0</v>
      </c>
      <c r="H86" s="10">
        <f t="shared" si="3"/>
        <v>0</v>
      </c>
      <c r="I86" s="10">
        <f t="shared" si="4"/>
        <v>-7094</v>
      </c>
      <c r="J86" s="10">
        <v>7094</v>
      </c>
      <c r="K86" s="15">
        <f t="shared" si="5"/>
        <v>0</v>
      </c>
    </row>
    <row r="87" spans="1:11" x14ac:dyDescent="0.25">
      <c r="A87" s="1" t="s">
        <v>155</v>
      </c>
      <c r="B87" s="1"/>
      <c r="C87" s="1"/>
      <c r="D87" s="1">
        <v>135</v>
      </c>
      <c r="E87" s="2">
        <v>4082</v>
      </c>
      <c r="G87">
        <v>0</v>
      </c>
      <c r="H87" s="10">
        <f t="shared" si="3"/>
        <v>0</v>
      </c>
      <c r="I87" s="10">
        <f t="shared" si="4"/>
        <v>-4082</v>
      </c>
      <c r="J87" s="10">
        <v>4082</v>
      </c>
      <c r="K87" s="15">
        <f t="shared" si="5"/>
        <v>0</v>
      </c>
    </row>
    <row r="88" spans="1:11" x14ac:dyDescent="0.25">
      <c r="A88" s="1" t="s">
        <v>158</v>
      </c>
      <c r="B88" s="1"/>
      <c r="C88" s="1"/>
      <c r="D88" s="1"/>
      <c r="E88" s="2"/>
      <c r="G88">
        <v>0</v>
      </c>
      <c r="K88" s="15">
        <f t="shared" si="5"/>
        <v>0</v>
      </c>
    </row>
    <row r="89" spans="1:11" x14ac:dyDescent="0.25">
      <c r="A89" s="1" t="s">
        <v>159</v>
      </c>
      <c r="B89" s="1"/>
      <c r="C89" s="1"/>
      <c r="D89" s="1"/>
      <c r="E89" s="2"/>
      <c r="G89">
        <v>0</v>
      </c>
      <c r="K89" s="15">
        <f t="shared" si="5"/>
        <v>0</v>
      </c>
    </row>
  </sheetData>
  <autoFilter ref="A1:I89" xr:uid="{338D838C-5815-40DE-B3CF-63F53FA2A530}"/>
  <conditionalFormatting sqref="A1:A83 A84:D86 A87:A1048576 B87:D89">
    <cfRule type="duplicateValues" dxfId="7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B185-F215-4FD9-8DB1-72BB4DE38EEF}">
  <dimension ref="A1:K89"/>
  <sheetViews>
    <sheetView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13.5703125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  <col min="10" max="10" width="9.5703125" style="10" bestFit="1" customWidth="1"/>
    <col min="11" max="11" width="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1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1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v>0</v>
      </c>
      <c r="H3" s="10">
        <f>G3*1000</f>
        <v>0</v>
      </c>
      <c r="I3" s="10">
        <f>H3-E3</f>
        <v>-7350</v>
      </c>
      <c r="J3" s="10">
        <v>7350</v>
      </c>
      <c r="K3" s="15">
        <f>J3-E3</f>
        <v>0</v>
      </c>
    </row>
    <row r="4" spans="1:11" x14ac:dyDescent="0.25">
      <c r="A4" s="1" t="s">
        <v>10</v>
      </c>
      <c r="B4" s="1" t="s">
        <v>11</v>
      </c>
      <c r="C4" s="1"/>
      <c r="D4" s="1">
        <v>75</v>
      </c>
      <c r="E4" s="2">
        <v>5884</v>
      </c>
      <c r="G4">
        <v>5.8840000000000003</v>
      </c>
      <c r="H4" s="10">
        <f t="shared" ref="H4:H67" si="0">G4*1000</f>
        <v>5884</v>
      </c>
      <c r="I4" s="10">
        <f t="shared" ref="I4:I67" si="1">H4-E4</f>
        <v>0</v>
      </c>
      <c r="J4" s="10">
        <v>6023</v>
      </c>
      <c r="K4" s="15">
        <f t="shared" ref="K4:K67" si="2">J4-E4</f>
        <v>139</v>
      </c>
    </row>
    <row r="5" spans="1:11" s="10" customFormat="1" x14ac:dyDescent="0.25">
      <c r="A5" s="1" t="s">
        <v>13</v>
      </c>
      <c r="B5" s="1"/>
      <c r="C5" s="1" t="s">
        <v>9</v>
      </c>
      <c r="D5" s="1">
        <v>100</v>
      </c>
      <c r="E5" s="2">
        <v>4522</v>
      </c>
      <c r="F5"/>
      <c r="G5">
        <v>0</v>
      </c>
      <c r="H5" s="10">
        <f t="shared" si="0"/>
        <v>0</v>
      </c>
      <c r="I5" s="10">
        <f t="shared" si="1"/>
        <v>-4522</v>
      </c>
      <c r="J5" s="10">
        <v>4522</v>
      </c>
      <c r="K5" s="15">
        <f t="shared" si="2"/>
        <v>0</v>
      </c>
    </row>
    <row r="6" spans="1:11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v>0</v>
      </c>
      <c r="H6" s="10">
        <f t="shared" si="0"/>
        <v>0</v>
      </c>
      <c r="I6" s="10">
        <f t="shared" si="1"/>
        <v>-2760</v>
      </c>
      <c r="J6" s="10">
        <v>2760</v>
      </c>
      <c r="K6" s="15">
        <f t="shared" si="2"/>
        <v>0</v>
      </c>
    </row>
    <row r="7" spans="1:11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4579</v>
      </c>
      <c r="F7"/>
      <c r="G7">
        <v>4.5789999999999997</v>
      </c>
      <c r="H7" s="10">
        <f t="shared" si="0"/>
        <v>4579</v>
      </c>
      <c r="I7" s="10">
        <f t="shared" si="1"/>
        <v>0</v>
      </c>
      <c r="J7" s="10">
        <v>4801</v>
      </c>
      <c r="K7" s="15">
        <f t="shared" si="2"/>
        <v>222</v>
      </c>
    </row>
    <row r="8" spans="1:11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4785</v>
      </c>
      <c r="F8"/>
      <c r="G8">
        <v>0</v>
      </c>
      <c r="H8" s="10">
        <f t="shared" si="0"/>
        <v>0</v>
      </c>
      <c r="I8" s="10">
        <f t="shared" si="1"/>
        <v>-4785</v>
      </c>
      <c r="J8" s="10">
        <v>4682</v>
      </c>
      <c r="K8" s="15">
        <f t="shared" si="2"/>
        <v>-103</v>
      </c>
    </row>
    <row r="9" spans="1:11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v>0</v>
      </c>
      <c r="H9" s="10">
        <f t="shared" si="0"/>
        <v>0</v>
      </c>
      <c r="I9" s="10">
        <f t="shared" si="1"/>
        <v>-5394</v>
      </c>
      <c r="J9" s="10">
        <v>5394</v>
      </c>
      <c r="K9" s="15">
        <f t="shared" si="2"/>
        <v>0</v>
      </c>
    </row>
    <row r="10" spans="1:11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4815</v>
      </c>
      <c r="F10"/>
      <c r="G10">
        <v>4.8150000000000004</v>
      </c>
      <c r="H10" s="10">
        <f>G10*1000</f>
        <v>4815</v>
      </c>
      <c r="I10" s="10">
        <f>H10-E10</f>
        <v>0</v>
      </c>
      <c r="J10" s="10">
        <v>5975</v>
      </c>
      <c r="K10" s="15">
        <f>J10-E10</f>
        <v>1160</v>
      </c>
    </row>
    <row r="11" spans="1:11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4642</v>
      </c>
      <c r="F11"/>
      <c r="G11">
        <v>4.6420000000000003</v>
      </c>
      <c r="H11" s="10">
        <f t="shared" si="0"/>
        <v>4642</v>
      </c>
      <c r="I11" s="10">
        <f t="shared" si="1"/>
        <v>0</v>
      </c>
      <c r="J11" s="10">
        <v>4806</v>
      </c>
      <c r="K11" s="15">
        <f t="shared" si="2"/>
        <v>164</v>
      </c>
    </row>
    <row r="12" spans="1:11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v>0</v>
      </c>
      <c r="H12" s="10">
        <f t="shared" si="0"/>
        <v>0</v>
      </c>
      <c r="I12" s="10">
        <f t="shared" si="1"/>
        <v>-7796</v>
      </c>
      <c r="J12" s="10">
        <v>7796</v>
      </c>
      <c r="K12" s="15">
        <f t="shared" si="2"/>
        <v>0</v>
      </c>
    </row>
    <row r="13" spans="1:11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v>0</v>
      </c>
      <c r="H13" s="10">
        <f t="shared" si="0"/>
        <v>0</v>
      </c>
      <c r="I13" s="10">
        <f t="shared" si="1"/>
        <v>-7154</v>
      </c>
      <c r="J13" s="10">
        <v>7154</v>
      </c>
      <c r="K13" s="15">
        <f t="shared" si="2"/>
        <v>0</v>
      </c>
    </row>
    <row r="14" spans="1:11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5884</v>
      </c>
      <c r="F14"/>
      <c r="G14">
        <v>5.8840000000000003</v>
      </c>
      <c r="H14" s="10">
        <f t="shared" si="0"/>
        <v>5884</v>
      </c>
      <c r="I14" s="10">
        <f t="shared" si="1"/>
        <v>0</v>
      </c>
      <c r="J14" s="10">
        <v>6023</v>
      </c>
      <c r="K14" s="15">
        <f t="shared" si="2"/>
        <v>139</v>
      </c>
    </row>
    <row r="15" spans="1:11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6416</v>
      </c>
      <c r="F15"/>
      <c r="G15">
        <v>6.4160000000000004</v>
      </c>
      <c r="H15" s="10">
        <f>G15*1000</f>
        <v>6416</v>
      </c>
      <c r="I15" s="10">
        <f>H15-E15</f>
        <v>0</v>
      </c>
      <c r="J15" s="10">
        <v>6847</v>
      </c>
      <c r="K15" s="15">
        <f t="shared" si="2"/>
        <v>431</v>
      </c>
    </row>
    <row r="16" spans="1:11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v>0</v>
      </c>
      <c r="H16" s="10">
        <f t="shared" si="0"/>
        <v>0</v>
      </c>
      <c r="I16" s="10">
        <f t="shared" si="1"/>
        <v>-3971</v>
      </c>
      <c r="J16" s="10">
        <v>3971</v>
      </c>
      <c r="K16" s="15">
        <f t="shared" si="2"/>
        <v>0</v>
      </c>
    </row>
    <row r="17" spans="1:1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4937</v>
      </c>
      <c r="G17">
        <v>4.9370000000000003</v>
      </c>
      <c r="H17" s="10">
        <f t="shared" si="0"/>
        <v>4937</v>
      </c>
      <c r="I17" s="10">
        <f t="shared" si="1"/>
        <v>0</v>
      </c>
      <c r="J17" s="10">
        <v>5054</v>
      </c>
      <c r="K17" s="15">
        <f t="shared" si="2"/>
        <v>117</v>
      </c>
    </row>
    <row r="18" spans="1:1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v>0</v>
      </c>
      <c r="H18" s="10">
        <f t="shared" si="0"/>
        <v>0</v>
      </c>
      <c r="I18" s="10">
        <f t="shared" si="1"/>
        <v>-5747</v>
      </c>
      <c r="J18" s="10">
        <v>5747</v>
      </c>
      <c r="K18" s="15">
        <f t="shared" si="2"/>
        <v>0</v>
      </c>
    </row>
    <row r="19" spans="1:1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v>0</v>
      </c>
      <c r="H19" s="10">
        <f t="shared" si="0"/>
        <v>0</v>
      </c>
      <c r="I19" s="10">
        <f t="shared" si="1"/>
        <v>-4212</v>
      </c>
      <c r="J19" s="10">
        <v>4212</v>
      </c>
      <c r="K19" s="15">
        <f t="shared" si="2"/>
        <v>0</v>
      </c>
    </row>
    <row r="20" spans="1:1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v>0</v>
      </c>
      <c r="H20" s="10">
        <f t="shared" si="0"/>
        <v>0</v>
      </c>
      <c r="I20" s="10">
        <f t="shared" si="1"/>
        <v>-4766</v>
      </c>
      <c r="J20" s="10">
        <v>4766</v>
      </c>
      <c r="K20" s="15">
        <f t="shared" si="2"/>
        <v>0</v>
      </c>
    </row>
    <row r="21" spans="1:1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v>0</v>
      </c>
      <c r="H21" s="10">
        <f t="shared" si="0"/>
        <v>0</v>
      </c>
      <c r="I21" s="10">
        <f t="shared" si="1"/>
        <v>-3877</v>
      </c>
      <c r="J21" s="10">
        <v>3877</v>
      </c>
      <c r="K21" s="15">
        <f t="shared" si="2"/>
        <v>0</v>
      </c>
    </row>
    <row r="22" spans="1:11" x14ac:dyDescent="0.25">
      <c r="A22" s="1" t="s">
        <v>41</v>
      </c>
      <c r="B22" s="1" t="s">
        <v>38</v>
      </c>
      <c r="C22" s="1" t="s">
        <v>9</v>
      </c>
      <c r="D22" s="1">
        <v>125</v>
      </c>
      <c r="E22" s="14">
        <v>3853</v>
      </c>
      <c r="G22">
        <v>3.8530000000000002</v>
      </c>
      <c r="H22" s="10">
        <f t="shared" si="0"/>
        <v>3853</v>
      </c>
      <c r="I22" s="10">
        <f t="shared" si="1"/>
        <v>0</v>
      </c>
      <c r="J22" s="10">
        <v>4518</v>
      </c>
      <c r="K22" s="15">
        <f t="shared" si="2"/>
        <v>665</v>
      </c>
    </row>
    <row r="23" spans="1:1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v>0</v>
      </c>
      <c r="H23" s="10">
        <f t="shared" si="0"/>
        <v>0</v>
      </c>
      <c r="I23" s="10">
        <f t="shared" si="1"/>
        <v>-5190</v>
      </c>
      <c r="J23" s="10">
        <v>5190</v>
      </c>
      <c r="K23" s="15">
        <f t="shared" si="2"/>
        <v>0</v>
      </c>
    </row>
    <row r="24" spans="1:1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v>0</v>
      </c>
      <c r="H24" s="10">
        <f t="shared" si="0"/>
        <v>0</v>
      </c>
      <c r="I24" s="10">
        <f t="shared" si="1"/>
        <v>-4766</v>
      </c>
      <c r="J24" s="10">
        <v>4766</v>
      </c>
      <c r="K24" s="15">
        <f t="shared" si="2"/>
        <v>0</v>
      </c>
    </row>
    <row r="25" spans="1:1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v>0</v>
      </c>
      <c r="H25" s="10">
        <f t="shared" si="0"/>
        <v>0</v>
      </c>
      <c r="I25" s="10">
        <f t="shared" si="1"/>
        <v>-5289.26</v>
      </c>
      <c r="J25" s="10">
        <v>5289.26</v>
      </c>
      <c r="K25" s="15">
        <f t="shared" si="2"/>
        <v>0</v>
      </c>
    </row>
    <row r="26" spans="1:1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v>0</v>
      </c>
      <c r="H26" s="10">
        <f t="shared" si="0"/>
        <v>0</v>
      </c>
      <c r="I26" s="10">
        <f t="shared" si="1"/>
        <v>-4902</v>
      </c>
      <c r="J26" s="10">
        <v>4902</v>
      </c>
      <c r="K26" s="15">
        <f t="shared" si="2"/>
        <v>0</v>
      </c>
    </row>
    <row r="27" spans="1:1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v>0</v>
      </c>
      <c r="H27" s="10">
        <f t="shared" si="0"/>
        <v>0</v>
      </c>
      <c r="I27" s="10">
        <f t="shared" si="1"/>
        <v>-4767</v>
      </c>
      <c r="J27" s="10">
        <v>4767</v>
      </c>
      <c r="K27" s="15">
        <f t="shared" si="2"/>
        <v>0</v>
      </c>
    </row>
    <row r="28" spans="1:11" x14ac:dyDescent="0.25">
      <c r="A28" s="1" t="s">
        <v>50</v>
      </c>
      <c r="B28" s="1" t="s">
        <v>38</v>
      </c>
      <c r="C28" s="1" t="s">
        <v>9</v>
      </c>
      <c r="D28" s="1">
        <v>185</v>
      </c>
      <c r="E28" s="14">
        <v>4760</v>
      </c>
      <c r="G28">
        <v>4.76</v>
      </c>
      <c r="H28" s="10">
        <f t="shared" si="0"/>
        <v>4760</v>
      </c>
      <c r="I28" s="10">
        <f t="shared" si="1"/>
        <v>0</v>
      </c>
      <c r="J28" s="10">
        <v>4652</v>
      </c>
      <c r="K28" s="15">
        <f t="shared" si="2"/>
        <v>-108</v>
      </c>
    </row>
    <row r="29" spans="1:1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v>0</v>
      </c>
      <c r="H29" s="10">
        <f t="shared" si="0"/>
        <v>0</v>
      </c>
      <c r="I29" s="10">
        <f t="shared" si="1"/>
        <v>-5054</v>
      </c>
      <c r="J29" s="10">
        <v>5054</v>
      </c>
      <c r="K29" s="15">
        <f t="shared" si="2"/>
        <v>0</v>
      </c>
    </row>
    <row r="30" spans="1:1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v>0</v>
      </c>
      <c r="H30" s="10">
        <f t="shared" si="0"/>
        <v>0</v>
      </c>
      <c r="I30" s="10">
        <f t="shared" si="1"/>
        <v>-4549</v>
      </c>
      <c r="J30" s="10">
        <v>4549</v>
      </c>
      <c r="K30" s="15">
        <f t="shared" si="2"/>
        <v>0</v>
      </c>
    </row>
    <row r="31" spans="1:1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v>0</v>
      </c>
      <c r="H31" s="10">
        <f t="shared" si="0"/>
        <v>0</v>
      </c>
      <c r="I31" s="10">
        <f t="shared" si="1"/>
        <v>-4549</v>
      </c>
      <c r="J31" s="10">
        <v>4549</v>
      </c>
      <c r="K31" s="15">
        <f t="shared" si="2"/>
        <v>0</v>
      </c>
    </row>
    <row r="32" spans="1:1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4137</v>
      </c>
      <c r="G32">
        <v>0</v>
      </c>
      <c r="H32" s="10">
        <f t="shared" si="0"/>
        <v>0</v>
      </c>
      <c r="I32" s="10">
        <f t="shared" si="1"/>
        <v>-4137</v>
      </c>
      <c r="J32" s="10">
        <v>4137</v>
      </c>
      <c r="K32" s="15">
        <f t="shared" si="2"/>
        <v>0</v>
      </c>
    </row>
    <row r="33" spans="1:1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v>0</v>
      </c>
      <c r="H33" s="10">
        <f t="shared" si="0"/>
        <v>0</v>
      </c>
      <c r="I33" s="10">
        <f t="shared" si="1"/>
        <v>-7004</v>
      </c>
      <c r="J33" s="10">
        <v>7004</v>
      </c>
      <c r="K33" s="15">
        <f t="shared" si="2"/>
        <v>0</v>
      </c>
    </row>
    <row r="34" spans="1:1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v>8185</v>
      </c>
      <c r="G34">
        <v>0</v>
      </c>
      <c r="H34" s="10">
        <f t="shared" si="0"/>
        <v>0</v>
      </c>
      <c r="I34" s="10">
        <f t="shared" si="1"/>
        <v>-8185</v>
      </c>
      <c r="J34" s="10">
        <v>8185</v>
      </c>
      <c r="K34" s="15">
        <f t="shared" si="2"/>
        <v>0</v>
      </c>
    </row>
    <row r="35" spans="1:11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5054</v>
      </c>
      <c r="G35">
        <v>0</v>
      </c>
      <c r="H35" s="10">
        <f t="shared" si="0"/>
        <v>0</v>
      </c>
      <c r="I35" s="10">
        <f t="shared" si="1"/>
        <v>-5054</v>
      </c>
      <c r="J35" s="10">
        <v>8185</v>
      </c>
      <c r="K35" s="15">
        <f t="shared" si="2"/>
        <v>3131</v>
      </c>
    </row>
    <row r="36" spans="1:1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3226</v>
      </c>
      <c r="G36">
        <v>3.226</v>
      </c>
      <c r="H36" s="10">
        <f t="shared" si="0"/>
        <v>3226</v>
      </c>
      <c r="I36" s="10">
        <f t="shared" si="1"/>
        <v>0</v>
      </c>
      <c r="J36" s="10">
        <v>3361</v>
      </c>
      <c r="K36" s="15">
        <f t="shared" si="2"/>
        <v>135</v>
      </c>
    </row>
    <row r="37" spans="1:1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v>0</v>
      </c>
      <c r="H37" s="10">
        <f t="shared" si="0"/>
        <v>0</v>
      </c>
      <c r="I37" s="10">
        <f t="shared" si="1"/>
        <v>-3356.52</v>
      </c>
      <c r="J37" s="10">
        <v>3356.52</v>
      </c>
      <c r="K37" s="15">
        <f t="shared" si="2"/>
        <v>0</v>
      </c>
    </row>
    <row r="38" spans="1:1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3204</v>
      </c>
      <c r="G38">
        <v>3.2040000000000002</v>
      </c>
      <c r="H38" s="10">
        <f t="shared" si="0"/>
        <v>3204</v>
      </c>
      <c r="I38" s="10">
        <f t="shared" si="1"/>
        <v>0</v>
      </c>
      <c r="J38" s="10">
        <v>3244</v>
      </c>
      <c r="K38" s="15">
        <f t="shared" si="2"/>
        <v>40</v>
      </c>
    </row>
    <row r="39" spans="1:1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v>0</v>
      </c>
      <c r="H39" s="10">
        <f t="shared" si="0"/>
        <v>0</v>
      </c>
      <c r="I39" s="10">
        <f t="shared" si="1"/>
        <v>-3356.52</v>
      </c>
      <c r="J39" s="10">
        <v>3356.52</v>
      </c>
      <c r="K39" s="15">
        <f t="shared" si="2"/>
        <v>0</v>
      </c>
    </row>
    <row r="40" spans="1:11" x14ac:dyDescent="0.25">
      <c r="A40" s="1" t="s">
        <v>68</v>
      </c>
      <c r="B40" s="1"/>
      <c r="C40" s="1"/>
      <c r="D40" s="1">
        <v>110</v>
      </c>
      <c r="E40" s="2">
        <v>4161.9400000000005</v>
      </c>
      <c r="G40">
        <v>0</v>
      </c>
      <c r="H40" s="10">
        <f t="shared" si="0"/>
        <v>0</v>
      </c>
      <c r="I40" s="10">
        <f t="shared" si="1"/>
        <v>-4161.9400000000005</v>
      </c>
      <c r="J40" s="10">
        <v>4161.9400000000005</v>
      </c>
      <c r="K40" s="15">
        <f t="shared" si="2"/>
        <v>0</v>
      </c>
    </row>
    <row r="41" spans="1:1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3101</v>
      </c>
      <c r="G41">
        <v>0</v>
      </c>
      <c r="H41" s="10">
        <f t="shared" si="0"/>
        <v>0</v>
      </c>
      <c r="I41" s="10">
        <f t="shared" si="1"/>
        <v>-3101</v>
      </c>
      <c r="J41" s="10">
        <v>3101</v>
      </c>
      <c r="K41" s="15">
        <f t="shared" si="2"/>
        <v>0</v>
      </c>
    </row>
    <row r="42" spans="1:1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3118</v>
      </c>
      <c r="G42">
        <v>3.1179999999999999</v>
      </c>
      <c r="H42" s="10">
        <f t="shared" si="0"/>
        <v>3118</v>
      </c>
      <c r="I42" s="10">
        <f t="shared" si="1"/>
        <v>0</v>
      </c>
      <c r="J42" s="10">
        <v>3341</v>
      </c>
      <c r="K42" s="15">
        <f t="shared" si="2"/>
        <v>223</v>
      </c>
    </row>
    <row r="43" spans="1:1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v>0</v>
      </c>
      <c r="H43" s="10">
        <f t="shared" si="0"/>
        <v>0</v>
      </c>
      <c r="I43" s="10">
        <f t="shared" si="1"/>
        <v>-3352</v>
      </c>
      <c r="J43" s="10">
        <v>3352</v>
      </c>
      <c r="K43" s="15">
        <f t="shared" si="2"/>
        <v>0</v>
      </c>
    </row>
    <row r="44" spans="1:1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v>0</v>
      </c>
      <c r="H44" s="10">
        <f t="shared" si="0"/>
        <v>0</v>
      </c>
      <c r="I44" s="10">
        <f t="shared" si="1"/>
        <v>-3356.52</v>
      </c>
      <c r="J44" s="10">
        <v>3356.52</v>
      </c>
      <c r="K44" s="15">
        <f t="shared" si="2"/>
        <v>0</v>
      </c>
    </row>
    <row r="45" spans="1:1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v>0</v>
      </c>
      <c r="H45" s="10">
        <f t="shared" si="0"/>
        <v>0</v>
      </c>
      <c r="I45" s="10">
        <f t="shared" si="1"/>
        <v>-3356.52</v>
      </c>
      <c r="J45" s="10">
        <v>3356.52</v>
      </c>
      <c r="K45" s="15">
        <f t="shared" si="2"/>
        <v>0</v>
      </c>
    </row>
    <row r="46" spans="1:1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v>0</v>
      </c>
      <c r="H46" s="10">
        <f t="shared" si="0"/>
        <v>0</v>
      </c>
      <c r="I46" s="10">
        <f t="shared" si="1"/>
        <v>-3356.52</v>
      </c>
      <c r="J46" s="10">
        <v>3356.52</v>
      </c>
      <c r="K46" s="15">
        <f t="shared" si="2"/>
        <v>0</v>
      </c>
    </row>
    <row r="47" spans="1:11" x14ac:dyDescent="0.25">
      <c r="A47" s="1" t="s">
        <v>76</v>
      </c>
      <c r="B47" s="1"/>
      <c r="C47" s="1" t="s">
        <v>9</v>
      </c>
      <c r="D47" s="1">
        <v>100</v>
      </c>
      <c r="E47" s="2">
        <v>4161.9400000000005</v>
      </c>
      <c r="G47">
        <v>0</v>
      </c>
      <c r="H47" s="10">
        <f t="shared" si="0"/>
        <v>0</v>
      </c>
      <c r="I47" s="10">
        <f t="shared" si="1"/>
        <v>-4161.9400000000005</v>
      </c>
      <c r="J47" s="10">
        <v>4161.9400000000005</v>
      </c>
      <c r="K47" s="15">
        <f t="shared" si="2"/>
        <v>0</v>
      </c>
    </row>
    <row r="48" spans="1:11" x14ac:dyDescent="0.25">
      <c r="A48" s="1" t="s">
        <v>77</v>
      </c>
      <c r="B48" s="1"/>
      <c r="C48" s="1" t="s">
        <v>9</v>
      </c>
      <c r="D48" s="1">
        <v>80</v>
      </c>
      <c r="E48" s="2">
        <v>4161.9400000000005</v>
      </c>
      <c r="G48">
        <v>0</v>
      </c>
      <c r="H48" s="10">
        <f t="shared" si="0"/>
        <v>0</v>
      </c>
      <c r="I48" s="10">
        <f t="shared" si="1"/>
        <v>-4161.9400000000005</v>
      </c>
      <c r="J48" s="10">
        <v>4161.9400000000005</v>
      </c>
      <c r="K48" s="15">
        <f t="shared" si="2"/>
        <v>0</v>
      </c>
    </row>
    <row r="49" spans="1:11" x14ac:dyDescent="0.25">
      <c r="A49" s="1" t="s">
        <v>78</v>
      </c>
      <c r="B49" s="1"/>
      <c r="C49" s="1" t="s">
        <v>9</v>
      </c>
      <c r="D49" s="1">
        <v>110</v>
      </c>
      <c r="E49" s="2">
        <v>4161.9400000000005</v>
      </c>
      <c r="G49">
        <v>0</v>
      </c>
      <c r="H49" s="10">
        <f t="shared" si="0"/>
        <v>0</v>
      </c>
      <c r="I49" s="10">
        <f t="shared" si="1"/>
        <v>-4161.9400000000005</v>
      </c>
      <c r="J49" s="10">
        <v>4161.9400000000005</v>
      </c>
      <c r="K49" s="15">
        <f t="shared" si="2"/>
        <v>0</v>
      </c>
    </row>
    <row r="50" spans="1:11" x14ac:dyDescent="0.25">
      <c r="A50" s="1" t="s">
        <v>79</v>
      </c>
      <c r="B50" s="1"/>
      <c r="C50" s="1" t="s">
        <v>9</v>
      </c>
      <c r="D50" s="1">
        <v>120</v>
      </c>
      <c r="E50" s="2">
        <v>4161.9400000000005</v>
      </c>
      <c r="G50">
        <v>0</v>
      </c>
      <c r="H50" s="10">
        <f t="shared" si="0"/>
        <v>0</v>
      </c>
      <c r="I50" s="10">
        <f t="shared" si="1"/>
        <v>-4161.9400000000005</v>
      </c>
      <c r="J50" s="10">
        <v>4161.9400000000005</v>
      </c>
      <c r="K50" s="15">
        <f t="shared" si="2"/>
        <v>0</v>
      </c>
    </row>
    <row r="51" spans="1:11" x14ac:dyDescent="0.25">
      <c r="A51" s="1" t="s">
        <v>80</v>
      </c>
      <c r="B51" s="1"/>
      <c r="C51" s="1" t="s">
        <v>9</v>
      </c>
      <c r="D51" s="1">
        <v>140</v>
      </c>
      <c r="E51" s="2">
        <v>4161.9400000000005</v>
      </c>
      <c r="G51">
        <v>0</v>
      </c>
      <c r="H51" s="10">
        <f t="shared" si="0"/>
        <v>0</v>
      </c>
      <c r="I51" s="10">
        <f t="shared" si="1"/>
        <v>-4161.9400000000005</v>
      </c>
      <c r="J51" s="10">
        <v>4161.9400000000005</v>
      </c>
      <c r="K51" s="15">
        <f t="shared" si="2"/>
        <v>0</v>
      </c>
    </row>
    <row r="52" spans="1:11" x14ac:dyDescent="0.25">
      <c r="A52" s="1" t="s">
        <v>81</v>
      </c>
      <c r="B52" s="1"/>
      <c r="C52" s="1"/>
      <c r="D52" s="1">
        <v>160</v>
      </c>
      <c r="E52" s="2">
        <v>4161.9400000000005</v>
      </c>
      <c r="G52">
        <v>0</v>
      </c>
      <c r="H52" s="10">
        <f t="shared" si="0"/>
        <v>0</v>
      </c>
      <c r="I52" s="10">
        <f t="shared" si="1"/>
        <v>-4161.9400000000005</v>
      </c>
      <c r="J52" s="10">
        <v>4161.9400000000005</v>
      </c>
      <c r="K52" s="15">
        <f t="shared" si="2"/>
        <v>0</v>
      </c>
    </row>
    <row r="53" spans="1:11" x14ac:dyDescent="0.25">
      <c r="A53" s="1" t="s">
        <v>82</v>
      </c>
      <c r="B53" s="1"/>
      <c r="C53" s="1" t="s">
        <v>9</v>
      </c>
      <c r="D53" s="1">
        <v>185</v>
      </c>
      <c r="E53" s="2">
        <v>4162</v>
      </c>
      <c r="G53">
        <v>0</v>
      </c>
      <c r="H53" s="10">
        <f t="shared" si="0"/>
        <v>0</v>
      </c>
      <c r="I53" s="10">
        <f t="shared" si="1"/>
        <v>-4162</v>
      </c>
      <c r="J53" s="10">
        <v>4162</v>
      </c>
      <c r="K53" s="15">
        <f t="shared" si="2"/>
        <v>0</v>
      </c>
    </row>
    <row r="54" spans="1:11" x14ac:dyDescent="0.25">
      <c r="A54" s="1" t="s">
        <v>83</v>
      </c>
      <c r="B54" s="1"/>
      <c r="C54" s="1" t="s">
        <v>9</v>
      </c>
      <c r="D54" s="1">
        <v>140</v>
      </c>
      <c r="E54" s="2">
        <v>4162</v>
      </c>
      <c r="G54">
        <v>0</v>
      </c>
      <c r="H54" s="10">
        <f t="shared" si="0"/>
        <v>0</v>
      </c>
      <c r="I54" s="10">
        <f t="shared" si="1"/>
        <v>-4162</v>
      </c>
      <c r="J54" s="10">
        <v>4162</v>
      </c>
      <c r="K54" s="15">
        <f t="shared" si="2"/>
        <v>0</v>
      </c>
    </row>
    <row r="55" spans="1:1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v>0</v>
      </c>
      <c r="H55" s="10">
        <f t="shared" si="0"/>
        <v>0</v>
      </c>
      <c r="I55" s="10">
        <f t="shared" si="1"/>
        <v>-4161.9400000000005</v>
      </c>
      <c r="J55" s="10">
        <v>4161.9400000000005</v>
      </c>
      <c r="K55" s="15">
        <f t="shared" si="2"/>
        <v>0</v>
      </c>
    </row>
    <row r="56" spans="1:11" x14ac:dyDescent="0.25">
      <c r="A56" s="1" t="s">
        <v>86</v>
      </c>
      <c r="B56" s="1" t="s">
        <v>87</v>
      </c>
      <c r="C56" s="1"/>
      <c r="D56" s="1">
        <v>180</v>
      </c>
      <c r="E56" s="2">
        <v>4161.9400000000005</v>
      </c>
      <c r="G56">
        <v>0</v>
      </c>
      <c r="H56" s="10">
        <f t="shared" si="0"/>
        <v>0</v>
      </c>
      <c r="I56" s="10">
        <f t="shared" si="1"/>
        <v>-4161.9400000000005</v>
      </c>
      <c r="J56" s="10">
        <v>4161.9400000000005</v>
      </c>
      <c r="K56" s="15">
        <f t="shared" si="2"/>
        <v>0</v>
      </c>
    </row>
    <row r="57" spans="1:1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v>4161.9400000000005</v>
      </c>
      <c r="G57">
        <v>0</v>
      </c>
      <c r="H57" s="10">
        <f t="shared" si="0"/>
        <v>0</v>
      </c>
      <c r="I57" s="10">
        <f t="shared" si="1"/>
        <v>-4161.9400000000005</v>
      </c>
      <c r="J57" s="10">
        <v>4161.9400000000005</v>
      </c>
      <c r="K57" s="15">
        <f t="shared" si="2"/>
        <v>0</v>
      </c>
    </row>
    <row r="58" spans="1:11" x14ac:dyDescent="0.25">
      <c r="A58" s="1" t="s">
        <v>95</v>
      </c>
      <c r="B58" s="1"/>
      <c r="C58" s="1"/>
      <c r="D58" s="1">
        <v>125</v>
      </c>
      <c r="E58" s="7">
        <v>9960</v>
      </c>
      <c r="G58">
        <v>0</v>
      </c>
      <c r="H58" s="10">
        <f t="shared" si="0"/>
        <v>0</v>
      </c>
      <c r="I58" s="10">
        <f t="shared" si="1"/>
        <v>-9960</v>
      </c>
      <c r="J58" s="10">
        <v>9960</v>
      </c>
      <c r="K58" s="15">
        <f t="shared" si="2"/>
        <v>0</v>
      </c>
    </row>
    <row r="59" spans="1:1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v>0</v>
      </c>
      <c r="H59" s="10">
        <f t="shared" si="0"/>
        <v>0</v>
      </c>
      <c r="I59" s="10">
        <f t="shared" si="1"/>
        <v>-4434</v>
      </c>
      <c r="J59" s="10">
        <v>4434</v>
      </c>
      <c r="K59" s="15">
        <f t="shared" si="2"/>
        <v>0</v>
      </c>
    </row>
    <row r="60" spans="1:11" x14ac:dyDescent="0.25">
      <c r="A60" s="1" t="s">
        <v>98</v>
      </c>
      <c r="B60" s="1"/>
      <c r="C60" s="1"/>
      <c r="D60" s="1">
        <v>126</v>
      </c>
      <c r="E60" s="2">
        <v>4085</v>
      </c>
      <c r="G60">
        <v>0</v>
      </c>
      <c r="H60" s="10">
        <f t="shared" si="0"/>
        <v>0</v>
      </c>
      <c r="I60" s="10">
        <f t="shared" si="1"/>
        <v>-4085</v>
      </c>
      <c r="J60" s="10">
        <v>4085</v>
      </c>
      <c r="K60" s="15">
        <f t="shared" si="2"/>
        <v>0</v>
      </c>
    </row>
    <row r="61" spans="1:11" x14ac:dyDescent="0.25">
      <c r="A61" s="1" t="s">
        <v>99</v>
      </c>
      <c r="B61" s="1"/>
      <c r="C61" s="1"/>
      <c r="D61" s="1">
        <v>90</v>
      </c>
      <c r="E61" s="2">
        <v>4866.7</v>
      </c>
      <c r="G61">
        <v>0</v>
      </c>
      <c r="H61" s="10">
        <f t="shared" si="0"/>
        <v>0</v>
      </c>
      <c r="I61" s="10">
        <f t="shared" si="1"/>
        <v>-4866.7</v>
      </c>
      <c r="J61" s="10">
        <v>4866.7</v>
      </c>
      <c r="K61" s="15">
        <f t="shared" si="2"/>
        <v>0</v>
      </c>
    </row>
    <row r="62" spans="1:11" x14ac:dyDescent="0.25">
      <c r="A62" s="1" t="s">
        <v>100</v>
      </c>
      <c r="B62" s="1"/>
      <c r="C62" s="1"/>
      <c r="D62" s="1">
        <v>220</v>
      </c>
      <c r="E62" s="2"/>
      <c r="G62">
        <v>0</v>
      </c>
      <c r="H62" s="10">
        <f t="shared" si="0"/>
        <v>0</v>
      </c>
      <c r="I62" s="10">
        <f t="shared" si="1"/>
        <v>0</v>
      </c>
      <c r="K62" s="15">
        <f t="shared" si="2"/>
        <v>0</v>
      </c>
    </row>
    <row r="63" spans="1:11" x14ac:dyDescent="0.25">
      <c r="A63" s="1" t="s">
        <v>101</v>
      </c>
      <c r="B63" s="1"/>
      <c r="C63" s="1"/>
      <c r="D63" s="1">
        <v>300</v>
      </c>
      <c r="E63" s="2">
        <v>4137</v>
      </c>
      <c r="G63">
        <v>0</v>
      </c>
      <c r="H63" s="10">
        <f t="shared" si="0"/>
        <v>0</v>
      </c>
      <c r="I63" s="10">
        <f t="shared" si="1"/>
        <v>-4137</v>
      </c>
      <c r="J63" s="10">
        <v>4137</v>
      </c>
      <c r="K63" s="15">
        <f t="shared" si="2"/>
        <v>0</v>
      </c>
    </row>
    <row r="64" spans="1:11" x14ac:dyDescent="0.25">
      <c r="A64" s="1" t="s">
        <v>102</v>
      </c>
      <c r="B64" s="1"/>
      <c r="C64" s="1"/>
      <c r="D64" s="1">
        <v>150</v>
      </c>
      <c r="E64" s="7">
        <v>5289.26</v>
      </c>
      <c r="G64">
        <v>0</v>
      </c>
      <c r="H64" s="10">
        <f t="shared" si="0"/>
        <v>0</v>
      </c>
      <c r="I64" s="10">
        <f t="shared" si="1"/>
        <v>-5289.26</v>
      </c>
      <c r="J64" s="10">
        <v>5289.26</v>
      </c>
      <c r="K64" s="15">
        <f t="shared" si="2"/>
        <v>0</v>
      </c>
    </row>
    <row r="65" spans="1:11" x14ac:dyDescent="0.25">
      <c r="A65" s="1" t="s">
        <v>103</v>
      </c>
      <c r="B65" s="1"/>
      <c r="C65" s="1"/>
      <c r="D65" s="1">
        <v>160</v>
      </c>
      <c r="E65" s="2">
        <v>4866.7</v>
      </c>
      <c r="G65">
        <v>0</v>
      </c>
      <c r="H65" s="10">
        <f t="shared" si="0"/>
        <v>0</v>
      </c>
      <c r="I65" s="10">
        <f t="shared" si="1"/>
        <v>-4866.7</v>
      </c>
      <c r="J65" s="10">
        <v>4866.7</v>
      </c>
      <c r="K65" s="15">
        <f t="shared" si="2"/>
        <v>0</v>
      </c>
    </row>
    <row r="66" spans="1:11" x14ac:dyDescent="0.25">
      <c r="A66" s="1" t="s">
        <v>104</v>
      </c>
      <c r="B66" s="1"/>
      <c r="C66" s="1"/>
      <c r="D66" s="1">
        <v>120</v>
      </c>
      <c r="E66" s="2">
        <v>4866.7</v>
      </c>
      <c r="G66">
        <v>0</v>
      </c>
      <c r="H66" s="10">
        <f t="shared" si="0"/>
        <v>0</v>
      </c>
      <c r="I66" s="10">
        <f t="shared" si="1"/>
        <v>-4866.7</v>
      </c>
      <c r="J66" s="10">
        <v>4866.7</v>
      </c>
      <c r="K66" s="15">
        <f t="shared" si="2"/>
        <v>0</v>
      </c>
    </row>
    <row r="67" spans="1:11" x14ac:dyDescent="0.25">
      <c r="A67" s="1" t="s">
        <v>105</v>
      </c>
      <c r="B67" s="1"/>
      <c r="C67" s="1"/>
      <c r="D67" s="1">
        <v>190</v>
      </c>
      <c r="E67" s="2">
        <v>7220.34</v>
      </c>
      <c r="G67">
        <v>0</v>
      </c>
      <c r="H67" s="10">
        <f t="shared" si="0"/>
        <v>0</v>
      </c>
      <c r="I67" s="10">
        <f t="shared" si="1"/>
        <v>-7220.34</v>
      </c>
      <c r="J67" s="10">
        <v>7220.34</v>
      </c>
      <c r="K67" s="15">
        <f t="shared" si="2"/>
        <v>0</v>
      </c>
    </row>
    <row r="68" spans="1:11" x14ac:dyDescent="0.25">
      <c r="A68" s="1" t="s">
        <v>106</v>
      </c>
      <c r="B68" s="1"/>
      <c r="C68" s="1"/>
      <c r="D68" s="1">
        <v>200</v>
      </c>
      <c r="E68" s="2">
        <v>7220.34</v>
      </c>
      <c r="G68">
        <v>0</v>
      </c>
      <c r="H68" s="10">
        <f t="shared" ref="H68:H87" si="3">G68*1000</f>
        <v>0</v>
      </c>
      <c r="I68" s="10">
        <f t="shared" ref="I68:I87" si="4">H68-E68</f>
        <v>-7220.34</v>
      </c>
      <c r="J68" s="10">
        <v>7220.34</v>
      </c>
      <c r="K68" s="15">
        <f t="shared" ref="K68:K89" si="5">J68-E68</f>
        <v>0</v>
      </c>
    </row>
    <row r="69" spans="1:11" x14ac:dyDescent="0.25">
      <c r="A69" s="1" t="s">
        <v>107</v>
      </c>
      <c r="B69" s="1"/>
      <c r="C69" s="1"/>
      <c r="D69" s="1">
        <v>205</v>
      </c>
      <c r="E69" s="2">
        <v>6847</v>
      </c>
      <c r="G69">
        <v>0</v>
      </c>
      <c r="H69" s="10">
        <f t="shared" si="3"/>
        <v>0</v>
      </c>
      <c r="I69" s="10">
        <f t="shared" si="4"/>
        <v>-6847</v>
      </c>
      <c r="J69" s="10">
        <v>6847</v>
      </c>
      <c r="K69" s="15">
        <f t="shared" si="5"/>
        <v>0</v>
      </c>
    </row>
    <row r="70" spans="1:11" x14ac:dyDescent="0.25">
      <c r="A70" s="1" t="s">
        <v>108</v>
      </c>
      <c r="B70" s="1"/>
      <c r="C70" s="1"/>
      <c r="D70" s="1">
        <v>110</v>
      </c>
      <c r="E70" s="2">
        <v>4162</v>
      </c>
      <c r="G70">
        <v>0</v>
      </c>
      <c r="H70" s="10">
        <f t="shared" si="3"/>
        <v>0</v>
      </c>
      <c r="I70" s="10">
        <f t="shared" si="4"/>
        <v>-4162</v>
      </c>
      <c r="J70" s="10">
        <v>4162</v>
      </c>
      <c r="K70" s="15">
        <f t="shared" si="5"/>
        <v>0</v>
      </c>
    </row>
    <row r="71" spans="1:11" x14ac:dyDescent="0.25">
      <c r="A71" s="1" t="s">
        <v>109</v>
      </c>
      <c r="B71" s="1"/>
      <c r="C71" s="1"/>
      <c r="D71" s="1">
        <v>227</v>
      </c>
      <c r="E71" s="2">
        <v>7220.34</v>
      </c>
      <c r="G71">
        <v>0</v>
      </c>
      <c r="H71" s="10">
        <f t="shared" si="3"/>
        <v>0</v>
      </c>
      <c r="I71" s="10">
        <f t="shared" si="4"/>
        <v>-7220.34</v>
      </c>
      <c r="J71" s="10">
        <v>7220.34</v>
      </c>
      <c r="K71" s="15">
        <f t="shared" si="5"/>
        <v>0</v>
      </c>
    </row>
    <row r="72" spans="1:11" x14ac:dyDescent="0.25">
      <c r="A72" s="1" t="s">
        <v>110</v>
      </c>
      <c r="B72" s="1"/>
      <c r="C72" s="1"/>
      <c r="D72" s="1">
        <v>135</v>
      </c>
      <c r="E72" s="2">
        <v>3103.58</v>
      </c>
      <c r="G72">
        <v>0</v>
      </c>
      <c r="H72" s="10">
        <f t="shared" si="3"/>
        <v>0</v>
      </c>
      <c r="I72" s="10">
        <f t="shared" si="4"/>
        <v>-3103.58</v>
      </c>
      <c r="J72" s="10">
        <v>3103.58</v>
      </c>
      <c r="K72" s="15">
        <f t="shared" si="5"/>
        <v>0</v>
      </c>
    </row>
    <row r="73" spans="1:11" x14ac:dyDescent="0.25">
      <c r="A73" s="1" t="s">
        <v>111</v>
      </c>
      <c r="B73" s="1"/>
      <c r="C73" s="1"/>
      <c r="D73" s="1">
        <v>75</v>
      </c>
      <c r="E73" s="2">
        <v>5075</v>
      </c>
      <c r="G73">
        <v>0</v>
      </c>
      <c r="H73" s="10">
        <f t="shared" si="3"/>
        <v>0</v>
      </c>
      <c r="I73" s="10">
        <f t="shared" si="4"/>
        <v>-5075</v>
      </c>
      <c r="J73" s="10">
        <v>5075</v>
      </c>
      <c r="K73" s="15">
        <f t="shared" si="5"/>
        <v>0</v>
      </c>
    </row>
    <row r="74" spans="1:11" x14ac:dyDescent="0.25">
      <c r="A74" s="1" t="s">
        <v>112</v>
      </c>
      <c r="B74" s="1"/>
      <c r="C74" s="1"/>
      <c r="D74" s="1">
        <v>90</v>
      </c>
      <c r="E74" s="2">
        <v>3103.58</v>
      </c>
      <c r="G74">
        <v>0</v>
      </c>
      <c r="H74" s="10">
        <f t="shared" si="3"/>
        <v>0</v>
      </c>
      <c r="I74" s="10">
        <f t="shared" si="4"/>
        <v>-3103.58</v>
      </c>
      <c r="J74" s="10">
        <v>3103.58</v>
      </c>
      <c r="K74" s="15">
        <f t="shared" si="5"/>
        <v>0</v>
      </c>
    </row>
    <row r="75" spans="1:11" x14ac:dyDescent="0.25">
      <c r="A75" s="1" t="s">
        <v>113</v>
      </c>
      <c r="B75" s="1"/>
      <c r="C75" s="1"/>
      <c r="D75" s="1">
        <v>160</v>
      </c>
      <c r="E75" s="2">
        <v>3103.58</v>
      </c>
      <c r="G75">
        <v>0</v>
      </c>
      <c r="H75" s="10">
        <f t="shared" si="3"/>
        <v>0</v>
      </c>
      <c r="I75" s="10">
        <f t="shared" si="4"/>
        <v>-3103.58</v>
      </c>
      <c r="J75" s="10">
        <v>3103.58</v>
      </c>
      <c r="K75" s="15">
        <f t="shared" si="5"/>
        <v>0</v>
      </c>
    </row>
    <row r="76" spans="1:11" x14ac:dyDescent="0.25">
      <c r="A76" s="1" t="s">
        <v>114</v>
      </c>
      <c r="B76" s="1"/>
      <c r="C76" s="1"/>
      <c r="D76" s="1">
        <v>120</v>
      </c>
      <c r="E76" s="2">
        <v>3352</v>
      </c>
      <c r="G76">
        <v>0</v>
      </c>
      <c r="H76" s="10">
        <f t="shared" si="3"/>
        <v>0</v>
      </c>
      <c r="I76" s="10">
        <f t="shared" si="4"/>
        <v>-3352</v>
      </c>
      <c r="J76" s="10">
        <v>3352</v>
      </c>
      <c r="K76" s="15">
        <f t="shared" si="5"/>
        <v>0</v>
      </c>
    </row>
    <row r="77" spans="1:11" x14ac:dyDescent="0.25">
      <c r="A77" s="1" t="s">
        <v>115</v>
      </c>
      <c r="B77" s="1"/>
      <c r="C77" s="1"/>
      <c r="D77" s="1">
        <v>150</v>
      </c>
      <c r="E77" s="7">
        <v>5289.26</v>
      </c>
      <c r="G77">
        <v>0</v>
      </c>
      <c r="H77" s="10">
        <f t="shared" si="3"/>
        <v>0</v>
      </c>
      <c r="I77" s="10">
        <f t="shared" si="4"/>
        <v>-5289.26</v>
      </c>
      <c r="J77" s="10">
        <v>5289.26</v>
      </c>
      <c r="K77" s="15">
        <f t="shared" si="5"/>
        <v>0</v>
      </c>
    </row>
    <row r="78" spans="1:11" x14ac:dyDescent="0.25">
      <c r="A78" s="1" t="s">
        <v>116</v>
      </c>
      <c r="B78" s="1"/>
      <c r="C78" s="1"/>
      <c r="D78" s="1">
        <v>100</v>
      </c>
      <c r="E78" s="2">
        <v>3103.58</v>
      </c>
      <c r="G78">
        <v>0</v>
      </c>
      <c r="H78" s="10">
        <f t="shared" si="3"/>
        <v>0</v>
      </c>
      <c r="I78" s="10">
        <f t="shared" si="4"/>
        <v>-3103.58</v>
      </c>
      <c r="J78" s="10">
        <v>3103.58</v>
      </c>
      <c r="K78" s="15">
        <f t="shared" si="5"/>
        <v>0</v>
      </c>
    </row>
    <row r="79" spans="1:11" x14ac:dyDescent="0.25">
      <c r="A79" s="1" t="s">
        <v>117</v>
      </c>
      <c r="B79" s="1"/>
      <c r="C79" s="1"/>
      <c r="D79" s="1">
        <v>120</v>
      </c>
      <c r="E79" s="2">
        <v>4162</v>
      </c>
      <c r="G79">
        <v>0</v>
      </c>
      <c r="H79" s="10">
        <f t="shared" si="3"/>
        <v>0</v>
      </c>
      <c r="I79" s="10">
        <f t="shared" si="4"/>
        <v>-4162</v>
      </c>
      <c r="J79" s="10">
        <v>4162</v>
      </c>
      <c r="K79" s="15">
        <f t="shared" si="5"/>
        <v>0</v>
      </c>
    </row>
    <row r="80" spans="1:11" x14ac:dyDescent="0.25">
      <c r="A80" s="1" t="s">
        <v>118</v>
      </c>
      <c r="B80" s="1"/>
      <c r="C80" s="1"/>
      <c r="D80" s="1">
        <v>90</v>
      </c>
      <c r="E80" s="2">
        <v>4162</v>
      </c>
      <c r="G80">
        <v>0</v>
      </c>
      <c r="H80" s="10">
        <f t="shared" si="3"/>
        <v>0</v>
      </c>
      <c r="I80" s="10">
        <f t="shared" si="4"/>
        <v>-4162</v>
      </c>
      <c r="J80" s="10">
        <v>4162</v>
      </c>
      <c r="K80" s="15">
        <f t="shared" si="5"/>
        <v>0</v>
      </c>
    </row>
    <row r="81" spans="1:11" x14ac:dyDescent="0.25">
      <c r="A81" s="1" t="s">
        <v>119</v>
      </c>
      <c r="B81" s="1"/>
      <c r="C81" s="1"/>
      <c r="D81" s="1">
        <v>105</v>
      </c>
      <c r="E81" s="2">
        <v>4443.6099999999997</v>
      </c>
      <c r="G81">
        <v>0</v>
      </c>
      <c r="H81" s="10">
        <f t="shared" si="3"/>
        <v>0</v>
      </c>
      <c r="I81" s="10">
        <f t="shared" si="4"/>
        <v>-4443.6099999999997</v>
      </c>
      <c r="J81" s="10">
        <v>4443.6099999999997</v>
      </c>
      <c r="K81" s="15">
        <f t="shared" si="5"/>
        <v>0</v>
      </c>
    </row>
    <row r="82" spans="1:11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v>0</v>
      </c>
      <c r="H82" s="10">
        <f t="shared" si="3"/>
        <v>0</v>
      </c>
      <c r="I82" s="10">
        <f t="shared" si="4"/>
        <v>-3268</v>
      </c>
      <c r="J82" s="10">
        <v>3268</v>
      </c>
      <c r="K82" s="15">
        <f t="shared" si="5"/>
        <v>0</v>
      </c>
    </row>
    <row r="83" spans="1:11" x14ac:dyDescent="0.25">
      <c r="A83" s="1" t="s">
        <v>121</v>
      </c>
      <c r="B83" s="1"/>
      <c r="C83" s="1"/>
      <c r="D83" s="1">
        <v>186</v>
      </c>
      <c r="E83" s="2">
        <v>4443.6099999999997</v>
      </c>
      <c r="G83">
        <v>0</v>
      </c>
      <c r="H83" s="10">
        <f t="shared" si="3"/>
        <v>0</v>
      </c>
      <c r="I83" s="10">
        <f t="shared" si="4"/>
        <v>-4443.6099999999997</v>
      </c>
      <c r="J83" s="10">
        <v>4443.6099999999997</v>
      </c>
      <c r="K83" s="15">
        <f t="shared" si="5"/>
        <v>0</v>
      </c>
    </row>
    <row r="84" spans="1:11" x14ac:dyDescent="0.25">
      <c r="A84" s="1" t="s">
        <v>152</v>
      </c>
      <c r="B84" s="1"/>
      <c r="C84" s="1"/>
      <c r="D84" s="1">
        <v>120</v>
      </c>
      <c r="E84" s="2">
        <v>4782</v>
      </c>
      <c r="G84">
        <v>0</v>
      </c>
      <c r="H84" s="10">
        <f t="shared" si="3"/>
        <v>0</v>
      </c>
      <c r="I84" s="10">
        <f t="shared" si="4"/>
        <v>-4782</v>
      </c>
      <c r="J84" s="10">
        <v>4782</v>
      </c>
      <c r="K84" s="15">
        <f t="shared" si="5"/>
        <v>0</v>
      </c>
    </row>
    <row r="85" spans="1:11" x14ac:dyDescent="0.25">
      <c r="A85" s="1" t="s">
        <v>153</v>
      </c>
      <c r="B85" s="1"/>
      <c r="C85" s="1"/>
      <c r="D85" s="1">
        <v>90</v>
      </c>
      <c r="E85" s="2">
        <v>4782</v>
      </c>
      <c r="G85">
        <v>0</v>
      </c>
      <c r="H85" s="10">
        <f t="shared" si="3"/>
        <v>0</v>
      </c>
      <c r="I85" s="10">
        <f t="shared" si="4"/>
        <v>-4782</v>
      </c>
      <c r="J85" s="10">
        <v>4782</v>
      </c>
      <c r="K85" s="15">
        <f t="shared" si="5"/>
        <v>0</v>
      </c>
    </row>
    <row r="86" spans="1:11" x14ac:dyDescent="0.25">
      <c r="A86" s="1" t="s">
        <v>154</v>
      </c>
      <c r="B86" s="1"/>
      <c r="C86" s="1"/>
      <c r="D86" s="1">
        <v>205</v>
      </c>
      <c r="E86" s="2">
        <v>7094</v>
      </c>
      <c r="G86">
        <v>0</v>
      </c>
      <c r="H86" s="10">
        <f t="shared" si="3"/>
        <v>0</v>
      </c>
      <c r="I86" s="10">
        <f t="shared" si="4"/>
        <v>-7094</v>
      </c>
      <c r="J86" s="10">
        <v>7094</v>
      </c>
      <c r="K86" s="15">
        <f t="shared" si="5"/>
        <v>0</v>
      </c>
    </row>
    <row r="87" spans="1:11" x14ac:dyDescent="0.25">
      <c r="A87" s="1" t="s">
        <v>155</v>
      </c>
      <c r="B87" s="1"/>
      <c r="C87" s="1"/>
      <c r="D87" s="1">
        <v>135</v>
      </c>
      <c r="E87" s="2">
        <v>4082</v>
      </c>
      <c r="G87">
        <v>0</v>
      </c>
      <c r="H87" s="10">
        <f t="shared" si="3"/>
        <v>0</v>
      </c>
      <c r="I87" s="10">
        <f t="shared" si="4"/>
        <v>-4082</v>
      </c>
      <c r="J87" s="10">
        <v>4082</v>
      </c>
      <c r="K87" s="15">
        <f t="shared" si="5"/>
        <v>0</v>
      </c>
    </row>
    <row r="88" spans="1:11" x14ac:dyDescent="0.25">
      <c r="A88" s="1" t="s">
        <v>158</v>
      </c>
      <c r="B88" s="1"/>
      <c r="C88" s="1"/>
      <c r="D88" s="1"/>
      <c r="E88" s="2"/>
      <c r="G88">
        <v>0</v>
      </c>
      <c r="K88" s="15">
        <f t="shared" si="5"/>
        <v>0</v>
      </c>
    </row>
    <row r="89" spans="1:11" x14ac:dyDescent="0.25">
      <c r="A89" s="1" t="s">
        <v>159</v>
      </c>
      <c r="B89" s="1"/>
      <c r="C89" s="1"/>
      <c r="D89" s="1"/>
      <c r="E89" s="2"/>
      <c r="G89">
        <v>0</v>
      </c>
      <c r="K89" s="15">
        <f t="shared" si="5"/>
        <v>0</v>
      </c>
    </row>
  </sheetData>
  <autoFilter ref="A1:I89" xr:uid="{338D838C-5815-40DE-B3CF-63F53FA2A530}"/>
  <conditionalFormatting sqref="A1:A83 A84:D86 A87:A1048576 B87:D89">
    <cfRule type="duplicateValues" dxfId="6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33C3-63B8-4C21-B8F4-D0A4F817FBAF}">
  <dimension ref="A1:K89"/>
  <sheetViews>
    <sheetView tabSelected="1" workbookViewId="0">
      <pane ySplit="1" topLeftCell="A17" activePane="bottomLeft" state="frozen"/>
      <selection pane="bottomLeft" activeCell="E42" sqref="E42"/>
    </sheetView>
  </sheetViews>
  <sheetFormatPr defaultRowHeight="15" x14ac:dyDescent="0.25"/>
  <cols>
    <col min="1" max="1" width="13.5703125" bestFit="1" customWidth="1"/>
    <col min="2" max="2" width="29.42578125" bestFit="1" customWidth="1"/>
    <col min="3" max="3" width="8.7109375" bestFit="1" customWidth="1"/>
    <col min="4" max="4" width="18.85546875" bestFit="1" customWidth="1"/>
    <col min="5" max="5" width="23.42578125" bestFit="1" customWidth="1"/>
    <col min="7" max="7" width="7" customWidth="1"/>
    <col min="8" max="8" width="10.5703125" style="10" bestFit="1" customWidth="1"/>
    <col min="9" max="9" width="21.140625" style="10" bestFit="1" customWidth="1"/>
    <col min="10" max="10" width="9.5703125" style="10" bestFit="1" customWidth="1"/>
    <col min="11" max="11" width="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4</v>
      </c>
    </row>
    <row r="2" spans="1:11" x14ac:dyDescent="0.25">
      <c r="A2" s="1">
        <v>0</v>
      </c>
      <c r="B2" s="1" t="s">
        <v>5</v>
      </c>
      <c r="C2" s="1" t="s">
        <v>6</v>
      </c>
      <c r="D2" s="1">
        <v>1</v>
      </c>
      <c r="E2" s="1">
        <v>1</v>
      </c>
    </row>
    <row r="3" spans="1:11" x14ac:dyDescent="0.25">
      <c r="A3" s="1" t="s">
        <v>7</v>
      </c>
      <c r="B3" s="1" t="s">
        <v>8</v>
      </c>
      <c r="C3" s="1" t="s">
        <v>9</v>
      </c>
      <c r="D3" s="1">
        <v>50</v>
      </c>
      <c r="E3" s="2">
        <v>7350</v>
      </c>
      <c r="G3">
        <f>SUMIF(Planilha2!E:E,A3,Planilha2!D:D)</f>
        <v>0</v>
      </c>
      <c r="H3" s="10">
        <f>G3*1000</f>
        <v>0</v>
      </c>
      <c r="I3" s="10">
        <f>H3-E3</f>
        <v>-7350</v>
      </c>
      <c r="J3" s="10">
        <v>7350</v>
      </c>
      <c r="K3" s="15">
        <f>J3-E3</f>
        <v>0</v>
      </c>
    </row>
    <row r="4" spans="1:11" x14ac:dyDescent="0.25">
      <c r="A4" s="1" t="s">
        <v>10</v>
      </c>
      <c r="B4" s="1" t="s">
        <v>11</v>
      </c>
      <c r="C4" s="1"/>
      <c r="D4" s="1">
        <v>75</v>
      </c>
      <c r="E4" s="2">
        <v>5884</v>
      </c>
      <c r="G4">
        <f>SUMIF(Planilha2!E:E,A4,Planilha2!D:D)</f>
        <v>0</v>
      </c>
      <c r="H4" s="10">
        <f t="shared" ref="H4:H67" si="0">G4*1000</f>
        <v>0</v>
      </c>
      <c r="I4" s="10">
        <f t="shared" ref="I4:I67" si="1">H4-E4</f>
        <v>-5884</v>
      </c>
      <c r="J4" s="10">
        <v>6023</v>
      </c>
      <c r="K4" s="15">
        <f t="shared" ref="K4:K67" si="2">J4-E4</f>
        <v>139</v>
      </c>
    </row>
    <row r="5" spans="1:11" s="10" customFormat="1" x14ac:dyDescent="0.25">
      <c r="A5" s="1" t="s">
        <v>13</v>
      </c>
      <c r="B5" s="1"/>
      <c r="C5" s="1" t="s">
        <v>9</v>
      </c>
      <c r="D5" s="1">
        <v>100</v>
      </c>
      <c r="E5" s="2">
        <v>4522</v>
      </c>
      <c r="F5"/>
      <c r="G5">
        <f>SUMIF(Planilha2!E:E,A5,Planilha2!D:D)</f>
        <v>0</v>
      </c>
      <c r="H5" s="10">
        <f t="shared" si="0"/>
        <v>0</v>
      </c>
      <c r="I5" s="10">
        <f t="shared" si="1"/>
        <v>-4522</v>
      </c>
      <c r="J5" s="10">
        <v>4522</v>
      </c>
      <c r="K5" s="15">
        <f t="shared" si="2"/>
        <v>0</v>
      </c>
    </row>
    <row r="6" spans="1:11" s="10" customFormat="1" x14ac:dyDescent="0.25">
      <c r="A6" s="1" t="s">
        <v>14</v>
      </c>
      <c r="B6" s="1" t="s">
        <v>15</v>
      </c>
      <c r="C6" s="1" t="s">
        <v>9</v>
      </c>
      <c r="D6" s="1">
        <v>110</v>
      </c>
      <c r="E6" s="2">
        <v>2760</v>
      </c>
      <c r="F6"/>
      <c r="G6">
        <f>SUMIF(Planilha2!E:E,A6,Planilha2!D:D)</f>
        <v>0</v>
      </c>
      <c r="H6" s="10">
        <f t="shared" si="0"/>
        <v>0</v>
      </c>
      <c r="I6" s="10">
        <f t="shared" si="1"/>
        <v>-2760</v>
      </c>
      <c r="J6" s="10">
        <v>2760</v>
      </c>
      <c r="K6" s="15">
        <f t="shared" si="2"/>
        <v>0</v>
      </c>
    </row>
    <row r="7" spans="1:11" s="10" customFormat="1" x14ac:dyDescent="0.25">
      <c r="A7" s="1" t="s">
        <v>16</v>
      </c>
      <c r="B7" s="1" t="s">
        <v>17</v>
      </c>
      <c r="C7" s="1" t="s">
        <v>9</v>
      </c>
      <c r="D7" s="1">
        <v>120</v>
      </c>
      <c r="E7" s="3">
        <v>4579</v>
      </c>
      <c r="F7"/>
      <c r="G7">
        <f>SUMIF(Planilha2!E:E,A7,Planilha2!D:D)</f>
        <v>0</v>
      </c>
      <c r="H7" s="10">
        <f t="shared" si="0"/>
        <v>0</v>
      </c>
      <c r="I7" s="10">
        <f t="shared" si="1"/>
        <v>-4579</v>
      </c>
      <c r="J7" s="10">
        <v>4801</v>
      </c>
      <c r="K7" s="15">
        <f t="shared" si="2"/>
        <v>222</v>
      </c>
    </row>
    <row r="8" spans="1:11" s="10" customFormat="1" x14ac:dyDescent="0.25">
      <c r="A8" s="1" t="s">
        <v>18</v>
      </c>
      <c r="B8" s="1" t="s">
        <v>17</v>
      </c>
      <c r="C8" s="1" t="s">
        <v>9</v>
      </c>
      <c r="D8" s="1">
        <v>120</v>
      </c>
      <c r="E8" s="3">
        <v>4785</v>
      </c>
      <c r="F8"/>
      <c r="G8">
        <f>SUMIF(Planilha2!E:E,A8,Planilha2!D:D)</f>
        <v>0</v>
      </c>
      <c r="H8" s="10">
        <f t="shared" si="0"/>
        <v>0</v>
      </c>
      <c r="I8" s="10">
        <f t="shared" si="1"/>
        <v>-4785</v>
      </c>
      <c r="J8" s="10">
        <v>4682</v>
      </c>
      <c r="K8" s="15">
        <f t="shared" si="2"/>
        <v>-103</v>
      </c>
    </row>
    <row r="9" spans="1:11" s="10" customFormat="1" x14ac:dyDescent="0.25">
      <c r="A9" s="1" t="s">
        <v>19</v>
      </c>
      <c r="B9" s="1" t="s">
        <v>17</v>
      </c>
      <c r="C9" s="1" t="s">
        <v>9</v>
      </c>
      <c r="D9" s="1">
        <v>140</v>
      </c>
      <c r="E9" s="3">
        <v>5394</v>
      </c>
      <c r="F9"/>
      <c r="G9">
        <f>SUMIF(Planilha2!E:E,A9,Planilha2!D:D)</f>
        <v>0</v>
      </c>
      <c r="H9" s="10">
        <f t="shared" si="0"/>
        <v>0</v>
      </c>
      <c r="I9" s="10">
        <f t="shared" si="1"/>
        <v>-5394</v>
      </c>
      <c r="J9" s="10">
        <v>5394</v>
      </c>
      <c r="K9" s="15">
        <f t="shared" si="2"/>
        <v>0</v>
      </c>
    </row>
    <row r="10" spans="1:11" s="10" customFormat="1" x14ac:dyDescent="0.25">
      <c r="A10" s="1" t="s">
        <v>20</v>
      </c>
      <c r="B10" s="1" t="s">
        <v>17</v>
      </c>
      <c r="C10" s="1" t="s">
        <v>9</v>
      </c>
      <c r="D10" s="1">
        <v>150</v>
      </c>
      <c r="E10" s="3">
        <v>4815</v>
      </c>
      <c r="F10"/>
      <c r="G10">
        <f>SUMIF(Planilha2!E:E,A10,Planilha2!D:D)</f>
        <v>0</v>
      </c>
      <c r="H10" s="10">
        <f>G10*1000</f>
        <v>0</v>
      </c>
      <c r="I10" s="10">
        <f>H10-E10</f>
        <v>-4815</v>
      </c>
      <c r="J10" s="10">
        <v>5975</v>
      </c>
      <c r="K10" s="15">
        <f>J10-E10</f>
        <v>1160</v>
      </c>
    </row>
    <row r="11" spans="1:11" s="10" customFormat="1" x14ac:dyDescent="0.25">
      <c r="A11" s="1" t="s">
        <v>21</v>
      </c>
      <c r="B11" s="1" t="s">
        <v>22</v>
      </c>
      <c r="C11" s="1" t="s">
        <v>9</v>
      </c>
      <c r="D11" s="1">
        <v>175</v>
      </c>
      <c r="E11" s="7">
        <v>4207</v>
      </c>
      <c r="F11"/>
      <c r="G11">
        <f>SUMIF(Planilha2!E:E,A11,Planilha2!D:D)</f>
        <v>4.2069999999999999</v>
      </c>
      <c r="H11" s="10">
        <f t="shared" si="0"/>
        <v>4207</v>
      </c>
      <c r="I11" s="10">
        <f t="shared" si="1"/>
        <v>0</v>
      </c>
      <c r="J11" s="10">
        <v>4806</v>
      </c>
      <c r="K11" s="15">
        <f t="shared" si="2"/>
        <v>599</v>
      </c>
    </row>
    <row r="12" spans="1:11" s="10" customFormat="1" x14ac:dyDescent="0.25">
      <c r="A12" s="1" t="s">
        <v>23</v>
      </c>
      <c r="B12" s="1" t="s">
        <v>24</v>
      </c>
      <c r="C12" s="1" t="s">
        <v>9</v>
      </c>
      <c r="D12" s="1">
        <v>175</v>
      </c>
      <c r="E12" s="5">
        <v>7796</v>
      </c>
      <c r="F12"/>
      <c r="G12">
        <f>SUMIF(Planilha2!E:E,A12,Planilha2!D:D)</f>
        <v>0</v>
      </c>
      <c r="H12" s="10">
        <f t="shared" si="0"/>
        <v>0</v>
      </c>
      <c r="I12" s="10">
        <f t="shared" si="1"/>
        <v>-7796</v>
      </c>
      <c r="J12" s="10">
        <v>7796</v>
      </c>
      <c r="K12" s="15">
        <f t="shared" si="2"/>
        <v>0</v>
      </c>
    </row>
    <row r="13" spans="1:11" s="10" customFormat="1" x14ac:dyDescent="0.25">
      <c r="A13" s="1" t="s">
        <v>25</v>
      </c>
      <c r="B13" s="1" t="s">
        <v>26</v>
      </c>
      <c r="C13" s="1" t="s">
        <v>9</v>
      </c>
      <c r="D13" s="1">
        <v>50</v>
      </c>
      <c r="E13" s="2">
        <v>7154</v>
      </c>
      <c r="F13"/>
      <c r="G13">
        <f>SUMIF(Planilha2!E:E,A13,Planilha2!D:D)</f>
        <v>0</v>
      </c>
      <c r="H13" s="10">
        <f t="shared" si="0"/>
        <v>0</v>
      </c>
      <c r="I13" s="10">
        <f t="shared" si="1"/>
        <v>-7154</v>
      </c>
      <c r="J13" s="10">
        <v>7154</v>
      </c>
      <c r="K13" s="15">
        <f t="shared" si="2"/>
        <v>0</v>
      </c>
    </row>
    <row r="14" spans="1:11" s="10" customFormat="1" x14ac:dyDescent="0.25">
      <c r="A14" s="1" t="s">
        <v>27</v>
      </c>
      <c r="B14" s="1" t="s">
        <v>28</v>
      </c>
      <c r="C14" s="1" t="s">
        <v>6</v>
      </c>
      <c r="D14" s="1">
        <v>90</v>
      </c>
      <c r="E14" s="5">
        <v>5884</v>
      </c>
      <c r="F14"/>
      <c r="G14">
        <f>SUMIF(Planilha2!E:E,A14,Planilha2!D:D)</f>
        <v>0</v>
      </c>
      <c r="H14" s="10">
        <f t="shared" si="0"/>
        <v>0</v>
      </c>
      <c r="I14" s="10">
        <f t="shared" si="1"/>
        <v>-5884</v>
      </c>
      <c r="J14" s="10">
        <v>6023</v>
      </c>
      <c r="K14" s="15">
        <f t="shared" si="2"/>
        <v>139</v>
      </c>
    </row>
    <row r="15" spans="1:11" s="10" customFormat="1" x14ac:dyDescent="0.25">
      <c r="A15" s="1" t="s">
        <v>29</v>
      </c>
      <c r="B15" s="1" t="s">
        <v>30</v>
      </c>
      <c r="C15" s="1" t="s">
        <v>6</v>
      </c>
      <c r="D15" s="1">
        <v>190</v>
      </c>
      <c r="E15" s="2">
        <v>6416</v>
      </c>
      <c r="F15"/>
      <c r="G15">
        <f>SUMIF(Planilha2!E:E,A15,Planilha2!D:D)</f>
        <v>0</v>
      </c>
      <c r="H15" s="10">
        <f>G15*1000</f>
        <v>0</v>
      </c>
      <c r="I15" s="10">
        <f>H15-E15</f>
        <v>-6416</v>
      </c>
      <c r="J15" s="10">
        <v>6847</v>
      </c>
      <c r="K15" s="15">
        <f t="shared" si="2"/>
        <v>431</v>
      </c>
    </row>
    <row r="16" spans="1:11" x14ac:dyDescent="0.25">
      <c r="A16" s="1" t="s">
        <v>31</v>
      </c>
      <c r="B16" s="1" t="s">
        <v>32</v>
      </c>
      <c r="C16" s="1"/>
      <c r="D16" s="1">
        <v>150</v>
      </c>
      <c r="E16" s="7">
        <v>3971</v>
      </c>
      <c r="G16">
        <f>SUMIF(Planilha2!E:E,A16,Planilha2!D:D)</f>
        <v>0</v>
      </c>
      <c r="H16" s="10">
        <f t="shared" si="0"/>
        <v>0</v>
      </c>
      <c r="I16" s="10">
        <f t="shared" si="1"/>
        <v>-3971</v>
      </c>
      <c r="J16" s="10">
        <v>3971</v>
      </c>
      <c r="K16" s="15">
        <f t="shared" si="2"/>
        <v>0</v>
      </c>
    </row>
    <row r="17" spans="1:11" x14ac:dyDescent="0.25">
      <c r="A17" s="1" t="s">
        <v>33</v>
      </c>
      <c r="B17" s="1" t="s">
        <v>34</v>
      </c>
      <c r="C17" s="1" t="s">
        <v>9</v>
      </c>
      <c r="D17" s="1">
        <v>375</v>
      </c>
      <c r="E17" s="7">
        <v>4937</v>
      </c>
      <c r="G17">
        <f>SUMIF(Planilha2!E:E,A17,Planilha2!D:D)</f>
        <v>0</v>
      </c>
      <c r="H17" s="10">
        <f t="shared" si="0"/>
        <v>0</v>
      </c>
      <c r="I17" s="10">
        <f t="shared" si="1"/>
        <v>-4937</v>
      </c>
      <c r="J17" s="10">
        <v>5054</v>
      </c>
      <c r="K17" s="15">
        <f t="shared" si="2"/>
        <v>117</v>
      </c>
    </row>
    <row r="18" spans="1:11" x14ac:dyDescent="0.25">
      <c r="A18" s="1" t="s">
        <v>35</v>
      </c>
      <c r="B18" s="1" t="s">
        <v>36</v>
      </c>
      <c r="C18" s="1" t="s">
        <v>9</v>
      </c>
      <c r="D18" s="1">
        <v>80</v>
      </c>
      <c r="E18" s="3">
        <v>5747</v>
      </c>
      <c r="G18">
        <f>SUMIF(Planilha2!E:E,A18,Planilha2!D:D)</f>
        <v>0</v>
      </c>
      <c r="H18" s="10">
        <f t="shared" si="0"/>
        <v>0</v>
      </c>
      <c r="I18" s="10">
        <f t="shared" si="1"/>
        <v>-5747</v>
      </c>
      <c r="J18" s="10">
        <v>5747</v>
      </c>
      <c r="K18" s="15">
        <f t="shared" si="2"/>
        <v>0</v>
      </c>
    </row>
    <row r="19" spans="1:11" x14ac:dyDescent="0.25">
      <c r="A19" s="1" t="s">
        <v>37</v>
      </c>
      <c r="B19" s="1" t="s">
        <v>38</v>
      </c>
      <c r="C19" s="1" t="s">
        <v>9</v>
      </c>
      <c r="D19" s="1">
        <v>100</v>
      </c>
      <c r="E19" s="7">
        <v>4212</v>
      </c>
      <c r="G19">
        <f>SUMIF(Planilha2!E:E,A19,Planilha2!D:D)</f>
        <v>0</v>
      </c>
      <c r="H19" s="10">
        <f t="shared" si="0"/>
        <v>0</v>
      </c>
      <c r="I19" s="10">
        <f t="shared" si="1"/>
        <v>-4212</v>
      </c>
      <c r="J19" s="10">
        <v>4212</v>
      </c>
      <c r="K19" s="15">
        <f t="shared" si="2"/>
        <v>0</v>
      </c>
    </row>
    <row r="20" spans="1:11" x14ac:dyDescent="0.25">
      <c r="A20" s="1" t="s">
        <v>39</v>
      </c>
      <c r="B20" s="1" t="s">
        <v>38</v>
      </c>
      <c r="C20" s="1" t="s">
        <v>9</v>
      </c>
      <c r="D20" s="1">
        <v>100</v>
      </c>
      <c r="E20" s="7">
        <v>4766</v>
      </c>
      <c r="G20">
        <f>SUMIF(Planilha2!E:E,A20,Planilha2!D:D)</f>
        <v>0</v>
      </c>
      <c r="H20" s="10">
        <f t="shared" si="0"/>
        <v>0</v>
      </c>
      <c r="I20" s="10">
        <f t="shared" si="1"/>
        <v>-4766</v>
      </c>
      <c r="J20" s="10">
        <v>4766</v>
      </c>
      <c r="K20" s="15">
        <f t="shared" si="2"/>
        <v>0</v>
      </c>
    </row>
    <row r="21" spans="1:11" x14ac:dyDescent="0.25">
      <c r="A21" s="1" t="s">
        <v>40</v>
      </c>
      <c r="B21" s="1" t="s">
        <v>38</v>
      </c>
      <c r="C21" s="1" t="s">
        <v>9</v>
      </c>
      <c r="D21" s="1">
        <v>115</v>
      </c>
      <c r="E21" s="7">
        <v>3877</v>
      </c>
      <c r="G21">
        <f>SUMIF(Planilha2!E:E,A21,Planilha2!D:D)</f>
        <v>0</v>
      </c>
      <c r="H21" s="10">
        <f t="shared" si="0"/>
        <v>0</v>
      </c>
      <c r="I21" s="10">
        <f t="shared" si="1"/>
        <v>-3877</v>
      </c>
      <c r="J21" s="10">
        <v>3877</v>
      </c>
      <c r="K21" s="15">
        <f t="shared" si="2"/>
        <v>0</v>
      </c>
    </row>
    <row r="22" spans="1:11" x14ac:dyDescent="0.25">
      <c r="A22" s="1" t="s">
        <v>41</v>
      </c>
      <c r="B22" s="1" t="s">
        <v>38</v>
      </c>
      <c r="C22" s="1" t="s">
        <v>9</v>
      </c>
      <c r="D22" s="1">
        <v>125</v>
      </c>
      <c r="E22" s="14">
        <v>4166</v>
      </c>
      <c r="G22">
        <f>SUMIF(Planilha2!E:E,A22,Planilha2!D:D)</f>
        <v>4.1660000000000004</v>
      </c>
      <c r="H22" s="10">
        <f t="shared" si="0"/>
        <v>4166</v>
      </c>
      <c r="I22" s="10">
        <f t="shared" si="1"/>
        <v>0</v>
      </c>
      <c r="J22" s="10">
        <v>4518</v>
      </c>
      <c r="K22" s="15">
        <f t="shared" si="2"/>
        <v>352</v>
      </c>
    </row>
    <row r="23" spans="1:11" x14ac:dyDescent="0.25">
      <c r="A23" s="1" t="s">
        <v>42</v>
      </c>
      <c r="B23" s="1" t="s">
        <v>38</v>
      </c>
      <c r="C23" s="1" t="s">
        <v>9</v>
      </c>
      <c r="D23" s="1">
        <v>125</v>
      </c>
      <c r="E23" s="7">
        <v>5190</v>
      </c>
      <c r="G23">
        <f>SUMIF(Planilha2!E:E,A23,Planilha2!D:D)</f>
        <v>0</v>
      </c>
      <c r="H23" s="10">
        <f t="shared" si="0"/>
        <v>0</v>
      </c>
      <c r="I23" s="10">
        <f t="shared" si="1"/>
        <v>-5190</v>
      </c>
      <c r="J23" s="10">
        <v>5190</v>
      </c>
      <c r="K23" s="15">
        <f t="shared" si="2"/>
        <v>0</v>
      </c>
    </row>
    <row r="24" spans="1:11" x14ac:dyDescent="0.25">
      <c r="A24" s="1" t="s">
        <v>43</v>
      </c>
      <c r="B24" s="1" t="s">
        <v>38</v>
      </c>
      <c r="C24" s="1" t="s">
        <v>9</v>
      </c>
      <c r="D24" s="1">
        <v>140</v>
      </c>
      <c r="E24" s="7">
        <v>4766</v>
      </c>
      <c r="G24">
        <f>SUMIF(Planilha2!E:E,A24,Planilha2!D:D)</f>
        <v>0</v>
      </c>
      <c r="H24" s="10">
        <f t="shared" si="0"/>
        <v>0</v>
      </c>
      <c r="I24" s="10">
        <f t="shared" si="1"/>
        <v>-4766</v>
      </c>
      <c r="J24" s="10">
        <v>4766</v>
      </c>
      <c r="K24" s="15">
        <f t="shared" si="2"/>
        <v>0</v>
      </c>
    </row>
    <row r="25" spans="1:11" x14ac:dyDescent="0.25">
      <c r="A25" s="1" t="s">
        <v>44</v>
      </c>
      <c r="B25" s="1" t="s">
        <v>45</v>
      </c>
      <c r="C25" s="1"/>
      <c r="D25" s="1">
        <v>155</v>
      </c>
      <c r="E25" s="7">
        <v>5289.26</v>
      </c>
      <c r="G25">
        <f>SUMIF(Planilha2!E:E,A25,Planilha2!D:D)</f>
        <v>0</v>
      </c>
      <c r="H25" s="10">
        <f t="shared" si="0"/>
        <v>0</v>
      </c>
      <c r="I25" s="10">
        <f t="shared" si="1"/>
        <v>-5289.26</v>
      </c>
      <c r="J25" s="10">
        <v>5289.26</v>
      </c>
      <c r="K25" s="15">
        <f t="shared" si="2"/>
        <v>0</v>
      </c>
    </row>
    <row r="26" spans="1:11" x14ac:dyDescent="0.25">
      <c r="A26" s="1" t="s">
        <v>46</v>
      </c>
      <c r="B26" s="1" t="s">
        <v>47</v>
      </c>
      <c r="C26" s="1" t="s">
        <v>9</v>
      </c>
      <c r="D26" s="1">
        <v>170</v>
      </c>
      <c r="E26" s="7">
        <v>4902</v>
      </c>
      <c r="G26">
        <f>SUMIF(Planilha2!E:E,A26,Planilha2!D:D)</f>
        <v>0</v>
      </c>
      <c r="H26" s="10">
        <f t="shared" si="0"/>
        <v>0</v>
      </c>
      <c r="I26" s="10">
        <f t="shared" si="1"/>
        <v>-4902</v>
      </c>
      <c r="J26" s="10">
        <v>4902</v>
      </c>
      <c r="K26" s="15">
        <f t="shared" si="2"/>
        <v>0</v>
      </c>
    </row>
    <row r="27" spans="1:11" x14ac:dyDescent="0.25">
      <c r="A27" s="1" t="s">
        <v>48</v>
      </c>
      <c r="B27" s="1" t="s">
        <v>49</v>
      </c>
      <c r="C27" s="1" t="s">
        <v>9</v>
      </c>
      <c r="D27" s="1">
        <v>180</v>
      </c>
      <c r="E27" s="7">
        <v>4767</v>
      </c>
      <c r="G27">
        <f>SUMIF(Planilha2!E:E,A27,Planilha2!D:D)</f>
        <v>0</v>
      </c>
      <c r="H27" s="10">
        <f t="shared" si="0"/>
        <v>0</v>
      </c>
      <c r="I27" s="10">
        <f t="shared" si="1"/>
        <v>-4767</v>
      </c>
      <c r="J27" s="10">
        <v>4767</v>
      </c>
      <c r="K27" s="15">
        <f t="shared" si="2"/>
        <v>0</v>
      </c>
    </row>
    <row r="28" spans="1:11" x14ac:dyDescent="0.25">
      <c r="A28" s="1" t="s">
        <v>50</v>
      </c>
      <c r="B28" s="1" t="s">
        <v>38</v>
      </c>
      <c r="C28" s="1" t="s">
        <v>9</v>
      </c>
      <c r="D28" s="1">
        <v>185</v>
      </c>
      <c r="E28" s="14">
        <v>4593</v>
      </c>
      <c r="G28">
        <f>SUMIF(Planilha2!E:E,A28,Planilha2!D:D)</f>
        <v>4.593</v>
      </c>
      <c r="H28" s="10">
        <f t="shared" si="0"/>
        <v>4593</v>
      </c>
      <c r="I28" s="10">
        <f t="shared" si="1"/>
        <v>0</v>
      </c>
      <c r="J28" s="10">
        <v>4652</v>
      </c>
      <c r="K28" s="15">
        <f t="shared" si="2"/>
        <v>59</v>
      </c>
    </row>
    <row r="29" spans="1:11" x14ac:dyDescent="0.25">
      <c r="A29" s="1" t="s">
        <v>51</v>
      </c>
      <c r="B29" s="1" t="s">
        <v>38</v>
      </c>
      <c r="C29" s="1" t="s">
        <v>9</v>
      </c>
      <c r="D29" s="1">
        <v>185</v>
      </c>
      <c r="E29" s="7">
        <v>5054</v>
      </c>
      <c r="G29">
        <f>SUMIF(Planilha2!E:E,A29,Planilha2!D:D)</f>
        <v>0</v>
      </c>
      <c r="H29" s="10">
        <f t="shared" si="0"/>
        <v>0</v>
      </c>
      <c r="I29" s="10">
        <f t="shared" si="1"/>
        <v>-5054</v>
      </c>
      <c r="J29" s="10">
        <v>5054</v>
      </c>
      <c r="K29" s="15">
        <f t="shared" si="2"/>
        <v>0</v>
      </c>
    </row>
    <row r="30" spans="1:11" x14ac:dyDescent="0.25">
      <c r="A30" s="1" t="s">
        <v>52</v>
      </c>
      <c r="B30" s="1" t="s">
        <v>38</v>
      </c>
      <c r="C30" s="1" t="s">
        <v>9</v>
      </c>
      <c r="D30" s="1">
        <v>200</v>
      </c>
      <c r="E30" s="7">
        <v>4549</v>
      </c>
      <c r="G30">
        <f>SUMIF(Planilha2!E:E,A30,Planilha2!D:D)</f>
        <v>0</v>
      </c>
      <c r="H30" s="10">
        <f t="shared" si="0"/>
        <v>0</v>
      </c>
      <c r="I30" s="10">
        <f t="shared" si="1"/>
        <v>-4549</v>
      </c>
      <c r="J30" s="10">
        <v>4549</v>
      </c>
      <c r="K30" s="15">
        <f t="shared" si="2"/>
        <v>0</v>
      </c>
    </row>
    <row r="31" spans="1:11" x14ac:dyDescent="0.25">
      <c r="A31" s="1" t="s">
        <v>53</v>
      </c>
      <c r="B31" s="1" t="s">
        <v>38</v>
      </c>
      <c r="C31" s="1" t="s">
        <v>9</v>
      </c>
      <c r="D31" s="1">
        <v>200</v>
      </c>
      <c r="E31" s="7">
        <v>4549</v>
      </c>
      <c r="G31">
        <f>SUMIF(Planilha2!E:E,A31,Planilha2!D:D)</f>
        <v>0</v>
      </c>
      <c r="H31" s="10">
        <f t="shared" si="0"/>
        <v>0</v>
      </c>
      <c r="I31" s="10">
        <f t="shared" si="1"/>
        <v>-4549</v>
      </c>
      <c r="J31" s="10">
        <v>4549</v>
      </c>
      <c r="K31" s="15">
        <f t="shared" si="2"/>
        <v>0</v>
      </c>
    </row>
    <row r="32" spans="1:11" x14ac:dyDescent="0.25">
      <c r="A32" s="1" t="s">
        <v>54</v>
      </c>
      <c r="B32" s="1" t="s">
        <v>38</v>
      </c>
      <c r="C32" s="1" t="s">
        <v>9</v>
      </c>
      <c r="D32" s="1">
        <v>240</v>
      </c>
      <c r="E32" s="7">
        <v>4137</v>
      </c>
      <c r="G32">
        <f>SUMIF(Planilha2!E:E,A32,Planilha2!D:D)</f>
        <v>0</v>
      </c>
      <c r="H32" s="10">
        <f t="shared" si="0"/>
        <v>0</v>
      </c>
      <c r="I32" s="10">
        <f t="shared" si="1"/>
        <v>-4137</v>
      </c>
      <c r="J32" s="10">
        <v>4137</v>
      </c>
      <c r="K32" s="15">
        <f t="shared" si="2"/>
        <v>0</v>
      </c>
    </row>
    <row r="33" spans="1:11" x14ac:dyDescent="0.25">
      <c r="A33" s="1" t="s">
        <v>55</v>
      </c>
      <c r="B33" s="1" t="s">
        <v>56</v>
      </c>
      <c r="C33" s="1" t="s">
        <v>9</v>
      </c>
      <c r="D33" s="1">
        <v>280</v>
      </c>
      <c r="E33" s="7">
        <v>7004</v>
      </c>
      <c r="G33">
        <f>SUMIF(Planilha2!E:E,A33,Planilha2!D:D)</f>
        <v>0</v>
      </c>
      <c r="H33" s="10">
        <f t="shared" si="0"/>
        <v>0</v>
      </c>
      <c r="I33" s="10">
        <f t="shared" si="1"/>
        <v>-7004</v>
      </c>
      <c r="J33" s="10">
        <v>7004</v>
      </c>
      <c r="K33" s="15">
        <f t="shared" si="2"/>
        <v>0</v>
      </c>
    </row>
    <row r="34" spans="1:11" x14ac:dyDescent="0.25">
      <c r="A34" s="1" t="s">
        <v>57</v>
      </c>
      <c r="B34" s="1" t="s">
        <v>58</v>
      </c>
      <c r="C34" s="1" t="s">
        <v>9</v>
      </c>
      <c r="D34" s="1">
        <v>130</v>
      </c>
      <c r="E34" s="4">
        <v>8185</v>
      </c>
      <c r="G34">
        <f>SUMIF(Planilha2!E:E,A34,Planilha2!D:D)</f>
        <v>0</v>
      </c>
      <c r="H34" s="10">
        <f t="shared" si="0"/>
        <v>0</v>
      </c>
      <c r="I34" s="10">
        <f t="shared" si="1"/>
        <v>-8185</v>
      </c>
      <c r="J34" s="10">
        <v>8185</v>
      </c>
      <c r="K34" s="15">
        <f t="shared" si="2"/>
        <v>0</v>
      </c>
    </row>
    <row r="35" spans="1:11" x14ac:dyDescent="0.25">
      <c r="A35" s="1" t="s">
        <v>59</v>
      </c>
      <c r="B35" s="1" t="s">
        <v>60</v>
      </c>
      <c r="C35" s="1" t="s">
        <v>9</v>
      </c>
      <c r="D35" s="1">
        <v>145</v>
      </c>
      <c r="E35" s="4">
        <v>5054</v>
      </c>
      <c r="G35">
        <f>SUMIF(Planilha2!E:E,A35,Planilha2!D:D)</f>
        <v>0</v>
      </c>
      <c r="H35" s="10">
        <f t="shared" si="0"/>
        <v>0</v>
      </c>
      <c r="I35" s="10">
        <f t="shared" si="1"/>
        <v>-5054</v>
      </c>
      <c r="J35" s="10">
        <v>8185</v>
      </c>
      <c r="K35" s="15">
        <f t="shared" si="2"/>
        <v>3131</v>
      </c>
    </row>
    <row r="36" spans="1:11" x14ac:dyDescent="0.25">
      <c r="A36" s="1" t="s">
        <v>61</v>
      </c>
      <c r="B36" s="1" t="s">
        <v>62</v>
      </c>
      <c r="C36" s="1" t="s">
        <v>9</v>
      </c>
      <c r="D36" s="1">
        <v>190</v>
      </c>
      <c r="E36" s="7">
        <v>3217</v>
      </c>
      <c r="G36">
        <f>SUMIF(Planilha2!E:E,A36,Planilha2!D:D)</f>
        <v>3.2170000000000001</v>
      </c>
      <c r="H36" s="10">
        <f t="shared" si="0"/>
        <v>3217</v>
      </c>
      <c r="I36" s="10">
        <f t="shared" si="1"/>
        <v>0</v>
      </c>
      <c r="J36" s="10">
        <v>3361</v>
      </c>
      <c r="K36" s="15">
        <f t="shared" si="2"/>
        <v>144</v>
      </c>
    </row>
    <row r="37" spans="1:11" x14ac:dyDescent="0.25">
      <c r="A37" s="1" t="s">
        <v>63</v>
      </c>
      <c r="B37" s="1" t="s">
        <v>64</v>
      </c>
      <c r="C37" s="1" t="s">
        <v>9</v>
      </c>
      <c r="D37" s="1">
        <v>350</v>
      </c>
      <c r="E37" s="7">
        <v>3356.52</v>
      </c>
      <c r="G37">
        <f>SUMIF(Planilha2!E:E,A37,Planilha2!D:D)</f>
        <v>0</v>
      </c>
      <c r="H37" s="10">
        <f t="shared" si="0"/>
        <v>0</v>
      </c>
      <c r="I37" s="10">
        <f t="shared" si="1"/>
        <v>-3356.52</v>
      </c>
      <c r="J37" s="10">
        <v>3356.52</v>
      </c>
      <c r="K37" s="15">
        <f t="shared" si="2"/>
        <v>0</v>
      </c>
    </row>
    <row r="38" spans="1:11" x14ac:dyDescent="0.25">
      <c r="A38" s="1" t="s">
        <v>65</v>
      </c>
      <c r="B38" s="1" t="s">
        <v>66</v>
      </c>
      <c r="C38" s="1" t="s">
        <v>9</v>
      </c>
      <c r="D38" s="1">
        <v>150</v>
      </c>
      <c r="E38" s="7">
        <v>3141</v>
      </c>
      <c r="G38">
        <f>SUMIF(Planilha2!E:E,A38,Planilha2!D:D)</f>
        <v>3.141</v>
      </c>
      <c r="H38" s="10">
        <f t="shared" si="0"/>
        <v>3141</v>
      </c>
      <c r="I38" s="10">
        <f t="shared" si="1"/>
        <v>0</v>
      </c>
      <c r="J38" s="10">
        <v>3244</v>
      </c>
      <c r="K38" s="15">
        <f t="shared" si="2"/>
        <v>103</v>
      </c>
    </row>
    <row r="39" spans="1:11" x14ac:dyDescent="0.25">
      <c r="A39" s="1" t="s">
        <v>67</v>
      </c>
      <c r="B39" s="1" t="s">
        <v>66</v>
      </c>
      <c r="C39" s="1" t="s">
        <v>9</v>
      </c>
      <c r="D39" s="1">
        <v>165</v>
      </c>
      <c r="E39" s="7">
        <v>3356.52</v>
      </c>
      <c r="G39">
        <f>SUMIF(Planilha2!E:E,A39,Planilha2!D:D)</f>
        <v>0</v>
      </c>
      <c r="H39" s="10">
        <f t="shared" si="0"/>
        <v>0</v>
      </c>
      <c r="I39" s="10">
        <f t="shared" si="1"/>
        <v>-3356.52</v>
      </c>
      <c r="J39" s="10">
        <v>3356.52</v>
      </c>
      <c r="K39" s="15">
        <f t="shared" si="2"/>
        <v>0</v>
      </c>
    </row>
    <row r="40" spans="1:11" x14ac:dyDescent="0.25">
      <c r="A40" s="1" t="s">
        <v>68</v>
      </c>
      <c r="B40" s="1"/>
      <c r="C40" s="1"/>
      <c r="D40" s="1">
        <v>110</v>
      </c>
      <c r="E40" s="2">
        <v>4161.9400000000005</v>
      </c>
      <c r="G40">
        <f>SUMIF(Planilha2!E:E,A40,Planilha2!D:D)</f>
        <v>0</v>
      </c>
      <c r="H40" s="10">
        <f t="shared" si="0"/>
        <v>0</v>
      </c>
      <c r="I40" s="10">
        <f t="shared" si="1"/>
        <v>-4161.9400000000005</v>
      </c>
      <c r="J40" s="10">
        <v>4161.9400000000005</v>
      </c>
      <c r="K40" s="15">
        <f t="shared" si="2"/>
        <v>0</v>
      </c>
    </row>
    <row r="41" spans="1:11" x14ac:dyDescent="0.25">
      <c r="A41" s="1" t="s">
        <v>69</v>
      </c>
      <c r="B41" s="1" t="s">
        <v>66</v>
      </c>
      <c r="C41" s="1" t="s">
        <v>9</v>
      </c>
      <c r="D41" s="1">
        <v>100</v>
      </c>
      <c r="E41" s="7">
        <v>3293</v>
      </c>
      <c r="G41">
        <f>SUMIF(Planilha2!E:E,A41,Planilha2!D:D)</f>
        <v>3.2930000000000001</v>
      </c>
      <c r="H41" s="10">
        <f t="shared" si="0"/>
        <v>3293</v>
      </c>
      <c r="I41" s="10">
        <f t="shared" si="1"/>
        <v>0</v>
      </c>
      <c r="J41" s="10">
        <v>3101</v>
      </c>
      <c r="K41" s="15">
        <f t="shared" si="2"/>
        <v>-192</v>
      </c>
    </row>
    <row r="42" spans="1:11" x14ac:dyDescent="0.25">
      <c r="A42" s="1" t="s">
        <v>70</v>
      </c>
      <c r="B42" s="1" t="s">
        <v>66</v>
      </c>
      <c r="C42" s="1" t="s">
        <v>9</v>
      </c>
      <c r="D42" s="1">
        <v>110</v>
      </c>
      <c r="E42" s="7">
        <v>3177</v>
      </c>
      <c r="G42">
        <f>SUMIF(Planilha2!E:E,A42,Planilha2!D:D)</f>
        <v>3.177</v>
      </c>
      <c r="H42" s="10">
        <f t="shared" si="0"/>
        <v>3177</v>
      </c>
      <c r="I42" s="10">
        <f t="shared" si="1"/>
        <v>0</v>
      </c>
      <c r="J42" s="10">
        <v>3341</v>
      </c>
      <c r="K42" s="15">
        <f t="shared" si="2"/>
        <v>164</v>
      </c>
    </row>
    <row r="43" spans="1:11" x14ac:dyDescent="0.25">
      <c r="A43" s="1" t="s">
        <v>71</v>
      </c>
      <c r="B43" s="1" t="s">
        <v>66</v>
      </c>
      <c r="C43" s="1" t="s">
        <v>9</v>
      </c>
      <c r="D43" s="1">
        <v>125</v>
      </c>
      <c r="E43" s="7">
        <v>3352</v>
      </c>
      <c r="G43">
        <f>SUMIF(Planilha2!E:E,A43,Planilha2!D:D)</f>
        <v>0</v>
      </c>
      <c r="H43" s="10">
        <f t="shared" si="0"/>
        <v>0</v>
      </c>
      <c r="I43" s="10">
        <f t="shared" si="1"/>
        <v>-3352</v>
      </c>
      <c r="J43" s="10">
        <v>3352</v>
      </c>
      <c r="K43" s="15">
        <f t="shared" si="2"/>
        <v>0</v>
      </c>
    </row>
    <row r="44" spans="1:11" x14ac:dyDescent="0.25">
      <c r="A44" s="1" t="s">
        <v>72</v>
      </c>
      <c r="B44" s="1" t="s">
        <v>66</v>
      </c>
      <c r="C44" s="1" t="s">
        <v>9</v>
      </c>
      <c r="D44" s="1">
        <v>135</v>
      </c>
      <c r="E44" s="7">
        <v>3356.52</v>
      </c>
      <c r="G44">
        <f>SUMIF(Planilha2!E:E,A44,Planilha2!D:D)</f>
        <v>0</v>
      </c>
      <c r="H44" s="10">
        <f t="shared" si="0"/>
        <v>0</v>
      </c>
      <c r="I44" s="10">
        <f t="shared" si="1"/>
        <v>-3356.52</v>
      </c>
      <c r="J44" s="10">
        <v>3356.52</v>
      </c>
      <c r="K44" s="15">
        <f t="shared" si="2"/>
        <v>0</v>
      </c>
    </row>
    <row r="45" spans="1:11" x14ac:dyDescent="0.25">
      <c r="A45" s="1" t="s">
        <v>73</v>
      </c>
      <c r="B45" s="1" t="s">
        <v>66</v>
      </c>
      <c r="C45" s="1" t="s">
        <v>9</v>
      </c>
      <c r="D45" s="1">
        <v>140</v>
      </c>
      <c r="E45" s="7">
        <v>3356.52</v>
      </c>
      <c r="G45">
        <f>SUMIF(Planilha2!E:E,A45,Planilha2!D:D)</f>
        <v>0</v>
      </c>
      <c r="H45" s="10">
        <f t="shared" si="0"/>
        <v>0</v>
      </c>
      <c r="I45" s="10">
        <f t="shared" si="1"/>
        <v>-3356.52</v>
      </c>
      <c r="J45" s="10">
        <v>3356.52</v>
      </c>
      <c r="K45" s="15">
        <f t="shared" si="2"/>
        <v>0</v>
      </c>
    </row>
    <row r="46" spans="1:11" x14ac:dyDescent="0.25">
      <c r="A46" s="1" t="s">
        <v>74</v>
      </c>
      <c r="B46" s="1" t="s">
        <v>75</v>
      </c>
      <c r="C46" s="1"/>
      <c r="D46" s="1">
        <v>130</v>
      </c>
      <c r="E46" s="7">
        <v>3356.52</v>
      </c>
      <c r="G46">
        <f>SUMIF(Planilha2!E:E,A46,Planilha2!D:D)</f>
        <v>0</v>
      </c>
      <c r="H46" s="10">
        <f t="shared" si="0"/>
        <v>0</v>
      </c>
      <c r="I46" s="10">
        <f t="shared" si="1"/>
        <v>-3356.52</v>
      </c>
      <c r="J46" s="10">
        <v>3356.52</v>
      </c>
      <c r="K46" s="15">
        <f t="shared" si="2"/>
        <v>0</v>
      </c>
    </row>
    <row r="47" spans="1:11" x14ac:dyDescent="0.25">
      <c r="A47" s="1" t="s">
        <v>76</v>
      </c>
      <c r="B47" s="1"/>
      <c r="C47" s="1" t="s">
        <v>9</v>
      </c>
      <c r="D47" s="1">
        <v>100</v>
      </c>
      <c r="E47" s="2">
        <v>4161.9400000000005</v>
      </c>
      <c r="G47">
        <f>SUMIF(Planilha2!E:E,A47,Planilha2!D:D)</f>
        <v>0</v>
      </c>
      <c r="H47" s="10">
        <f t="shared" si="0"/>
        <v>0</v>
      </c>
      <c r="I47" s="10">
        <f t="shared" si="1"/>
        <v>-4161.9400000000005</v>
      </c>
      <c r="J47" s="10">
        <v>4161.9400000000005</v>
      </c>
      <c r="K47" s="15">
        <f t="shared" si="2"/>
        <v>0</v>
      </c>
    </row>
    <row r="48" spans="1:11" x14ac:dyDescent="0.25">
      <c r="A48" s="1" t="s">
        <v>77</v>
      </c>
      <c r="B48" s="1"/>
      <c r="C48" s="1" t="s">
        <v>9</v>
      </c>
      <c r="D48" s="1">
        <v>80</v>
      </c>
      <c r="E48" s="2">
        <v>4161.9400000000005</v>
      </c>
      <c r="G48">
        <f>SUMIF(Planilha2!E:E,A48,Planilha2!D:D)</f>
        <v>0</v>
      </c>
      <c r="H48" s="10">
        <f t="shared" si="0"/>
        <v>0</v>
      </c>
      <c r="I48" s="10">
        <f t="shared" si="1"/>
        <v>-4161.9400000000005</v>
      </c>
      <c r="J48" s="10">
        <v>4161.9400000000005</v>
      </c>
      <c r="K48" s="15">
        <f t="shared" si="2"/>
        <v>0</v>
      </c>
    </row>
    <row r="49" spans="1:11" x14ac:dyDescent="0.25">
      <c r="A49" s="1" t="s">
        <v>78</v>
      </c>
      <c r="B49" s="1"/>
      <c r="C49" s="1" t="s">
        <v>9</v>
      </c>
      <c r="D49" s="1">
        <v>110</v>
      </c>
      <c r="E49" s="2">
        <v>4161.9400000000005</v>
      </c>
      <c r="G49">
        <f>SUMIF(Planilha2!E:E,A49,Planilha2!D:D)</f>
        <v>0</v>
      </c>
      <c r="H49" s="10">
        <f t="shared" si="0"/>
        <v>0</v>
      </c>
      <c r="I49" s="10">
        <f t="shared" si="1"/>
        <v>-4161.9400000000005</v>
      </c>
      <c r="J49" s="10">
        <v>4161.9400000000005</v>
      </c>
      <c r="K49" s="15">
        <f t="shared" si="2"/>
        <v>0</v>
      </c>
    </row>
    <row r="50" spans="1:11" x14ac:dyDescent="0.25">
      <c r="A50" s="1" t="s">
        <v>79</v>
      </c>
      <c r="B50" s="1"/>
      <c r="C50" s="1" t="s">
        <v>9</v>
      </c>
      <c r="D50" s="1">
        <v>120</v>
      </c>
      <c r="E50" s="2">
        <v>4161.9400000000005</v>
      </c>
      <c r="G50">
        <f>SUMIF(Planilha2!E:E,A50,Planilha2!D:D)</f>
        <v>0</v>
      </c>
      <c r="H50" s="10">
        <f t="shared" si="0"/>
        <v>0</v>
      </c>
      <c r="I50" s="10">
        <f t="shared" si="1"/>
        <v>-4161.9400000000005</v>
      </c>
      <c r="J50" s="10">
        <v>4161.9400000000005</v>
      </c>
      <c r="K50" s="15">
        <f t="shared" si="2"/>
        <v>0</v>
      </c>
    </row>
    <row r="51" spans="1:11" x14ac:dyDescent="0.25">
      <c r="A51" s="1" t="s">
        <v>80</v>
      </c>
      <c r="B51" s="1"/>
      <c r="C51" s="1" t="s">
        <v>9</v>
      </c>
      <c r="D51" s="1">
        <v>140</v>
      </c>
      <c r="E51" s="2">
        <v>4161.9400000000005</v>
      </c>
      <c r="G51">
        <f>SUMIF(Planilha2!E:E,A51,Planilha2!D:D)</f>
        <v>0</v>
      </c>
      <c r="H51" s="10">
        <f t="shared" si="0"/>
        <v>0</v>
      </c>
      <c r="I51" s="10">
        <f t="shared" si="1"/>
        <v>-4161.9400000000005</v>
      </c>
      <c r="J51" s="10">
        <v>4161.9400000000005</v>
      </c>
      <c r="K51" s="15">
        <f t="shared" si="2"/>
        <v>0</v>
      </c>
    </row>
    <row r="52" spans="1:11" x14ac:dyDescent="0.25">
      <c r="A52" s="1" t="s">
        <v>81</v>
      </c>
      <c r="B52" s="1"/>
      <c r="C52" s="1"/>
      <c r="D52" s="1">
        <v>160</v>
      </c>
      <c r="E52" s="2">
        <v>4161.9400000000005</v>
      </c>
      <c r="G52">
        <f>SUMIF(Planilha2!E:E,A52,Planilha2!D:D)</f>
        <v>0</v>
      </c>
      <c r="H52" s="10">
        <f t="shared" si="0"/>
        <v>0</v>
      </c>
      <c r="I52" s="10">
        <f t="shared" si="1"/>
        <v>-4161.9400000000005</v>
      </c>
      <c r="J52" s="10">
        <v>4161.9400000000005</v>
      </c>
      <c r="K52" s="15">
        <f t="shared" si="2"/>
        <v>0</v>
      </c>
    </row>
    <row r="53" spans="1:11" x14ac:dyDescent="0.25">
      <c r="A53" s="1" t="s">
        <v>82</v>
      </c>
      <c r="B53" s="1"/>
      <c r="C53" s="1" t="s">
        <v>9</v>
      </c>
      <c r="D53" s="1">
        <v>185</v>
      </c>
      <c r="E53" s="2">
        <v>4162</v>
      </c>
      <c r="G53">
        <f>SUMIF(Planilha2!E:E,A53,Planilha2!D:D)</f>
        <v>0</v>
      </c>
      <c r="H53" s="10">
        <f t="shared" si="0"/>
        <v>0</v>
      </c>
      <c r="I53" s="10">
        <f t="shared" si="1"/>
        <v>-4162</v>
      </c>
      <c r="J53" s="10">
        <v>4162</v>
      </c>
      <c r="K53" s="15">
        <f t="shared" si="2"/>
        <v>0</v>
      </c>
    </row>
    <row r="54" spans="1:11" x14ac:dyDescent="0.25">
      <c r="A54" s="1" t="s">
        <v>83</v>
      </c>
      <c r="B54" s="1"/>
      <c r="C54" s="1" t="s">
        <v>9</v>
      </c>
      <c r="D54" s="1">
        <v>140</v>
      </c>
      <c r="E54" s="2">
        <v>4162</v>
      </c>
      <c r="G54">
        <f>SUMIF(Planilha2!E:E,A54,Planilha2!D:D)</f>
        <v>0</v>
      </c>
      <c r="H54" s="10">
        <f t="shared" si="0"/>
        <v>0</v>
      </c>
      <c r="I54" s="10">
        <f t="shared" si="1"/>
        <v>-4162</v>
      </c>
      <c r="J54" s="10">
        <v>4162</v>
      </c>
      <c r="K54" s="15">
        <f t="shared" si="2"/>
        <v>0</v>
      </c>
    </row>
    <row r="55" spans="1:11" x14ac:dyDescent="0.25">
      <c r="A55" s="1" t="s">
        <v>84</v>
      </c>
      <c r="B55" s="1" t="s">
        <v>85</v>
      </c>
      <c r="C55" s="1" t="s">
        <v>9</v>
      </c>
      <c r="D55" s="1">
        <v>125</v>
      </c>
      <c r="E55" s="2">
        <v>4161.9400000000005</v>
      </c>
      <c r="G55">
        <f>SUMIF(Planilha2!E:E,A55,Planilha2!D:D)</f>
        <v>0</v>
      </c>
      <c r="H55" s="10">
        <f t="shared" si="0"/>
        <v>0</v>
      </c>
      <c r="I55" s="10">
        <f t="shared" si="1"/>
        <v>-4161.9400000000005</v>
      </c>
      <c r="J55" s="10">
        <v>4161.9400000000005</v>
      </c>
      <c r="K55" s="15">
        <f t="shared" si="2"/>
        <v>0</v>
      </c>
    </row>
    <row r="56" spans="1:11" x14ac:dyDescent="0.25">
      <c r="A56" s="1" t="s">
        <v>86</v>
      </c>
      <c r="B56" s="1" t="s">
        <v>87</v>
      </c>
      <c r="C56" s="1"/>
      <c r="D56" s="1">
        <v>180</v>
      </c>
      <c r="E56" s="2">
        <v>4161.9400000000005</v>
      </c>
      <c r="G56">
        <f>SUMIF(Planilha2!E:E,A56,Planilha2!D:D)</f>
        <v>0</v>
      </c>
      <c r="H56" s="10">
        <f t="shared" si="0"/>
        <v>0</v>
      </c>
      <c r="I56" s="10">
        <f t="shared" si="1"/>
        <v>-4161.9400000000005</v>
      </c>
      <c r="J56" s="10">
        <v>4161.9400000000005</v>
      </c>
      <c r="K56" s="15">
        <f t="shared" si="2"/>
        <v>0</v>
      </c>
    </row>
    <row r="57" spans="1:11" x14ac:dyDescent="0.25">
      <c r="A57" s="1" t="s">
        <v>88</v>
      </c>
      <c r="B57" s="1" t="s">
        <v>89</v>
      </c>
      <c r="C57" s="1" t="s">
        <v>6</v>
      </c>
      <c r="D57" s="1">
        <v>120</v>
      </c>
      <c r="E57" s="2">
        <v>4161.9400000000005</v>
      </c>
      <c r="G57">
        <f>SUMIF(Planilha2!E:E,A57,Planilha2!D:D)</f>
        <v>0</v>
      </c>
      <c r="H57" s="10">
        <f t="shared" si="0"/>
        <v>0</v>
      </c>
      <c r="I57" s="10">
        <f t="shared" si="1"/>
        <v>-4161.9400000000005</v>
      </c>
      <c r="J57" s="10">
        <v>4161.9400000000005</v>
      </c>
      <c r="K57" s="15">
        <f t="shared" si="2"/>
        <v>0</v>
      </c>
    </row>
    <row r="58" spans="1:11" x14ac:dyDescent="0.25">
      <c r="A58" s="1" t="s">
        <v>95</v>
      </c>
      <c r="B58" s="1"/>
      <c r="C58" s="1"/>
      <c r="D58" s="1">
        <v>125</v>
      </c>
      <c r="E58" s="7">
        <v>9960</v>
      </c>
      <c r="G58">
        <f>SUMIF(Planilha2!E:E,A58,Planilha2!D:D)</f>
        <v>0</v>
      </c>
      <c r="H58" s="10">
        <f t="shared" si="0"/>
        <v>0</v>
      </c>
      <c r="I58" s="10">
        <f t="shared" si="1"/>
        <v>-9960</v>
      </c>
      <c r="J58" s="10">
        <v>9960</v>
      </c>
      <c r="K58" s="15">
        <f t="shared" si="2"/>
        <v>0</v>
      </c>
    </row>
    <row r="59" spans="1:11" x14ac:dyDescent="0.25">
      <c r="A59" s="1" t="s">
        <v>96</v>
      </c>
      <c r="B59" s="1" t="s">
        <v>97</v>
      </c>
      <c r="C59" s="1"/>
      <c r="D59" s="1">
        <v>120</v>
      </c>
      <c r="E59" s="2">
        <v>4434</v>
      </c>
      <c r="G59">
        <f>SUMIF(Planilha2!E:E,A59,Planilha2!D:D)</f>
        <v>0</v>
      </c>
      <c r="H59" s="10">
        <f t="shared" si="0"/>
        <v>0</v>
      </c>
      <c r="I59" s="10">
        <f t="shared" si="1"/>
        <v>-4434</v>
      </c>
      <c r="J59" s="10">
        <v>4434</v>
      </c>
      <c r="K59" s="15">
        <f t="shared" si="2"/>
        <v>0</v>
      </c>
    </row>
    <row r="60" spans="1:11" x14ac:dyDescent="0.25">
      <c r="A60" s="1" t="s">
        <v>98</v>
      </c>
      <c r="B60" s="1"/>
      <c r="C60" s="1"/>
      <c r="D60" s="1">
        <v>126</v>
      </c>
      <c r="E60" s="2">
        <v>4085</v>
      </c>
      <c r="G60">
        <f>SUMIF(Planilha2!E:E,A60,Planilha2!D:D)</f>
        <v>0</v>
      </c>
      <c r="H60" s="10">
        <f t="shared" si="0"/>
        <v>0</v>
      </c>
      <c r="I60" s="10">
        <f t="shared" si="1"/>
        <v>-4085</v>
      </c>
      <c r="J60" s="10">
        <v>4085</v>
      </c>
      <c r="K60" s="15">
        <f t="shared" si="2"/>
        <v>0</v>
      </c>
    </row>
    <row r="61" spans="1:11" x14ac:dyDescent="0.25">
      <c r="A61" s="1" t="s">
        <v>99</v>
      </c>
      <c r="B61" s="1"/>
      <c r="C61" s="1"/>
      <c r="D61" s="1">
        <v>90</v>
      </c>
      <c r="E61" s="2">
        <v>4866.7</v>
      </c>
      <c r="G61">
        <f>SUMIF(Planilha2!E:E,A61,Planilha2!D:D)</f>
        <v>0</v>
      </c>
      <c r="H61" s="10">
        <f t="shared" si="0"/>
        <v>0</v>
      </c>
      <c r="I61" s="10">
        <f t="shared" si="1"/>
        <v>-4866.7</v>
      </c>
      <c r="J61" s="10">
        <v>4866.7</v>
      </c>
      <c r="K61" s="15">
        <f t="shared" si="2"/>
        <v>0</v>
      </c>
    </row>
    <row r="62" spans="1:11" x14ac:dyDescent="0.25">
      <c r="A62" s="1" t="s">
        <v>100</v>
      </c>
      <c r="B62" s="1"/>
      <c r="C62" s="1"/>
      <c r="D62" s="1">
        <v>220</v>
      </c>
      <c r="E62" s="2"/>
      <c r="G62">
        <f>SUMIF(Planilha2!E:E,A62,Planilha2!D:D)</f>
        <v>0</v>
      </c>
      <c r="H62" s="10">
        <f t="shared" si="0"/>
        <v>0</v>
      </c>
      <c r="I62" s="10">
        <f t="shared" si="1"/>
        <v>0</v>
      </c>
      <c r="K62" s="15">
        <f t="shared" si="2"/>
        <v>0</v>
      </c>
    </row>
    <row r="63" spans="1:11" x14ac:dyDescent="0.25">
      <c r="A63" s="1" t="s">
        <v>101</v>
      </c>
      <c r="B63" s="1"/>
      <c r="C63" s="1"/>
      <c r="D63" s="1">
        <v>300</v>
      </c>
      <c r="E63" s="2">
        <v>4137</v>
      </c>
      <c r="G63">
        <f>SUMIF(Planilha2!E:E,A63,Planilha2!D:D)</f>
        <v>0</v>
      </c>
      <c r="H63" s="10">
        <f t="shared" si="0"/>
        <v>0</v>
      </c>
      <c r="I63" s="10">
        <f t="shared" si="1"/>
        <v>-4137</v>
      </c>
      <c r="J63" s="10">
        <v>4137</v>
      </c>
      <c r="K63" s="15">
        <f t="shared" si="2"/>
        <v>0</v>
      </c>
    </row>
    <row r="64" spans="1:11" x14ac:dyDescent="0.25">
      <c r="A64" s="1" t="s">
        <v>102</v>
      </c>
      <c r="B64" s="1"/>
      <c r="C64" s="1"/>
      <c r="D64" s="1">
        <v>150</v>
      </c>
      <c r="E64" s="7">
        <v>5289.26</v>
      </c>
      <c r="G64">
        <f>SUMIF(Planilha2!E:E,A64,Planilha2!D:D)</f>
        <v>0</v>
      </c>
      <c r="H64" s="10">
        <f t="shared" si="0"/>
        <v>0</v>
      </c>
      <c r="I64" s="10">
        <f t="shared" si="1"/>
        <v>-5289.26</v>
      </c>
      <c r="J64" s="10">
        <v>5289.26</v>
      </c>
      <c r="K64" s="15">
        <f t="shared" si="2"/>
        <v>0</v>
      </c>
    </row>
    <row r="65" spans="1:11" x14ac:dyDescent="0.25">
      <c r="A65" s="1" t="s">
        <v>103</v>
      </c>
      <c r="B65" s="1"/>
      <c r="C65" s="1"/>
      <c r="D65" s="1">
        <v>160</v>
      </c>
      <c r="E65" s="2">
        <v>4866.7</v>
      </c>
      <c r="G65">
        <f>SUMIF(Planilha2!E:E,A65,Planilha2!D:D)</f>
        <v>0</v>
      </c>
      <c r="H65" s="10">
        <f t="shared" si="0"/>
        <v>0</v>
      </c>
      <c r="I65" s="10">
        <f t="shared" si="1"/>
        <v>-4866.7</v>
      </c>
      <c r="J65" s="10">
        <v>4866.7</v>
      </c>
      <c r="K65" s="15">
        <f t="shared" si="2"/>
        <v>0</v>
      </c>
    </row>
    <row r="66" spans="1:11" x14ac:dyDescent="0.25">
      <c r="A66" s="1" t="s">
        <v>104</v>
      </c>
      <c r="B66" s="1"/>
      <c r="C66" s="1"/>
      <c r="D66" s="1">
        <v>120</v>
      </c>
      <c r="E66" s="2">
        <v>4866.7</v>
      </c>
      <c r="G66">
        <f>SUMIF(Planilha2!E:E,A66,Planilha2!D:D)</f>
        <v>0</v>
      </c>
      <c r="H66" s="10">
        <f t="shared" si="0"/>
        <v>0</v>
      </c>
      <c r="I66" s="10">
        <f t="shared" si="1"/>
        <v>-4866.7</v>
      </c>
      <c r="J66" s="10">
        <v>4866.7</v>
      </c>
      <c r="K66" s="15">
        <f t="shared" si="2"/>
        <v>0</v>
      </c>
    </row>
    <row r="67" spans="1:11" x14ac:dyDescent="0.25">
      <c r="A67" s="1" t="s">
        <v>105</v>
      </c>
      <c r="B67" s="1"/>
      <c r="C67" s="1"/>
      <c r="D67" s="1">
        <v>190</v>
      </c>
      <c r="E67" s="2">
        <v>7220.34</v>
      </c>
      <c r="G67">
        <f>SUMIF(Planilha2!E:E,A67,Planilha2!D:D)</f>
        <v>0</v>
      </c>
      <c r="H67" s="10">
        <f t="shared" si="0"/>
        <v>0</v>
      </c>
      <c r="I67" s="10">
        <f t="shared" si="1"/>
        <v>-7220.34</v>
      </c>
      <c r="J67" s="10">
        <v>7220.34</v>
      </c>
      <c r="K67" s="15">
        <f t="shared" si="2"/>
        <v>0</v>
      </c>
    </row>
    <row r="68" spans="1:11" x14ac:dyDescent="0.25">
      <c r="A68" s="1" t="s">
        <v>106</v>
      </c>
      <c r="B68" s="1"/>
      <c r="C68" s="1"/>
      <c r="D68" s="1">
        <v>200</v>
      </c>
      <c r="E68" s="2">
        <v>7220.34</v>
      </c>
      <c r="G68">
        <f>SUMIF(Planilha2!E:E,A68,Planilha2!D:D)</f>
        <v>0</v>
      </c>
      <c r="H68" s="10">
        <f t="shared" ref="H68:H87" si="3">G68*1000</f>
        <v>0</v>
      </c>
      <c r="I68" s="10">
        <f t="shared" ref="I68:I87" si="4">H68-E68</f>
        <v>-7220.34</v>
      </c>
      <c r="J68" s="10">
        <v>7220.34</v>
      </c>
      <c r="K68" s="15">
        <f t="shared" ref="K68:K89" si="5">J68-E68</f>
        <v>0</v>
      </c>
    </row>
    <row r="69" spans="1:11" x14ac:dyDescent="0.25">
      <c r="A69" s="1" t="s">
        <v>107</v>
      </c>
      <c r="B69" s="1"/>
      <c r="C69" s="1"/>
      <c r="D69" s="1">
        <v>205</v>
      </c>
      <c r="E69" s="2">
        <v>6847</v>
      </c>
      <c r="G69">
        <f>SUMIF(Planilha2!E:E,A69,Planilha2!D:D)</f>
        <v>0</v>
      </c>
      <c r="H69" s="10">
        <f t="shared" si="3"/>
        <v>0</v>
      </c>
      <c r="I69" s="10">
        <f t="shared" si="4"/>
        <v>-6847</v>
      </c>
      <c r="J69" s="10">
        <v>6847</v>
      </c>
      <c r="K69" s="15">
        <f t="shared" si="5"/>
        <v>0</v>
      </c>
    </row>
    <row r="70" spans="1:11" x14ac:dyDescent="0.25">
      <c r="A70" s="1" t="s">
        <v>108</v>
      </c>
      <c r="B70" s="1"/>
      <c r="C70" s="1"/>
      <c r="D70" s="1">
        <v>110</v>
      </c>
      <c r="E70" s="2">
        <v>4162</v>
      </c>
      <c r="G70">
        <f>SUMIF(Planilha2!E:E,A70,Planilha2!D:D)</f>
        <v>0</v>
      </c>
      <c r="H70" s="10">
        <f t="shared" si="3"/>
        <v>0</v>
      </c>
      <c r="I70" s="10">
        <f t="shared" si="4"/>
        <v>-4162</v>
      </c>
      <c r="J70" s="10">
        <v>4162</v>
      </c>
      <c r="K70" s="15">
        <f t="shared" si="5"/>
        <v>0</v>
      </c>
    </row>
    <row r="71" spans="1:11" x14ac:dyDescent="0.25">
      <c r="A71" s="1" t="s">
        <v>109</v>
      </c>
      <c r="B71" s="1"/>
      <c r="C71" s="1"/>
      <c r="D71" s="1">
        <v>227</v>
      </c>
      <c r="E71" s="2">
        <v>7220.34</v>
      </c>
      <c r="G71">
        <f>SUMIF(Planilha2!E:E,A71,Planilha2!D:D)</f>
        <v>0</v>
      </c>
      <c r="H71" s="10">
        <f t="shared" si="3"/>
        <v>0</v>
      </c>
      <c r="I71" s="10">
        <f t="shared" si="4"/>
        <v>-7220.34</v>
      </c>
      <c r="J71" s="10">
        <v>7220.34</v>
      </c>
      <c r="K71" s="15">
        <f t="shared" si="5"/>
        <v>0</v>
      </c>
    </row>
    <row r="72" spans="1:11" x14ac:dyDescent="0.25">
      <c r="A72" s="1" t="s">
        <v>110</v>
      </c>
      <c r="B72" s="1"/>
      <c r="C72" s="1"/>
      <c r="D72" s="1">
        <v>135</v>
      </c>
      <c r="E72" s="2">
        <v>3103.58</v>
      </c>
      <c r="G72">
        <f>SUMIF(Planilha2!E:E,A72,Planilha2!D:D)</f>
        <v>0</v>
      </c>
      <c r="H72" s="10">
        <f t="shared" si="3"/>
        <v>0</v>
      </c>
      <c r="I72" s="10">
        <f t="shared" si="4"/>
        <v>-3103.58</v>
      </c>
      <c r="J72" s="10">
        <v>3103.58</v>
      </c>
      <c r="K72" s="15">
        <f t="shared" si="5"/>
        <v>0</v>
      </c>
    </row>
    <row r="73" spans="1:11" x14ac:dyDescent="0.25">
      <c r="A73" s="1" t="s">
        <v>111</v>
      </c>
      <c r="B73" s="1"/>
      <c r="C73" s="1"/>
      <c r="D73" s="1">
        <v>75</v>
      </c>
      <c r="E73" s="2">
        <v>5075</v>
      </c>
      <c r="G73">
        <f>SUMIF(Planilha2!E:E,A73,Planilha2!D:D)</f>
        <v>0</v>
      </c>
      <c r="H73" s="10">
        <f t="shared" si="3"/>
        <v>0</v>
      </c>
      <c r="I73" s="10">
        <f t="shared" si="4"/>
        <v>-5075</v>
      </c>
      <c r="J73" s="10">
        <v>5075</v>
      </c>
      <c r="K73" s="15">
        <f t="shared" si="5"/>
        <v>0</v>
      </c>
    </row>
    <row r="74" spans="1:11" x14ac:dyDescent="0.25">
      <c r="A74" s="1" t="s">
        <v>112</v>
      </c>
      <c r="B74" s="1"/>
      <c r="C74" s="1"/>
      <c r="D74" s="1">
        <v>90</v>
      </c>
      <c r="E74" s="2">
        <v>3103.58</v>
      </c>
      <c r="G74">
        <f>SUMIF(Planilha2!E:E,A74,Planilha2!D:D)</f>
        <v>0</v>
      </c>
      <c r="H74" s="10">
        <f t="shared" si="3"/>
        <v>0</v>
      </c>
      <c r="I74" s="10">
        <f t="shared" si="4"/>
        <v>-3103.58</v>
      </c>
      <c r="J74" s="10">
        <v>3103.58</v>
      </c>
      <c r="K74" s="15">
        <f t="shared" si="5"/>
        <v>0</v>
      </c>
    </row>
    <row r="75" spans="1:11" x14ac:dyDescent="0.25">
      <c r="A75" s="1" t="s">
        <v>113</v>
      </c>
      <c r="B75" s="1"/>
      <c r="C75" s="1"/>
      <c r="D75" s="1">
        <v>160</v>
      </c>
      <c r="E75" s="2">
        <v>3103.58</v>
      </c>
      <c r="G75">
        <f>SUMIF(Planilha2!E:E,A75,Planilha2!D:D)</f>
        <v>0</v>
      </c>
      <c r="H75" s="10">
        <f t="shared" si="3"/>
        <v>0</v>
      </c>
      <c r="I75" s="10">
        <f t="shared" si="4"/>
        <v>-3103.58</v>
      </c>
      <c r="J75" s="10">
        <v>3103.58</v>
      </c>
      <c r="K75" s="15">
        <f t="shared" si="5"/>
        <v>0</v>
      </c>
    </row>
    <row r="76" spans="1:11" x14ac:dyDescent="0.25">
      <c r="A76" s="1" t="s">
        <v>114</v>
      </c>
      <c r="B76" s="1"/>
      <c r="C76" s="1"/>
      <c r="D76" s="1">
        <v>120</v>
      </c>
      <c r="E76" s="2">
        <v>3352</v>
      </c>
      <c r="G76">
        <f>SUMIF(Planilha2!E:E,A76,Planilha2!D:D)</f>
        <v>0</v>
      </c>
      <c r="H76" s="10">
        <f t="shared" si="3"/>
        <v>0</v>
      </c>
      <c r="I76" s="10">
        <f t="shared" si="4"/>
        <v>-3352</v>
      </c>
      <c r="J76" s="10">
        <v>3352</v>
      </c>
      <c r="K76" s="15">
        <f t="shared" si="5"/>
        <v>0</v>
      </c>
    </row>
    <row r="77" spans="1:11" x14ac:dyDescent="0.25">
      <c r="A77" s="1" t="s">
        <v>115</v>
      </c>
      <c r="B77" s="1"/>
      <c r="C77" s="1"/>
      <c r="D77" s="1">
        <v>150</v>
      </c>
      <c r="E77" s="7">
        <v>5289.26</v>
      </c>
      <c r="G77">
        <f>SUMIF(Planilha2!E:E,A77,Planilha2!D:D)</f>
        <v>0</v>
      </c>
      <c r="H77" s="10">
        <f t="shared" si="3"/>
        <v>0</v>
      </c>
      <c r="I77" s="10">
        <f t="shared" si="4"/>
        <v>-5289.26</v>
      </c>
      <c r="J77" s="10">
        <v>5289.26</v>
      </c>
      <c r="K77" s="15">
        <f t="shared" si="5"/>
        <v>0</v>
      </c>
    </row>
    <row r="78" spans="1:11" x14ac:dyDescent="0.25">
      <c r="A78" s="1" t="s">
        <v>116</v>
      </c>
      <c r="B78" s="1"/>
      <c r="C78" s="1"/>
      <c r="D78" s="1">
        <v>100</v>
      </c>
      <c r="E78" s="2">
        <v>3103.58</v>
      </c>
      <c r="G78">
        <f>SUMIF(Planilha2!E:E,A78,Planilha2!D:D)</f>
        <v>0</v>
      </c>
      <c r="H78" s="10">
        <f t="shared" si="3"/>
        <v>0</v>
      </c>
      <c r="I78" s="10">
        <f t="shared" si="4"/>
        <v>-3103.58</v>
      </c>
      <c r="J78" s="10">
        <v>3103.58</v>
      </c>
      <c r="K78" s="15">
        <f t="shared" si="5"/>
        <v>0</v>
      </c>
    </row>
    <row r="79" spans="1:11" x14ac:dyDescent="0.25">
      <c r="A79" s="1" t="s">
        <v>117</v>
      </c>
      <c r="B79" s="1"/>
      <c r="C79" s="1"/>
      <c r="D79" s="1">
        <v>120</v>
      </c>
      <c r="E79" s="2">
        <v>4162</v>
      </c>
      <c r="G79">
        <f>SUMIF(Planilha2!E:E,A79,Planilha2!D:D)</f>
        <v>0</v>
      </c>
      <c r="H79" s="10">
        <f t="shared" si="3"/>
        <v>0</v>
      </c>
      <c r="I79" s="10">
        <f t="shared" si="4"/>
        <v>-4162</v>
      </c>
      <c r="J79" s="10">
        <v>4162</v>
      </c>
      <c r="K79" s="15">
        <f t="shared" si="5"/>
        <v>0</v>
      </c>
    </row>
    <row r="80" spans="1:11" x14ac:dyDescent="0.25">
      <c r="A80" s="1" t="s">
        <v>118</v>
      </c>
      <c r="B80" s="1"/>
      <c r="C80" s="1"/>
      <c r="D80" s="1">
        <v>90</v>
      </c>
      <c r="E80" s="2">
        <v>4162</v>
      </c>
      <c r="G80">
        <f>SUMIF(Planilha2!E:E,A80,Planilha2!D:D)</f>
        <v>0</v>
      </c>
      <c r="H80" s="10">
        <f t="shared" si="3"/>
        <v>0</v>
      </c>
      <c r="I80" s="10">
        <f t="shared" si="4"/>
        <v>-4162</v>
      </c>
      <c r="J80" s="10">
        <v>4162</v>
      </c>
      <c r="K80" s="15">
        <f t="shared" si="5"/>
        <v>0</v>
      </c>
    </row>
    <row r="81" spans="1:11" x14ac:dyDescent="0.25">
      <c r="A81" s="1" t="s">
        <v>119</v>
      </c>
      <c r="B81" s="1"/>
      <c r="C81" s="1"/>
      <c r="D81" s="1">
        <v>105</v>
      </c>
      <c r="E81" s="2">
        <v>4443.6099999999997</v>
      </c>
      <c r="G81">
        <f>SUMIF(Planilha2!E:E,A81,Planilha2!D:D)</f>
        <v>0</v>
      </c>
      <c r="H81" s="10">
        <f t="shared" si="3"/>
        <v>0</v>
      </c>
      <c r="I81" s="10">
        <f t="shared" si="4"/>
        <v>-4443.6099999999997</v>
      </c>
      <c r="J81" s="10">
        <v>4443.6099999999997</v>
      </c>
      <c r="K81" s="15">
        <f t="shared" si="5"/>
        <v>0</v>
      </c>
    </row>
    <row r="82" spans="1:11" x14ac:dyDescent="0.25">
      <c r="A82" s="1" t="s">
        <v>120</v>
      </c>
      <c r="B82" s="1" t="s">
        <v>66</v>
      </c>
      <c r="C82" s="1"/>
      <c r="D82" s="1">
        <v>170</v>
      </c>
      <c r="E82" s="2">
        <v>3268</v>
      </c>
      <c r="G82">
        <f>SUMIF(Planilha2!E:E,A82,Planilha2!D:D)</f>
        <v>0</v>
      </c>
      <c r="H82" s="10">
        <f t="shared" si="3"/>
        <v>0</v>
      </c>
      <c r="I82" s="10">
        <f t="shared" si="4"/>
        <v>-3268</v>
      </c>
      <c r="J82" s="10">
        <v>3268</v>
      </c>
      <c r="K82" s="15">
        <f t="shared" si="5"/>
        <v>0</v>
      </c>
    </row>
    <row r="83" spans="1:11" x14ac:dyDescent="0.25">
      <c r="A83" s="1" t="s">
        <v>121</v>
      </c>
      <c r="B83" s="1"/>
      <c r="C83" s="1"/>
      <c r="D83" s="1">
        <v>186</v>
      </c>
      <c r="E83" s="2">
        <v>4443.6099999999997</v>
      </c>
      <c r="G83">
        <f>SUMIF(Planilha2!E:E,A83,Planilha2!D:D)</f>
        <v>0</v>
      </c>
      <c r="H83" s="10">
        <f t="shared" si="3"/>
        <v>0</v>
      </c>
      <c r="I83" s="10">
        <f t="shared" si="4"/>
        <v>-4443.6099999999997</v>
      </c>
      <c r="J83" s="10">
        <v>4443.6099999999997</v>
      </c>
      <c r="K83" s="15">
        <f t="shared" si="5"/>
        <v>0</v>
      </c>
    </row>
    <row r="84" spans="1:11" x14ac:dyDescent="0.25">
      <c r="A84" s="1" t="s">
        <v>152</v>
      </c>
      <c r="B84" s="1"/>
      <c r="C84" s="1"/>
      <c r="D84" s="1">
        <v>120</v>
      </c>
      <c r="E84" s="2">
        <v>4782</v>
      </c>
      <c r="G84">
        <f>SUMIF(Planilha2!E:E,A84,Planilha2!D:D)</f>
        <v>0</v>
      </c>
      <c r="H84" s="10">
        <f t="shared" si="3"/>
        <v>0</v>
      </c>
      <c r="I84" s="10">
        <f t="shared" si="4"/>
        <v>-4782</v>
      </c>
      <c r="J84" s="10">
        <v>4782</v>
      </c>
      <c r="K84" s="15">
        <f t="shared" si="5"/>
        <v>0</v>
      </c>
    </row>
    <row r="85" spans="1:11" x14ac:dyDescent="0.25">
      <c r="A85" s="1" t="s">
        <v>153</v>
      </c>
      <c r="B85" s="1"/>
      <c r="C85" s="1"/>
      <c r="D85" s="1">
        <v>90</v>
      </c>
      <c r="E85" s="2">
        <v>4782</v>
      </c>
      <c r="G85">
        <f>SUMIF(Planilha2!E:E,A85,Planilha2!D:D)</f>
        <v>0</v>
      </c>
      <c r="H85" s="10">
        <f t="shared" si="3"/>
        <v>0</v>
      </c>
      <c r="I85" s="10">
        <f t="shared" si="4"/>
        <v>-4782</v>
      </c>
      <c r="J85" s="10">
        <v>4782</v>
      </c>
      <c r="K85" s="15">
        <f t="shared" si="5"/>
        <v>0</v>
      </c>
    </row>
    <row r="86" spans="1:11" x14ac:dyDescent="0.25">
      <c r="A86" s="1" t="s">
        <v>154</v>
      </c>
      <c r="B86" s="1"/>
      <c r="C86" s="1"/>
      <c r="D86" s="1">
        <v>205</v>
      </c>
      <c r="E86" s="2">
        <v>7094</v>
      </c>
      <c r="G86">
        <f>SUMIF(Planilha2!E:E,A86,Planilha2!D:D)</f>
        <v>0</v>
      </c>
      <c r="H86" s="10">
        <f t="shared" si="3"/>
        <v>0</v>
      </c>
      <c r="I86" s="10">
        <f t="shared" si="4"/>
        <v>-7094</v>
      </c>
      <c r="J86" s="10">
        <v>7094</v>
      </c>
      <c r="K86" s="15">
        <f t="shared" si="5"/>
        <v>0</v>
      </c>
    </row>
    <row r="87" spans="1:11" x14ac:dyDescent="0.25">
      <c r="A87" s="1" t="s">
        <v>155</v>
      </c>
      <c r="B87" s="1"/>
      <c r="C87" s="1"/>
      <c r="D87" s="1">
        <v>135</v>
      </c>
      <c r="E87" s="2">
        <v>4082</v>
      </c>
      <c r="G87">
        <f>SUMIF(Planilha2!E:E,A87,Planilha2!D:D)</f>
        <v>0</v>
      </c>
      <c r="H87" s="10">
        <f t="shared" si="3"/>
        <v>0</v>
      </c>
      <c r="I87" s="10">
        <f t="shared" si="4"/>
        <v>-4082</v>
      </c>
      <c r="J87" s="10">
        <v>4082</v>
      </c>
      <c r="K87" s="15">
        <f t="shared" si="5"/>
        <v>0</v>
      </c>
    </row>
    <row r="88" spans="1:11" x14ac:dyDescent="0.25">
      <c r="A88" s="1" t="s">
        <v>158</v>
      </c>
      <c r="B88" s="1"/>
      <c r="C88" s="1"/>
      <c r="D88" s="1"/>
      <c r="E88" s="2"/>
      <c r="G88">
        <f>SUMIF(Planilha2!E:E,A88,Planilha2!D:D)</f>
        <v>0</v>
      </c>
      <c r="K88" s="15">
        <f t="shared" si="5"/>
        <v>0</v>
      </c>
    </row>
    <row r="89" spans="1:11" x14ac:dyDescent="0.25">
      <c r="A89" s="1" t="s">
        <v>159</v>
      </c>
      <c r="B89" s="1"/>
      <c r="C89" s="1"/>
      <c r="D89" s="1"/>
      <c r="E89" s="2"/>
      <c r="G89">
        <f>SUMIF(Planilha2!E:E,A89,Planilha2!D:D)</f>
        <v>0</v>
      </c>
      <c r="K89" s="15">
        <f t="shared" si="5"/>
        <v>0</v>
      </c>
    </row>
  </sheetData>
  <autoFilter ref="A1:I89" xr:uid="{338D838C-5815-40DE-B3CF-63F53FA2A530}"/>
  <conditionalFormatting sqref="A1:A83 A84:D86 A87:A1048576 B87:D8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7E2A-9806-4A62-865F-EC8E4D3CC9AB}">
  <dimension ref="A2:BG85"/>
  <sheetViews>
    <sheetView workbookViewId="0">
      <selection activeCell="D6" sqref="D6:D34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4" width="13.5703125" bestFit="1" customWidth="1"/>
    <col min="5" max="5" width="8.5703125" bestFit="1" customWidth="1"/>
    <col min="6" max="6" width="9.85546875" bestFit="1" customWidth="1"/>
    <col min="7" max="7" width="6" bestFit="1" customWidth="1"/>
    <col min="8" max="8" width="23.5703125" bestFit="1" customWidth="1"/>
    <col min="10" max="10" width="12" bestFit="1" customWidth="1"/>
    <col min="11" max="11" width="29.42578125" bestFit="1" customWidth="1"/>
    <col min="16" max="16" width="10.42578125" bestFit="1" customWidth="1"/>
    <col min="17" max="17" width="12.28515625" bestFit="1" customWidth="1"/>
    <col min="18" max="18" width="13.42578125" bestFit="1" customWidth="1"/>
    <col min="19" max="20" width="6" bestFit="1" customWidth="1"/>
    <col min="21" max="21" width="10.5703125" bestFit="1" customWidth="1"/>
    <col min="22" max="22" width="6" bestFit="1" customWidth="1"/>
    <col min="23" max="23" width="9.85546875" bestFit="1" customWidth="1"/>
    <col min="24" max="24" width="9.5703125" bestFit="1" customWidth="1"/>
    <col min="25" max="25" width="8.140625" bestFit="1" customWidth="1"/>
    <col min="26" max="26" width="3" bestFit="1" customWidth="1"/>
    <col min="27" max="27" width="9.140625" bestFit="1" customWidth="1"/>
    <col min="28" max="28" width="6" bestFit="1" customWidth="1"/>
    <col min="29" max="29" width="10.140625" bestFit="1" customWidth="1"/>
    <col min="30" max="30" width="8.42578125" bestFit="1" customWidth="1"/>
    <col min="31" max="31" width="8.140625" bestFit="1" customWidth="1"/>
    <col min="32" max="32" width="6" bestFit="1" customWidth="1"/>
    <col min="33" max="33" width="8.5703125" bestFit="1" customWidth="1"/>
    <col min="34" max="34" width="6" style="10" bestFit="1" customWidth="1"/>
    <col min="35" max="35" width="13.28515625" bestFit="1" customWidth="1"/>
    <col min="36" max="36" width="10.85546875" style="10" bestFit="1" customWidth="1"/>
    <col min="37" max="37" width="8.140625" bestFit="1" customWidth="1"/>
    <col min="38" max="38" width="8.140625" style="10" bestFit="1" customWidth="1"/>
    <col min="39" max="39" width="8.42578125" bestFit="1" customWidth="1"/>
    <col min="40" max="40" width="8.140625" bestFit="1" customWidth="1"/>
    <col min="42" max="42" width="9.85546875" bestFit="1" customWidth="1"/>
    <col min="43" max="43" width="6" bestFit="1" customWidth="1"/>
    <col min="45" max="45" width="8.5703125" bestFit="1" customWidth="1"/>
    <col min="46" max="46" width="6" bestFit="1" customWidth="1"/>
    <col min="47" max="47" width="3" bestFit="1" customWidth="1"/>
    <col min="48" max="48" width="11.140625" bestFit="1" customWidth="1"/>
    <col min="49" max="49" width="6" bestFit="1" customWidth="1"/>
    <col min="51" max="51" width="9.28515625" bestFit="1" customWidth="1"/>
    <col min="52" max="52" width="6" bestFit="1" customWidth="1"/>
    <col min="53" max="53" width="3" bestFit="1" customWidth="1"/>
    <col min="54" max="54" width="9" bestFit="1" customWidth="1"/>
    <col min="55" max="55" width="6" bestFit="1" customWidth="1"/>
    <col min="56" max="56" width="6.85546875" bestFit="1" customWidth="1"/>
    <col min="57" max="57" width="8.5703125" bestFit="1" customWidth="1"/>
    <col min="59" max="59" width="10" bestFit="1" customWidth="1"/>
  </cols>
  <sheetData>
    <row r="2" spans="1:59" x14ac:dyDescent="0.25">
      <c r="A2" t="e" vm="1">
        <v>#VALUE!</v>
      </c>
    </row>
    <row r="4" spans="1:59" x14ac:dyDescent="0.25">
      <c r="R4" s="16"/>
      <c r="X4" s="16"/>
      <c r="AS4" s="16"/>
      <c r="AY4" s="16"/>
      <c r="BE4" t="s">
        <v>172</v>
      </c>
      <c r="BG4" t="s">
        <v>169</v>
      </c>
    </row>
    <row r="5" spans="1:59" x14ac:dyDescent="0.25">
      <c r="A5" t="s">
        <v>122</v>
      </c>
      <c r="B5" t="s">
        <v>123</v>
      </c>
      <c r="C5" t="s">
        <v>124</v>
      </c>
      <c r="D5" t="s">
        <v>125</v>
      </c>
      <c r="F5" t="s">
        <v>126</v>
      </c>
      <c r="J5" t="s">
        <v>7</v>
      </c>
      <c r="K5">
        <v>50</v>
      </c>
      <c r="P5" t="s">
        <v>122</v>
      </c>
      <c r="R5" t="s">
        <v>173</v>
      </c>
      <c r="U5" t="s">
        <v>161</v>
      </c>
      <c r="X5" t="s">
        <v>174</v>
      </c>
      <c r="Z5">
        <v>25</v>
      </c>
      <c r="AA5" t="s">
        <v>162</v>
      </c>
      <c r="AD5" t="s">
        <v>163</v>
      </c>
      <c r="AG5" t="s">
        <v>164</v>
      </c>
      <c r="AJ5" s="10" t="s">
        <v>165</v>
      </c>
      <c r="AM5" s="9" t="s">
        <v>166</v>
      </c>
      <c r="AN5" s="9"/>
      <c r="AP5" t="s">
        <v>167</v>
      </c>
      <c r="AS5" t="s">
        <v>175</v>
      </c>
      <c r="AU5">
        <v>25</v>
      </c>
      <c r="AV5" t="s">
        <v>168</v>
      </c>
      <c r="AY5" t="s">
        <v>176</v>
      </c>
      <c r="BA5">
        <v>25</v>
      </c>
      <c r="BB5" t="s">
        <v>177</v>
      </c>
      <c r="BD5">
        <v>25</v>
      </c>
      <c r="BE5" t="s">
        <v>178</v>
      </c>
    </row>
    <row r="6" spans="1:59" x14ac:dyDescent="0.25">
      <c r="A6" t="s">
        <v>127</v>
      </c>
      <c r="B6">
        <v>7.35</v>
      </c>
      <c r="C6">
        <v>7.35</v>
      </c>
      <c r="D6" t="str">
        <f>_xlfn.XLOOKUP(A6,P:P,BC:BC," ")</f>
        <v xml:space="preserve"> </v>
      </c>
      <c r="E6" t="s">
        <v>7</v>
      </c>
      <c r="J6" t="s">
        <v>10</v>
      </c>
      <c r="K6">
        <v>75</v>
      </c>
      <c r="AE6" s="9"/>
      <c r="AF6" s="10"/>
      <c r="AG6" s="9"/>
      <c r="AM6" s="9"/>
      <c r="AN6" s="9"/>
      <c r="BG6" t="s">
        <v>170</v>
      </c>
    </row>
    <row r="7" spans="1:59" x14ac:dyDescent="0.25">
      <c r="A7" t="s">
        <v>128</v>
      </c>
      <c r="B7">
        <v>5.7</v>
      </c>
      <c r="C7">
        <v>6.0289999999999999</v>
      </c>
      <c r="D7" t="str">
        <f t="shared" ref="D7:D34" si="0">_xlfn.XLOOKUP(A7,P:P,BC:BC," ")</f>
        <v xml:space="preserve"> </v>
      </c>
      <c r="E7" t="s">
        <v>10</v>
      </c>
      <c r="F7">
        <v>6.0229999999999997</v>
      </c>
      <c r="J7" t="s">
        <v>13</v>
      </c>
      <c r="K7">
        <v>100</v>
      </c>
      <c r="W7" s="9"/>
      <c r="Y7" s="9"/>
      <c r="AE7" s="9"/>
      <c r="AF7" s="10"/>
      <c r="AG7" s="9"/>
      <c r="AM7" s="9"/>
      <c r="AN7" s="9"/>
      <c r="BB7" s="9"/>
      <c r="BD7" s="9"/>
      <c r="BE7" t="s">
        <v>171</v>
      </c>
    </row>
    <row r="8" spans="1:59" x14ac:dyDescent="0.25">
      <c r="A8" t="s">
        <v>129</v>
      </c>
      <c r="B8">
        <v>5.6989999999999998</v>
      </c>
      <c r="C8">
        <v>6.0289999999999999</v>
      </c>
      <c r="D8" t="str">
        <f t="shared" si="0"/>
        <v xml:space="preserve"> </v>
      </c>
      <c r="E8" t="s">
        <v>27</v>
      </c>
      <c r="F8">
        <v>6.0229999999999997</v>
      </c>
      <c r="J8" t="s">
        <v>14</v>
      </c>
      <c r="K8">
        <v>110</v>
      </c>
      <c r="P8" t="s">
        <v>132</v>
      </c>
      <c r="R8" t="s">
        <v>156</v>
      </c>
      <c r="S8">
        <v>4.5430000000000001</v>
      </c>
      <c r="U8" t="s">
        <v>156</v>
      </c>
      <c r="V8">
        <v>4.9809999999999999</v>
      </c>
      <c r="W8" s="9"/>
      <c r="X8" t="s">
        <v>156</v>
      </c>
      <c r="Y8" s="9">
        <v>5.0380000000000003</v>
      </c>
      <c r="AA8" t="s">
        <v>156</v>
      </c>
      <c r="AB8">
        <v>5.008</v>
      </c>
      <c r="AD8" t="s">
        <v>156</v>
      </c>
      <c r="AE8">
        <v>5.3689999999999998</v>
      </c>
      <c r="AF8" s="10"/>
      <c r="AG8" t="s">
        <v>156</v>
      </c>
      <c r="AH8" s="10">
        <v>4.8010000000000002</v>
      </c>
      <c r="AJ8" s="10" t="s">
        <v>156</v>
      </c>
      <c r="AK8">
        <v>4.806</v>
      </c>
      <c r="AP8" t="s">
        <v>156</v>
      </c>
      <c r="AQ8">
        <v>4.7519999999999998</v>
      </c>
      <c r="AS8" t="s">
        <v>156</v>
      </c>
      <c r="AT8">
        <v>5.0410000000000004</v>
      </c>
      <c r="AY8" t="s">
        <v>156</v>
      </c>
      <c r="AZ8">
        <v>4.6420000000000003</v>
      </c>
      <c r="BB8" s="9" t="s">
        <v>156</v>
      </c>
      <c r="BC8">
        <v>4.2069999999999999</v>
      </c>
      <c r="BD8" s="9"/>
      <c r="BE8" s="9">
        <v>-9.3700000000000006E-2</v>
      </c>
      <c r="BG8" s="9">
        <v>-7.3999999999999996E-2</v>
      </c>
    </row>
    <row r="9" spans="1:59" x14ac:dyDescent="0.25">
      <c r="A9" t="s">
        <v>130</v>
      </c>
      <c r="B9">
        <v>4.6820000000000004</v>
      </c>
      <c r="C9">
        <v>4.9809999999999999</v>
      </c>
      <c r="D9" t="str">
        <f t="shared" si="0"/>
        <v xml:space="preserve"> </v>
      </c>
      <c r="E9" t="s">
        <v>16</v>
      </c>
      <c r="J9" t="s">
        <v>16</v>
      </c>
      <c r="K9">
        <v>120</v>
      </c>
      <c r="P9" t="s">
        <v>136</v>
      </c>
      <c r="R9" t="s">
        <v>156</v>
      </c>
      <c r="S9">
        <v>3.101</v>
      </c>
      <c r="U9" t="s">
        <v>156</v>
      </c>
      <c r="V9">
        <v>3.101</v>
      </c>
      <c r="W9" s="9"/>
      <c r="X9" t="s">
        <v>156</v>
      </c>
      <c r="Y9" s="9">
        <v>3.101</v>
      </c>
      <c r="AA9" t="s">
        <v>156</v>
      </c>
      <c r="AB9">
        <v>3.101</v>
      </c>
      <c r="AE9" s="9"/>
      <c r="AF9" s="10"/>
      <c r="AG9" s="9"/>
      <c r="AI9" s="9"/>
      <c r="AM9" s="9"/>
      <c r="AN9" s="9"/>
      <c r="BB9" s="9" t="s">
        <v>156</v>
      </c>
      <c r="BC9">
        <v>3.2930000000000001</v>
      </c>
      <c r="BD9" s="9"/>
      <c r="BE9" s="9">
        <v>6.1899999999999997E-2</v>
      </c>
      <c r="BG9" s="9">
        <v>6.1899999999999997E-2</v>
      </c>
    </row>
    <row r="10" spans="1:59" x14ac:dyDescent="0.25">
      <c r="A10" t="s">
        <v>131</v>
      </c>
      <c r="B10">
        <v>4.7229999999999999</v>
      </c>
      <c r="C10">
        <v>4.6929999999999996</v>
      </c>
      <c r="D10" t="str">
        <f t="shared" si="0"/>
        <v xml:space="preserve"> </v>
      </c>
      <c r="E10" s="9" t="s">
        <v>20</v>
      </c>
      <c r="F10">
        <v>5.6239999999999997</v>
      </c>
      <c r="J10" t="s">
        <v>18</v>
      </c>
      <c r="K10">
        <v>120</v>
      </c>
      <c r="P10" t="s">
        <v>137</v>
      </c>
      <c r="R10" t="s">
        <v>156</v>
      </c>
      <c r="S10">
        <v>3.1469999999999998</v>
      </c>
      <c r="U10" t="s">
        <v>156</v>
      </c>
      <c r="V10">
        <v>3.266</v>
      </c>
      <c r="W10" s="9"/>
      <c r="X10" t="s">
        <v>156</v>
      </c>
      <c r="Y10" s="9">
        <v>3.218</v>
      </c>
      <c r="AA10" t="s">
        <v>156</v>
      </c>
      <c r="AB10">
        <v>3.266</v>
      </c>
      <c r="AD10" t="s">
        <v>156</v>
      </c>
      <c r="AE10" s="9">
        <v>3.35</v>
      </c>
      <c r="AF10" s="10"/>
      <c r="AG10" s="9" t="s">
        <v>156</v>
      </c>
      <c r="AH10" s="10">
        <v>3.355</v>
      </c>
      <c r="AI10" s="9"/>
      <c r="AJ10" s="10" t="s">
        <v>156</v>
      </c>
      <c r="AK10" s="9">
        <v>3.3410000000000002</v>
      </c>
      <c r="AM10" t="s">
        <v>156</v>
      </c>
      <c r="AN10">
        <v>3.319</v>
      </c>
      <c r="AP10" t="s">
        <v>156</v>
      </c>
      <c r="AQ10">
        <v>3.3820000000000001</v>
      </c>
      <c r="AS10" t="s">
        <v>156</v>
      </c>
      <c r="AT10">
        <v>3.198</v>
      </c>
      <c r="AV10" t="s">
        <v>156</v>
      </c>
      <c r="AW10">
        <v>3.048</v>
      </c>
      <c r="AY10" t="s">
        <v>156</v>
      </c>
      <c r="AZ10">
        <v>3.1179999999999999</v>
      </c>
      <c r="BB10" s="9" t="s">
        <v>156</v>
      </c>
      <c r="BC10">
        <v>3.177</v>
      </c>
      <c r="BD10" s="9"/>
      <c r="BE10" s="9">
        <v>1.89E-2</v>
      </c>
      <c r="BG10" s="9">
        <v>9.4999999999999998E-3</v>
      </c>
    </row>
    <row r="11" spans="1:59" x14ac:dyDescent="0.25">
      <c r="A11" t="s">
        <v>132</v>
      </c>
      <c r="B11">
        <v>4.9809999999999999</v>
      </c>
      <c r="C11">
        <v>5.0380000000000003</v>
      </c>
      <c r="D11">
        <f t="shared" si="0"/>
        <v>4.2069999999999999</v>
      </c>
      <c r="E11" s="9" t="s">
        <v>21</v>
      </c>
      <c r="J11" t="s">
        <v>19</v>
      </c>
      <c r="K11">
        <v>140</v>
      </c>
      <c r="P11" t="s">
        <v>139</v>
      </c>
      <c r="R11" t="s">
        <v>156</v>
      </c>
      <c r="S11">
        <v>3.3530000000000002</v>
      </c>
      <c r="U11" t="s">
        <v>156</v>
      </c>
      <c r="V11">
        <v>3.294</v>
      </c>
      <c r="W11" s="9"/>
      <c r="X11" t="s">
        <v>156</v>
      </c>
      <c r="Y11" s="9">
        <v>3.3719999999999999</v>
      </c>
      <c r="AA11" t="s">
        <v>156</v>
      </c>
      <c r="AB11">
        <v>3.3780000000000001</v>
      </c>
      <c r="AD11" t="s">
        <v>156</v>
      </c>
      <c r="AE11" s="9">
        <v>3.4780000000000002</v>
      </c>
      <c r="AF11" s="10"/>
      <c r="AG11" s="9" t="s">
        <v>156</v>
      </c>
      <c r="AH11" s="10">
        <v>3.4079999999999999</v>
      </c>
      <c r="AJ11" s="10" t="s">
        <v>156</v>
      </c>
      <c r="AK11" s="9">
        <v>3.2440000000000002</v>
      </c>
      <c r="AM11" s="9" t="s">
        <v>156</v>
      </c>
      <c r="AN11" s="9">
        <v>3.3159999999999998</v>
      </c>
      <c r="AP11" t="s">
        <v>156</v>
      </c>
      <c r="AQ11">
        <v>3.1829999999999998</v>
      </c>
      <c r="AS11" t="s">
        <v>156</v>
      </c>
      <c r="AT11">
        <v>3.3580000000000001</v>
      </c>
      <c r="AV11" t="s">
        <v>156</v>
      </c>
      <c r="AW11">
        <v>3.2029999999999998</v>
      </c>
      <c r="AY11" t="s">
        <v>156</v>
      </c>
      <c r="AZ11">
        <v>3.2040000000000002</v>
      </c>
      <c r="BB11" s="9" t="s">
        <v>156</v>
      </c>
      <c r="BC11">
        <v>3.141</v>
      </c>
      <c r="BD11" s="9"/>
      <c r="BE11" s="9">
        <v>-1.9699999999999999E-2</v>
      </c>
      <c r="BG11" s="9">
        <v>-6.3200000000000006E-2</v>
      </c>
    </row>
    <row r="12" spans="1:59" x14ac:dyDescent="0.25">
      <c r="A12" t="s">
        <v>133</v>
      </c>
      <c r="B12">
        <v>6.8470000000000004</v>
      </c>
      <c r="C12">
        <v>6.8470000000000004</v>
      </c>
      <c r="D12" t="str">
        <f t="shared" si="0"/>
        <v xml:space="preserve"> </v>
      </c>
      <c r="E12" s="9" t="s">
        <v>29</v>
      </c>
      <c r="F12">
        <v>6.77</v>
      </c>
      <c r="J12" t="s">
        <v>20</v>
      </c>
      <c r="K12">
        <v>150</v>
      </c>
      <c r="P12" t="s">
        <v>141</v>
      </c>
      <c r="R12" t="s">
        <v>156</v>
      </c>
      <c r="S12">
        <v>3.4249999999999998</v>
      </c>
      <c r="U12" t="s">
        <v>156</v>
      </c>
      <c r="V12">
        <v>3.2970000000000002</v>
      </c>
      <c r="W12" s="9"/>
      <c r="X12" t="s">
        <v>156</v>
      </c>
      <c r="Y12">
        <v>3.234</v>
      </c>
      <c r="AA12" t="s">
        <v>156</v>
      </c>
      <c r="AB12">
        <v>3.339</v>
      </c>
      <c r="AD12" t="s">
        <v>156</v>
      </c>
      <c r="AE12" s="9">
        <v>3.5059999999999998</v>
      </c>
      <c r="AF12" s="10"/>
      <c r="AG12" s="9" t="s">
        <v>156</v>
      </c>
      <c r="AH12" s="10">
        <v>3.363</v>
      </c>
      <c r="AJ12" s="10" t="s">
        <v>156</v>
      </c>
      <c r="AK12">
        <v>3.3610000000000002</v>
      </c>
      <c r="AM12" t="s">
        <v>156</v>
      </c>
      <c r="AN12">
        <v>3.363</v>
      </c>
      <c r="AP12" t="s">
        <v>156</v>
      </c>
      <c r="AQ12">
        <v>3.339</v>
      </c>
      <c r="AS12" t="s">
        <v>156</v>
      </c>
      <c r="AT12">
        <v>3.3570000000000002</v>
      </c>
      <c r="AV12" t="s">
        <v>156</v>
      </c>
      <c r="AW12">
        <v>3.2450000000000001</v>
      </c>
      <c r="AY12" t="s">
        <v>156</v>
      </c>
      <c r="AZ12">
        <v>3.226</v>
      </c>
      <c r="BB12" s="9" t="s">
        <v>156</v>
      </c>
      <c r="BC12">
        <v>3.2170000000000001</v>
      </c>
      <c r="BD12" s="9"/>
      <c r="BE12" s="9">
        <v>-2.8E-3</v>
      </c>
      <c r="BG12" s="9">
        <v>-6.0699999999999997E-2</v>
      </c>
    </row>
    <row r="13" spans="1:59" x14ac:dyDescent="0.25">
      <c r="A13" t="s">
        <v>134</v>
      </c>
      <c r="B13">
        <v>6.8470000000000004</v>
      </c>
      <c r="C13">
        <v>6.8470000000000004</v>
      </c>
      <c r="D13" t="str">
        <f t="shared" si="0"/>
        <v xml:space="preserve"> </v>
      </c>
      <c r="E13" s="9" t="s">
        <v>29</v>
      </c>
      <c r="J13" t="s">
        <v>21</v>
      </c>
      <c r="K13">
        <v>175</v>
      </c>
      <c r="P13" t="s">
        <v>143</v>
      </c>
      <c r="R13" t="s">
        <v>156</v>
      </c>
      <c r="S13">
        <v>4.2679999999999998</v>
      </c>
      <c r="U13" t="s">
        <v>156</v>
      </c>
      <c r="V13">
        <v>4.7990000000000004</v>
      </c>
      <c r="W13" s="9"/>
      <c r="X13" t="s">
        <v>156</v>
      </c>
      <c r="Y13">
        <v>4.085</v>
      </c>
      <c r="AA13" t="s">
        <v>156</v>
      </c>
      <c r="AB13">
        <v>4.0339999999999998</v>
      </c>
      <c r="AD13" t="s">
        <v>156</v>
      </c>
      <c r="AE13">
        <v>4.6120000000000001</v>
      </c>
      <c r="AF13" s="10"/>
      <c r="AG13" t="s">
        <v>156</v>
      </c>
      <c r="AH13" s="10">
        <v>4.0549999999999997</v>
      </c>
      <c r="AJ13" s="10" t="s">
        <v>156</v>
      </c>
      <c r="AK13">
        <v>4.5179999999999998</v>
      </c>
      <c r="AM13" s="9" t="s">
        <v>156</v>
      </c>
      <c r="AN13" s="9">
        <v>4.26</v>
      </c>
      <c r="AP13" t="s">
        <v>156</v>
      </c>
      <c r="AQ13">
        <v>5.1980000000000004</v>
      </c>
      <c r="AS13" t="s">
        <v>156</v>
      </c>
      <c r="AT13">
        <v>4.5789999999999997</v>
      </c>
      <c r="AV13" t="s">
        <v>156</v>
      </c>
      <c r="AW13">
        <v>3.9220000000000002</v>
      </c>
      <c r="AY13" t="s">
        <v>156</v>
      </c>
      <c r="AZ13">
        <v>3.8530000000000002</v>
      </c>
      <c r="BB13" t="s">
        <v>156</v>
      </c>
      <c r="BC13">
        <v>4.1660000000000004</v>
      </c>
      <c r="BE13" s="9">
        <v>8.1199999999999994E-2</v>
      </c>
      <c r="BG13" s="9">
        <v>-2.3900000000000001E-2</v>
      </c>
    </row>
    <row r="14" spans="1:59" x14ac:dyDescent="0.25">
      <c r="A14" t="s">
        <v>135</v>
      </c>
      <c r="B14">
        <v>7.1029999999999998</v>
      </c>
      <c r="C14">
        <v>7.1029999999999998</v>
      </c>
      <c r="D14" t="str">
        <f t="shared" si="0"/>
        <v xml:space="preserve"> </v>
      </c>
      <c r="E14" s="9"/>
      <c r="J14" t="s">
        <v>23</v>
      </c>
      <c r="K14">
        <v>175</v>
      </c>
      <c r="P14" t="s">
        <v>148</v>
      </c>
      <c r="R14" t="s">
        <v>156</v>
      </c>
      <c r="S14">
        <v>4.577</v>
      </c>
      <c r="U14" t="s">
        <v>156</v>
      </c>
      <c r="V14">
        <v>5.0540000000000003</v>
      </c>
      <c r="W14" s="9"/>
      <c r="X14" t="s">
        <v>156</v>
      </c>
      <c r="Y14">
        <v>5.0540000000000003</v>
      </c>
      <c r="AA14" t="s">
        <v>156</v>
      </c>
      <c r="AB14">
        <v>5.0540000000000003</v>
      </c>
      <c r="AD14" t="s">
        <v>156</v>
      </c>
      <c r="AE14">
        <v>4.3499999999999996</v>
      </c>
      <c r="AF14" s="10"/>
      <c r="AG14" t="s">
        <v>156</v>
      </c>
      <c r="AH14" s="10">
        <v>4.5869999999999997</v>
      </c>
      <c r="AJ14" s="10" t="s">
        <v>156</v>
      </c>
      <c r="AK14">
        <v>4.6520000000000001</v>
      </c>
      <c r="AM14" s="9" t="s">
        <v>156</v>
      </c>
      <c r="AN14" s="9">
        <v>4.7960000000000003</v>
      </c>
      <c r="AP14" t="s">
        <v>156</v>
      </c>
      <c r="AQ14">
        <v>4.7539999999999996</v>
      </c>
      <c r="AS14" t="s">
        <v>156</v>
      </c>
      <c r="AT14">
        <v>4.891</v>
      </c>
      <c r="AV14" t="s">
        <v>156</v>
      </c>
      <c r="AW14">
        <v>4.8419999999999996</v>
      </c>
      <c r="AY14" t="s">
        <v>156</v>
      </c>
      <c r="AZ14">
        <v>4.76</v>
      </c>
      <c r="BB14" s="9" t="s">
        <v>156</v>
      </c>
      <c r="BC14">
        <v>4.593</v>
      </c>
      <c r="BD14" s="9"/>
      <c r="BE14" s="9">
        <v>-3.5099999999999999E-2</v>
      </c>
      <c r="BG14" s="9">
        <v>3.5000000000000001E-3</v>
      </c>
    </row>
    <row r="15" spans="1:59" x14ac:dyDescent="0.25">
      <c r="A15" t="s">
        <v>136</v>
      </c>
      <c r="B15">
        <v>3.101</v>
      </c>
      <c r="C15">
        <v>3.101</v>
      </c>
      <c r="D15">
        <f t="shared" si="0"/>
        <v>3.2930000000000001</v>
      </c>
      <c r="E15" t="s">
        <v>69</v>
      </c>
      <c r="J15" t="s">
        <v>25</v>
      </c>
      <c r="K15">
        <v>50</v>
      </c>
      <c r="P15" t="s">
        <v>139</v>
      </c>
      <c r="R15" t="s">
        <v>156</v>
      </c>
      <c r="S15">
        <v>3.323</v>
      </c>
      <c r="U15" t="s">
        <v>156</v>
      </c>
      <c r="V15">
        <v>3.294</v>
      </c>
      <c r="W15" s="9"/>
      <c r="X15" t="s">
        <v>156</v>
      </c>
      <c r="Y15">
        <v>3.3719999999999999</v>
      </c>
      <c r="AA15" t="s">
        <v>156</v>
      </c>
      <c r="AB15">
        <v>3.3780000000000001</v>
      </c>
      <c r="AD15" t="s">
        <v>156</v>
      </c>
      <c r="AE15" s="9">
        <v>3.4780000000000002</v>
      </c>
      <c r="AF15" s="10"/>
      <c r="AG15" s="9" t="s">
        <v>156</v>
      </c>
      <c r="AH15" s="10">
        <v>3.4079999999999999</v>
      </c>
      <c r="AI15" s="9"/>
      <c r="AJ15" s="10" t="s">
        <v>156</v>
      </c>
      <c r="AK15">
        <v>3.2440000000000002</v>
      </c>
      <c r="AM15" s="9" t="s">
        <v>156</v>
      </c>
      <c r="AN15" s="9">
        <v>3.3159999999999998</v>
      </c>
      <c r="AP15" t="s">
        <v>156</v>
      </c>
      <c r="AQ15">
        <v>3.1829999999999998</v>
      </c>
      <c r="AS15" t="s">
        <v>156</v>
      </c>
      <c r="AT15">
        <v>3.3580000000000001</v>
      </c>
      <c r="AV15" t="s">
        <v>156</v>
      </c>
      <c r="AW15">
        <v>3.2029999999999998</v>
      </c>
      <c r="AY15" t="s">
        <v>156</v>
      </c>
      <c r="AZ15">
        <v>3.2040000000000002</v>
      </c>
      <c r="BB15" s="9">
        <v>2.0000000000000001E-4</v>
      </c>
      <c r="BD15" s="9">
        <v>-3.5799999999999998E-2</v>
      </c>
    </row>
    <row r="16" spans="1:59" x14ac:dyDescent="0.25">
      <c r="A16" t="s">
        <v>137</v>
      </c>
      <c r="B16">
        <v>3.266</v>
      </c>
      <c r="C16">
        <v>3.218</v>
      </c>
      <c r="D16">
        <f t="shared" si="0"/>
        <v>3.177</v>
      </c>
      <c r="E16" t="s">
        <v>70</v>
      </c>
      <c r="F16">
        <v>3.319</v>
      </c>
      <c r="J16" t="s">
        <v>27</v>
      </c>
      <c r="K16">
        <v>90</v>
      </c>
      <c r="P16" t="s">
        <v>141</v>
      </c>
      <c r="R16" t="s">
        <v>156</v>
      </c>
      <c r="S16">
        <v>3.379</v>
      </c>
      <c r="U16" t="s">
        <v>156</v>
      </c>
      <c r="V16">
        <v>3.2970000000000002</v>
      </c>
      <c r="W16" s="9"/>
      <c r="X16" t="s">
        <v>156</v>
      </c>
      <c r="Y16" s="9">
        <v>3.234</v>
      </c>
      <c r="AA16" t="s">
        <v>156</v>
      </c>
      <c r="AB16">
        <v>3.339</v>
      </c>
      <c r="AD16" t="s">
        <v>156</v>
      </c>
      <c r="AE16">
        <v>3.5059999999999998</v>
      </c>
      <c r="AF16" s="10"/>
      <c r="AG16" s="9" t="s">
        <v>156</v>
      </c>
      <c r="AH16" s="10">
        <v>3.363</v>
      </c>
      <c r="AJ16" s="10" t="s">
        <v>156</v>
      </c>
      <c r="AK16" s="9">
        <v>3.3610000000000002</v>
      </c>
      <c r="AM16" s="9" t="s">
        <v>156</v>
      </c>
      <c r="AN16" s="9">
        <v>3.363</v>
      </c>
      <c r="AP16" t="s">
        <v>156</v>
      </c>
      <c r="AQ16">
        <v>3.339</v>
      </c>
      <c r="AS16" t="s">
        <v>156</v>
      </c>
      <c r="AT16">
        <v>3.3570000000000002</v>
      </c>
      <c r="AV16" t="s">
        <v>156</v>
      </c>
      <c r="AW16">
        <v>3.2450000000000001</v>
      </c>
      <c r="AY16" t="s">
        <v>156</v>
      </c>
      <c r="AZ16">
        <v>3.226</v>
      </c>
      <c r="BB16" s="9">
        <v>-6.0000000000000001E-3</v>
      </c>
      <c r="BD16" s="9">
        <v>-4.53E-2</v>
      </c>
    </row>
    <row r="17" spans="1:56" x14ac:dyDescent="0.25">
      <c r="A17" t="s">
        <v>138</v>
      </c>
      <c r="B17">
        <v>3.3519999999999999</v>
      </c>
      <c r="C17">
        <v>3.3519999999999999</v>
      </c>
      <c r="D17" t="str">
        <f t="shared" si="0"/>
        <v xml:space="preserve"> </v>
      </c>
      <c r="E17" t="s">
        <v>71</v>
      </c>
      <c r="J17" t="s">
        <v>29</v>
      </c>
      <c r="K17">
        <v>190</v>
      </c>
      <c r="P17" t="s">
        <v>143</v>
      </c>
      <c r="R17" t="s">
        <v>156</v>
      </c>
      <c r="S17">
        <v>3.528</v>
      </c>
      <c r="U17" t="s">
        <v>156</v>
      </c>
      <c r="V17">
        <v>4.7990000000000004</v>
      </c>
      <c r="W17" s="9"/>
      <c r="X17" t="s">
        <v>156</v>
      </c>
      <c r="Y17">
        <v>4.085</v>
      </c>
      <c r="AA17" t="s">
        <v>156</v>
      </c>
      <c r="AB17">
        <v>4.0339999999999998</v>
      </c>
      <c r="AD17" t="s">
        <v>156</v>
      </c>
      <c r="AE17" s="9">
        <v>4.6120000000000001</v>
      </c>
      <c r="AF17" s="10"/>
      <c r="AG17" s="9" t="s">
        <v>156</v>
      </c>
      <c r="AH17" s="10">
        <v>4.0549999999999997</v>
      </c>
      <c r="AI17" s="9"/>
      <c r="AJ17" s="10" t="s">
        <v>156</v>
      </c>
      <c r="AK17">
        <v>4.5179999999999998</v>
      </c>
      <c r="AM17" s="9" t="s">
        <v>156</v>
      </c>
      <c r="AN17" s="9">
        <v>4.26</v>
      </c>
      <c r="AP17" t="s">
        <v>156</v>
      </c>
      <c r="AQ17">
        <v>5.1980000000000004</v>
      </c>
      <c r="AS17" t="s">
        <v>156</v>
      </c>
      <c r="AT17">
        <v>4.5789999999999997</v>
      </c>
      <c r="AV17" t="s">
        <v>156</v>
      </c>
      <c r="AW17">
        <v>3.9220000000000002</v>
      </c>
      <c r="AY17" t="s">
        <v>156</v>
      </c>
      <c r="AZ17">
        <v>3.8530000000000002</v>
      </c>
      <c r="BB17" s="9">
        <v>-1.7600000000000001E-2</v>
      </c>
      <c r="BD17" s="9">
        <v>9.2200000000000004E-2</v>
      </c>
    </row>
    <row r="18" spans="1:56" x14ac:dyDescent="0.25">
      <c r="A18" t="s">
        <v>139</v>
      </c>
      <c r="B18">
        <v>3.294</v>
      </c>
      <c r="C18">
        <v>3.3719999999999999</v>
      </c>
      <c r="D18">
        <f t="shared" si="0"/>
        <v>3.141</v>
      </c>
      <c r="E18" s="9" t="s">
        <v>65</v>
      </c>
      <c r="F18">
        <v>3.3159999999999998</v>
      </c>
      <c r="J18" t="s">
        <v>31</v>
      </c>
      <c r="K18">
        <v>150</v>
      </c>
      <c r="P18" t="s">
        <v>148</v>
      </c>
      <c r="R18" t="s">
        <v>156</v>
      </c>
      <c r="S18">
        <v>5.0010000000000003</v>
      </c>
      <c r="U18" t="s">
        <v>156</v>
      </c>
      <c r="V18">
        <v>5.0540000000000003</v>
      </c>
      <c r="W18" s="9"/>
      <c r="X18" t="s">
        <v>156</v>
      </c>
      <c r="Y18" s="9">
        <v>5.0540000000000003</v>
      </c>
      <c r="AA18" t="s">
        <v>156</v>
      </c>
      <c r="AB18">
        <v>5.0540000000000003</v>
      </c>
      <c r="AD18" t="s">
        <v>156</v>
      </c>
      <c r="AE18">
        <v>4.3499999999999996</v>
      </c>
      <c r="AF18" s="10"/>
      <c r="AG18" s="9" t="s">
        <v>156</v>
      </c>
      <c r="AH18" s="10">
        <v>4.5869999999999997</v>
      </c>
      <c r="AJ18" s="10" t="s">
        <v>156</v>
      </c>
      <c r="AK18" s="9">
        <v>4.6520000000000001</v>
      </c>
      <c r="AM18" t="s">
        <v>156</v>
      </c>
      <c r="AN18">
        <v>4.7960000000000003</v>
      </c>
      <c r="AP18" t="s">
        <v>156</v>
      </c>
      <c r="AQ18">
        <v>4.7539999999999996</v>
      </c>
      <c r="AS18" t="s">
        <v>156</v>
      </c>
      <c r="AT18">
        <v>4.891</v>
      </c>
      <c r="AV18" t="s">
        <v>156</v>
      </c>
      <c r="AW18">
        <v>4.8419999999999996</v>
      </c>
      <c r="AY18" t="s">
        <v>156</v>
      </c>
      <c r="AZ18">
        <v>4.76</v>
      </c>
      <c r="BB18" s="9">
        <v>-1.7000000000000001E-2</v>
      </c>
      <c r="BD18" s="9">
        <v>-4.82E-2</v>
      </c>
    </row>
    <row r="19" spans="1:56" x14ac:dyDescent="0.25">
      <c r="A19" t="s">
        <v>140</v>
      </c>
      <c r="B19">
        <v>3.2679999999999998</v>
      </c>
      <c r="C19">
        <v>3.2679999999999998</v>
      </c>
      <c r="D19" t="str">
        <f t="shared" si="0"/>
        <v xml:space="preserve"> </v>
      </c>
      <c r="E19" s="9" t="s">
        <v>120</v>
      </c>
      <c r="J19" t="s">
        <v>33</v>
      </c>
      <c r="K19">
        <v>375</v>
      </c>
      <c r="P19" t="s">
        <v>151</v>
      </c>
      <c r="R19" t="s">
        <v>156</v>
      </c>
      <c r="S19">
        <v>5.1639999999999997</v>
      </c>
      <c r="U19" t="s">
        <v>156</v>
      </c>
      <c r="V19">
        <v>5.0540000000000003</v>
      </c>
      <c r="W19" s="9"/>
      <c r="X19" t="s">
        <v>156</v>
      </c>
      <c r="Y19">
        <v>5.0540000000000003</v>
      </c>
      <c r="AA19" t="s">
        <v>156</v>
      </c>
      <c r="AB19">
        <v>5.0540000000000003</v>
      </c>
      <c r="AE19" s="9"/>
      <c r="AF19" s="10"/>
      <c r="AG19" s="9"/>
      <c r="AI19" s="9"/>
      <c r="AJ19" s="10" t="s">
        <v>156</v>
      </c>
      <c r="AK19">
        <v>5.0540000000000003</v>
      </c>
      <c r="AM19" t="s">
        <v>156</v>
      </c>
      <c r="AN19">
        <v>5.0540000000000003</v>
      </c>
      <c r="AP19" t="s">
        <v>156</v>
      </c>
      <c r="AQ19">
        <v>5.0540000000000003</v>
      </c>
      <c r="AY19" t="s">
        <v>156</v>
      </c>
      <c r="AZ19">
        <v>4.9370000000000003</v>
      </c>
      <c r="BB19" s="9">
        <v>-2.3099999999999999E-2</v>
      </c>
      <c r="BD19" s="9">
        <v>-4.3999999999999997E-2</v>
      </c>
    </row>
    <row r="20" spans="1:56" x14ac:dyDescent="0.25">
      <c r="A20" t="s">
        <v>141</v>
      </c>
      <c r="B20">
        <v>3.2970000000000002</v>
      </c>
      <c r="C20">
        <v>3.234</v>
      </c>
      <c r="D20">
        <f t="shared" si="0"/>
        <v>3.2170000000000001</v>
      </c>
      <c r="E20" s="9" t="s">
        <v>61</v>
      </c>
      <c r="F20">
        <v>3.363</v>
      </c>
      <c r="J20" t="s">
        <v>35</v>
      </c>
      <c r="K20">
        <v>80</v>
      </c>
      <c r="W20" s="9"/>
      <c r="Y20" s="9"/>
      <c r="AF20" s="10"/>
      <c r="AG20" s="9"/>
      <c r="AK20" s="9"/>
    </row>
    <row r="21" spans="1:56" x14ac:dyDescent="0.25">
      <c r="A21" t="s">
        <v>142</v>
      </c>
      <c r="B21">
        <v>4.766</v>
      </c>
      <c r="C21">
        <v>4.766</v>
      </c>
      <c r="D21" t="str">
        <f t="shared" si="0"/>
        <v xml:space="preserve"> </v>
      </c>
      <c r="E21" t="s">
        <v>39</v>
      </c>
      <c r="J21" t="s">
        <v>37</v>
      </c>
      <c r="K21">
        <v>100</v>
      </c>
      <c r="AE21" s="9"/>
      <c r="AF21" s="10"/>
      <c r="AG21" s="9"/>
      <c r="AI21" s="9"/>
    </row>
    <row r="22" spans="1:56" x14ac:dyDescent="0.25">
      <c r="A22" t="s">
        <v>143</v>
      </c>
      <c r="B22">
        <v>4.7990000000000004</v>
      </c>
      <c r="C22">
        <v>4.085</v>
      </c>
      <c r="D22">
        <f t="shared" si="0"/>
        <v>4.1660000000000004</v>
      </c>
      <c r="E22" t="s">
        <v>41</v>
      </c>
      <c r="F22">
        <v>4.26</v>
      </c>
      <c r="J22" t="s">
        <v>39</v>
      </c>
      <c r="K22">
        <v>100</v>
      </c>
      <c r="W22" s="9"/>
      <c r="Y22" s="9"/>
      <c r="AF22" s="10"/>
      <c r="AG22" s="9"/>
      <c r="AK22" s="9"/>
    </row>
    <row r="23" spans="1:56" x14ac:dyDescent="0.25">
      <c r="A23" t="s">
        <v>144</v>
      </c>
      <c r="B23">
        <v>4.0819999999999999</v>
      </c>
      <c r="C23">
        <v>4.0819999999999999</v>
      </c>
      <c r="D23" t="str">
        <f t="shared" si="0"/>
        <v xml:space="preserve"> </v>
      </c>
      <c r="E23" t="s">
        <v>155</v>
      </c>
      <c r="J23" t="s">
        <v>40</v>
      </c>
      <c r="K23">
        <v>115</v>
      </c>
      <c r="AF23" s="10"/>
    </row>
    <row r="24" spans="1:56" x14ac:dyDescent="0.25">
      <c r="A24" t="s">
        <v>145</v>
      </c>
      <c r="B24">
        <v>4.5490000000000004</v>
      </c>
      <c r="C24">
        <v>4.766</v>
      </c>
      <c r="D24" t="str">
        <f t="shared" si="0"/>
        <v xml:space="preserve"> </v>
      </c>
      <c r="E24" t="s">
        <v>43</v>
      </c>
      <c r="J24" t="s">
        <v>41</v>
      </c>
      <c r="K24">
        <v>125</v>
      </c>
      <c r="W24" s="9"/>
      <c r="AF24" s="10"/>
    </row>
    <row r="25" spans="1:56" x14ac:dyDescent="0.25">
      <c r="A25" t="s">
        <v>146</v>
      </c>
      <c r="B25">
        <v>3.9710000000000001</v>
      </c>
      <c r="C25">
        <v>3.9710000000000001</v>
      </c>
      <c r="D25" t="str">
        <f t="shared" si="0"/>
        <v xml:space="preserve"> </v>
      </c>
      <c r="E25" s="1" t="s">
        <v>31</v>
      </c>
      <c r="J25" t="s">
        <v>42</v>
      </c>
      <c r="K25">
        <v>125</v>
      </c>
      <c r="AF25" s="10"/>
    </row>
    <row r="26" spans="1:56" x14ac:dyDescent="0.25">
      <c r="A26" t="s">
        <v>147</v>
      </c>
      <c r="B26">
        <v>4.7670000000000003</v>
      </c>
      <c r="C26">
        <v>4.7670000000000003</v>
      </c>
      <c r="D26" t="str">
        <f t="shared" si="0"/>
        <v xml:space="preserve"> </v>
      </c>
      <c r="E26" t="s">
        <v>48</v>
      </c>
      <c r="J26" t="s">
        <v>43</v>
      </c>
      <c r="K26">
        <v>140</v>
      </c>
      <c r="AE26" s="9"/>
      <c r="AF26" s="10"/>
      <c r="AG26" s="9"/>
      <c r="AI26" s="9"/>
    </row>
    <row r="27" spans="1:56" x14ac:dyDescent="0.25">
      <c r="A27" t="s">
        <v>148</v>
      </c>
      <c r="B27">
        <v>5.0540000000000003</v>
      </c>
      <c r="C27">
        <v>5.0540000000000003</v>
      </c>
      <c r="D27">
        <f t="shared" si="0"/>
        <v>4.593</v>
      </c>
      <c r="E27" t="s">
        <v>50</v>
      </c>
      <c r="F27">
        <v>4.7960000000000003</v>
      </c>
      <c r="J27" t="s">
        <v>44</v>
      </c>
      <c r="K27">
        <v>155</v>
      </c>
      <c r="W27" s="9"/>
      <c r="Y27" s="9"/>
      <c r="AF27" s="10"/>
      <c r="AG27" s="9"/>
      <c r="AK27" s="9"/>
    </row>
    <row r="28" spans="1:56" x14ac:dyDescent="0.25">
      <c r="A28" t="s">
        <v>149</v>
      </c>
      <c r="B28">
        <v>4.5490000000000004</v>
      </c>
      <c r="C28">
        <v>4.5490000000000004</v>
      </c>
      <c r="D28" t="str">
        <f t="shared" si="0"/>
        <v xml:space="preserve"> </v>
      </c>
      <c r="E28" t="s">
        <v>53</v>
      </c>
      <c r="J28" t="s">
        <v>46</v>
      </c>
      <c r="K28">
        <v>170</v>
      </c>
      <c r="AF28" s="10"/>
    </row>
    <row r="29" spans="1:56" x14ac:dyDescent="0.25">
      <c r="A29" t="s">
        <v>150</v>
      </c>
      <c r="B29">
        <v>5.4349999999999996</v>
      </c>
      <c r="C29">
        <v>5.4349999999999996</v>
      </c>
      <c r="D29" t="str">
        <f t="shared" si="0"/>
        <v xml:space="preserve"> </v>
      </c>
      <c r="E29" s="1" t="s">
        <v>101</v>
      </c>
      <c r="J29" t="s">
        <v>48</v>
      </c>
      <c r="K29">
        <v>180</v>
      </c>
      <c r="AE29" s="9"/>
      <c r="AF29" s="10"/>
    </row>
    <row r="30" spans="1:56" x14ac:dyDescent="0.25">
      <c r="A30" t="s">
        <v>151</v>
      </c>
      <c r="B30">
        <v>5.0540000000000003</v>
      </c>
      <c r="C30">
        <v>5.0540000000000003</v>
      </c>
      <c r="D30">
        <f t="shared" si="0"/>
        <v>0</v>
      </c>
      <c r="E30" s="1" t="s">
        <v>33</v>
      </c>
      <c r="J30" t="s">
        <v>50</v>
      </c>
      <c r="K30">
        <v>185</v>
      </c>
      <c r="W30" s="9"/>
      <c r="AE30" s="9"/>
      <c r="AF30" s="10"/>
      <c r="AG30" s="9"/>
      <c r="AI30" s="9"/>
    </row>
    <row r="31" spans="1:56" x14ac:dyDescent="0.25">
      <c r="A31" t="s">
        <v>59</v>
      </c>
      <c r="C31">
        <v>8.1850000000000005</v>
      </c>
      <c r="D31" t="str">
        <f t="shared" si="0"/>
        <v xml:space="preserve"> </v>
      </c>
      <c r="E31" t="s">
        <v>59</v>
      </c>
      <c r="F31">
        <v>5.0540000000000003</v>
      </c>
      <c r="J31" t="s">
        <v>51</v>
      </c>
      <c r="K31">
        <v>185</v>
      </c>
      <c r="AE31" s="9"/>
      <c r="AF31" s="10"/>
    </row>
    <row r="32" spans="1:56" x14ac:dyDescent="0.25">
      <c r="A32" t="s">
        <v>95</v>
      </c>
      <c r="C32">
        <v>9.9600000000000009</v>
      </c>
      <c r="D32" t="str">
        <f t="shared" si="0"/>
        <v xml:space="preserve"> </v>
      </c>
      <c r="E32" t="s">
        <v>95</v>
      </c>
      <c r="J32" t="s">
        <v>52</v>
      </c>
      <c r="K32">
        <v>200</v>
      </c>
      <c r="AE32" s="9"/>
      <c r="AF32" s="10"/>
    </row>
    <row r="33" spans="1:32" x14ac:dyDescent="0.25">
      <c r="A33" t="s">
        <v>157</v>
      </c>
      <c r="D33" t="str">
        <f t="shared" si="0"/>
        <v xml:space="preserve"> </v>
      </c>
      <c r="E33" t="s">
        <v>54</v>
      </c>
      <c r="J33" t="s">
        <v>53</v>
      </c>
      <c r="K33">
        <v>200</v>
      </c>
      <c r="AF33" s="10"/>
    </row>
    <row r="34" spans="1:32" x14ac:dyDescent="0.25">
      <c r="A34" t="s">
        <v>160</v>
      </c>
      <c r="D34" t="str">
        <f t="shared" si="0"/>
        <v xml:space="preserve"> </v>
      </c>
      <c r="E34" t="s">
        <v>18</v>
      </c>
      <c r="J34" t="s">
        <v>54</v>
      </c>
      <c r="K34">
        <v>240</v>
      </c>
    </row>
    <row r="35" spans="1:32" x14ac:dyDescent="0.25">
      <c r="J35" t="s">
        <v>55</v>
      </c>
      <c r="K35">
        <v>280</v>
      </c>
    </row>
    <row r="36" spans="1:32" x14ac:dyDescent="0.25">
      <c r="J36" t="s">
        <v>57</v>
      </c>
      <c r="K36">
        <v>130</v>
      </c>
    </row>
    <row r="37" spans="1:32" x14ac:dyDescent="0.25">
      <c r="J37" t="s">
        <v>59</v>
      </c>
      <c r="K37">
        <v>145</v>
      </c>
    </row>
    <row r="38" spans="1:32" x14ac:dyDescent="0.25">
      <c r="J38" t="s">
        <v>61</v>
      </c>
      <c r="K38">
        <v>190</v>
      </c>
    </row>
    <row r="39" spans="1:32" x14ac:dyDescent="0.25">
      <c r="J39" t="s">
        <v>63</v>
      </c>
      <c r="K39">
        <v>350</v>
      </c>
    </row>
    <row r="40" spans="1:32" x14ac:dyDescent="0.25">
      <c r="J40" t="s">
        <v>65</v>
      </c>
      <c r="K40">
        <v>150</v>
      </c>
    </row>
    <row r="41" spans="1:32" x14ac:dyDescent="0.25">
      <c r="J41" t="s">
        <v>67</v>
      </c>
      <c r="K41">
        <v>165</v>
      </c>
    </row>
    <row r="42" spans="1:32" x14ac:dyDescent="0.25">
      <c r="J42" t="s">
        <v>68</v>
      </c>
      <c r="K42">
        <v>110</v>
      </c>
    </row>
    <row r="43" spans="1:32" x14ac:dyDescent="0.25">
      <c r="J43" t="s">
        <v>69</v>
      </c>
      <c r="K43">
        <v>100</v>
      </c>
    </row>
    <row r="44" spans="1:32" x14ac:dyDescent="0.25">
      <c r="J44" t="s">
        <v>70</v>
      </c>
      <c r="K44">
        <v>110</v>
      </c>
    </row>
    <row r="45" spans="1:32" x14ac:dyDescent="0.25">
      <c r="J45" t="s">
        <v>71</v>
      </c>
      <c r="K45">
        <v>125</v>
      </c>
    </row>
    <row r="46" spans="1:32" x14ac:dyDescent="0.25">
      <c r="J46" t="s">
        <v>72</v>
      </c>
      <c r="K46">
        <v>135</v>
      </c>
    </row>
    <row r="47" spans="1:32" x14ac:dyDescent="0.25">
      <c r="J47" t="s">
        <v>73</v>
      </c>
      <c r="K47">
        <v>140</v>
      </c>
    </row>
    <row r="48" spans="1:32" x14ac:dyDescent="0.25">
      <c r="J48" t="s">
        <v>74</v>
      </c>
      <c r="K48">
        <v>130</v>
      </c>
    </row>
    <row r="49" spans="10:11" x14ac:dyDescent="0.25">
      <c r="J49" t="s">
        <v>76</v>
      </c>
      <c r="K49">
        <v>100</v>
      </c>
    </row>
    <row r="50" spans="10:11" x14ac:dyDescent="0.25">
      <c r="J50" t="s">
        <v>77</v>
      </c>
      <c r="K50">
        <v>80</v>
      </c>
    </row>
    <row r="51" spans="10:11" x14ac:dyDescent="0.25">
      <c r="J51" t="s">
        <v>78</v>
      </c>
      <c r="K51">
        <v>110</v>
      </c>
    </row>
    <row r="52" spans="10:11" x14ac:dyDescent="0.25">
      <c r="J52" t="s">
        <v>79</v>
      </c>
      <c r="K52">
        <v>120</v>
      </c>
    </row>
    <row r="53" spans="10:11" x14ac:dyDescent="0.25">
      <c r="J53" t="s">
        <v>80</v>
      </c>
      <c r="K53">
        <v>140</v>
      </c>
    </row>
    <row r="54" spans="10:11" x14ac:dyDescent="0.25">
      <c r="J54" t="s">
        <v>81</v>
      </c>
      <c r="K54">
        <v>160</v>
      </c>
    </row>
    <row r="55" spans="10:11" x14ac:dyDescent="0.25">
      <c r="J55" t="s">
        <v>82</v>
      </c>
      <c r="K55">
        <v>185</v>
      </c>
    </row>
    <row r="56" spans="10:11" x14ac:dyDescent="0.25">
      <c r="J56" t="s">
        <v>83</v>
      </c>
      <c r="K56">
        <v>140</v>
      </c>
    </row>
    <row r="57" spans="10:11" x14ac:dyDescent="0.25">
      <c r="J57" t="s">
        <v>84</v>
      </c>
      <c r="K57">
        <v>125</v>
      </c>
    </row>
    <row r="58" spans="10:11" x14ac:dyDescent="0.25">
      <c r="J58" t="s">
        <v>86</v>
      </c>
      <c r="K58">
        <v>180</v>
      </c>
    </row>
    <row r="59" spans="10:11" x14ac:dyDescent="0.25">
      <c r="J59" t="s">
        <v>88</v>
      </c>
      <c r="K59">
        <v>120</v>
      </c>
    </row>
    <row r="60" spans="10:11" x14ac:dyDescent="0.25">
      <c r="J60" t="s">
        <v>95</v>
      </c>
      <c r="K60">
        <v>125</v>
      </c>
    </row>
    <row r="61" spans="10:11" x14ac:dyDescent="0.25">
      <c r="J61" t="s">
        <v>96</v>
      </c>
      <c r="K61">
        <v>120</v>
      </c>
    </row>
    <row r="62" spans="10:11" x14ac:dyDescent="0.25">
      <c r="J62" t="s">
        <v>98</v>
      </c>
    </row>
    <row r="63" spans="10:11" x14ac:dyDescent="0.25">
      <c r="J63" t="s">
        <v>99</v>
      </c>
    </row>
    <row r="64" spans="10:11" x14ac:dyDescent="0.25">
      <c r="J64" t="s">
        <v>100</v>
      </c>
    </row>
    <row r="65" spans="10:10" x14ac:dyDescent="0.25">
      <c r="J65" t="s">
        <v>101</v>
      </c>
    </row>
    <row r="66" spans="10:10" x14ac:dyDescent="0.25">
      <c r="J66" t="s">
        <v>102</v>
      </c>
    </row>
    <row r="67" spans="10:10" x14ac:dyDescent="0.25">
      <c r="J67" t="s">
        <v>103</v>
      </c>
    </row>
    <row r="68" spans="10:10" x14ac:dyDescent="0.25">
      <c r="J68" t="s">
        <v>104</v>
      </c>
    </row>
    <row r="69" spans="10:10" x14ac:dyDescent="0.25">
      <c r="J69" t="s">
        <v>105</v>
      </c>
    </row>
    <row r="70" spans="10:10" x14ac:dyDescent="0.25">
      <c r="J70" t="s">
        <v>106</v>
      </c>
    </row>
    <row r="71" spans="10:10" x14ac:dyDescent="0.25">
      <c r="J71" t="s">
        <v>107</v>
      </c>
    </row>
    <row r="72" spans="10:10" x14ac:dyDescent="0.25">
      <c r="J72" t="s">
        <v>108</v>
      </c>
    </row>
    <row r="73" spans="10:10" x14ac:dyDescent="0.25">
      <c r="J73" t="s">
        <v>109</v>
      </c>
    </row>
    <row r="74" spans="10:10" x14ac:dyDescent="0.25">
      <c r="J74" t="s">
        <v>110</v>
      </c>
    </row>
    <row r="75" spans="10:10" x14ac:dyDescent="0.25">
      <c r="J75" t="s">
        <v>111</v>
      </c>
    </row>
    <row r="76" spans="10:10" x14ac:dyDescent="0.25">
      <c r="J76" t="s">
        <v>112</v>
      </c>
    </row>
    <row r="77" spans="10:10" x14ac:dyDescent="0.25">
      <c r="J77" t="s">
        <v>113</v>
      </c>
    </row>
    <row r="78" spans="10:10" x14ac:dyDescent="0.25">
      <c r="J78" t="s">
        <v>114</v>
      </c>
    </row>
    <row r="79" spans="10:10" x14ac:dyDescent="0.25">
      <c r="J79" t="s">
        <v>115</v>
      </c>
    </row>
    <row r="80" spans="10:10" x14ac:dyDescent="0.25">
      <c r="J80" t="s">
        <v>116</v>
      </c>
    </row>
    <row r="81" spans="10:11" x14ac:dyDescent="0.25">
      <c r="J81" t="s">
        <v>117</v>
      </c>
    </row>
    <row r="82" spans="10:11" x14ac:dyDescent="0.25">
      <c r="J82" t="s">
        <v>118</v>
      </c>
    </row>
    <row r="83" spans="10:11" x14ac:dyDescent="0.25">
      <c r="J83" t="s">
        <v>119</v>
      </c>
    </row>
    <row r="84" spans="10:11" x14ac:dyDescent="0.25">
      <c r="J84" t="s">
        <v>120</v>
      </c>
      <c r="K84">
        <v>170</v>
      </c>
    </row>
    <row r="85" spans="10:11" x14ac:dyDescent="0.25">
      <c r="J85" t="s">
        <v>121</v>
      </c>
    </row>
  </sheetData>
  <conditionalFormatting sqref="A6:A32 H6:H33">
    <cfRule type="duplicateValues" dxfId="5" priority="2"/>
  </conditionalFormatting>
  <conditionalFormatting sqref="E25">
    <cfRule type="duplicateValues" dxfId="4" priority="3"/>
  </conditionalFormatting>
  <conditionalFormatting sqref="E29">
    <cfRule type="duplicateValues" dxfId="3" priority="5"/>
  </conditionalFormatting>
  <conditionalFormatting sqref="E30">
    <cfRule type="duplicateValues" dxfId="2" priority="4"/>
  </conditionalFormatting>
  <conditionalFormatting sqref="P1:P1048576 A1:A1048576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43</vt:i4>
      </vt:variant>
    </vt:vector>
  </HeadingPairs>
  <TitlesOfParts>
    <vt:vector size="43" baseType="lpstr">
      <vt:lpstr>Julho-2022</vt:lpstr>
      <vt:lpstr>Agosto-2022</vt:lpstr>
      <vt:lpstr>Setembro-2022</vt:lpstr>
      <vt:lpstr>Outubro-2022</vt:lpstr>
      <vt:lpstr>Novembro-2022</vt:lpstr>
      <vt:lpstr>Dezembro-2022</vt:lpstr>
      <vt:lpstr>Janeiro-2023</vt:lpstr>
      <vt:lpstr>Fevereiro-2023</vt:lpstr>
      <vt:lpstr>Março-2023</vt:lpstr>
      <vt:lpstr>Abril-2023</vt:lpstr>
      <vt:lpstr>Maio-2023</vt:lpstr>
      <vt:lpstr>Junho-2023</vt:lpstr>
      <vt:lpstr>Julho-2023</vt:lpstr>
      <vt:lpstr>Agosto-2023</vt:lpstr>
      <vt:lpstr>Setembro-2023</vt:lpstr>
      <vt:lpstr>Outubro-2023</vt:lpstr>
      <vt:lpstr>Novembro-2023</vt:lpstr>
      <vt:lpstr>Dezembro-2023</vt:lpstr>
      <vt:lpstr>Janeiro-2024</vt:lpstr>
      <vt:lpstr>Fevereiro-2024</vt:lpstr>
      <vt:lpstr>Março-2024</vt:lpstr>
      <vt:lpstr>Abril-2024</vt:lpstr>
      <vt:lpstr>Maio-2024</vt:lpstr>
      <vt:lpstr>Junho-2024</vt:lpstr>
      <vt:lpstr>Julho-2024</vt:lpstr>
      <vt:lpstr>Agosto-2024</vt:lpstr>
      <vt:lpstr>Setembro-2024</vt:lpstr>
      <vt:lpstr>Outubro-2024</vt:lpstr>
      <vt:lpstr>Novembro-2024</vt:lpstr>
      <vt:lpstr>Dezembro-2024</vt:lpstr>
      <vt:lpstr>Janeiro-2025</vt:lpstr>
      <vt:lpstr>Fevereiro-2025</vt:lpstr>
      <vt:lpstr>Março-2025</vt:lpstr>
      <vt:lpstr>Abril-2025</vt:lpstr>
      <vt:lpstr>Maio-2025</vt:lpstr>
      <vt:lpstr>Junho-2025</vt:lpstr>
      <vt:lpstr>Julho-2025</vt:lpstr>
      <vt:lpstr>Agosto-2025</vt:lpstr>
      <vt:lpstr>Setembro-2025</vt:lpstr>
      <vt:lpstr>Outubro-2025</vt:lpstr>
      <vt:lpstr>Novembro-2025</vt:lpstr>
      <vt:lpstr>Dezembro-2025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Suzuki</dc:creator>
  <cp:lastModifiedBy>Bruno</cp:lastModifiedBy>
  <dcterms:created xsi:type="dcterms:W3CDTF">2022-09-01T20:26:59Z</dcterms:created>
  <dcterms:modified xsi:type="dcterms:W3CDTF">2026-01-08T02:44:19Z</dcterms:modified>
</cp:coreProperties>
</file>