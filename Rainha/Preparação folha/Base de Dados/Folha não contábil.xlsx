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 Rodrigues\Desktop\Anadilza - DP\Folha de Pagamento 2025\Maio2025\INCREMENTAL BRUNO\"/>
    </mc:Choice>
  </mc:AlternateContent>
  <xr:revisionPtr revIDLastSave="0" documentId="8_{642FC05C-B02E-45DB-8890-1D5336B8D76E}" xr6:coauthVersionLast="47" xr6:coauthVersionMax="47" xr10:uidLastSave="{00000000-0000-0000-0000-000000000000}"/>
  <bookViews>
    <workbookView xWindow="-120" yWindow="-120" windowWidth="20730" windowHeight="11040" xr2:uid="{521A5BED-F467-4549-8D6A-B73218050E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H28" i="1"/>
  <c r="G27" i="1"/>
  <c r="H27" i="1" s="1"/>
  <c r="G26" i="1"/>
  <c r="H26" i="1" s="1"/>
  <c r="G25" i="1"/>
  <c r="H25" i="1" s="1"/>
  <c r="G24" i="1"/>
  <c r="H24" i="1" s="1"/>
  <c r="G23" i="1"/>
  <c r="H23" i="1" s="1"/>
  <c r="H22" i="1"/>
  <c r="G21" i="1"/>
  <c r="F21" i="1"/>
  <c r="H21" i="1" s="1"/>
  <c r="F20" i="1"/>
  <c r="H20" i="1" s="1"/>
  <c r="H19" i="1"/>
  <c r="H18" i="1"/>
  <c r="F18" i="1"/>
  <c r="H17" i="1"/>
  <c r="H16" i="1"/>
  <c r="H15" i="1"/>
  <c r="G15" i="1"/>
  <c r="H14" i="1"/>
  <c r="G13" i="1"/>
  <c r="H13" i="1" s="1"/>
  <c r="F13" i="1"/>
  <c r="H12" i="1"/>
  <c r="H11" i="1"/>
  <c r="H10" i="1"/>
  <c r="H9" i="1"/>
  <c r="H8" i="1"/>
  <c r="H7" i="1"/>
  <c r="H6" i="1"/>
  <c r="H5" i="1"/>
  <c r="H4" i="1"/>
  <c r="G3" i="1"/>
  <c r="H3" i="1" s="1"/>
  <c r="H30" i="1" l="1"/>
</calcChain>
</file>

<file path=xl/sharedStrings.xml><?xml version="1.0" encoding="utf-8"?>
<sst xmlns="http://schemas.openxmlformats.org/spreadsheetml/2006/main" count="144" uniqueCount="81">
  <si>
    <t>FOLHA DE PAGTO NÃO CONTABIL - MAIO/2025</t>
  </si>
  <si>
    <t>Nº</t>
  </si>
  <si>
    <t>Nome</t>
  </si>
  <si>
    <t>Função</t>
  </si>
  <si>
    <t>Razão Social</t>
  </si>
  <si>
    <t>Alocação</t>
  </si>
  <si>
    <t>ADTO</t>
  </si>
  <si>
    <t>SALDO</t>
  </si>
  <si>
    <t>01</t>
  </si>
  <si>
    <t xml:space="preserve">EDUARDA RODRIGUES </t>
  </si>
  <si>
    <t>APRENDIZ</t>
  </si>
  <si>
    <t>REIS FABRICA</t>
  </si>
  <si>
    <t>02</t>
  </si>
  <si>
    <t xml:space="preserve">FERNANDA SANTOS </t>
  </si>
  <si>
    <t>03</t>
  </si>
  <si>
    <t>ICAELLE NASCIMENTO GONZAGA</t>
  </si>
  <si>
    <t>04</t>
  </si>
  <si>
    <t>RAI DOUGLAS DO NASCIMENTO</t>
  </si>
  <si>
    <t>05</t>
  </si>
  <si>
    <t>JILMAN DOS SANTOS</t>
  </si>
  <si>
    <t>GERENTE</t>
  </si>
  <si>
    <t>06</t>
  </si>
  <si>
    <t xml:space="preserve">JOÃO ANTONIO CUZ SANTANA </t>
  </si>
  <si>
    <t>07</t>
  </si>
  <si>
    <t xml:space="preserve">JOSE GABRIEL SANTOS SILVA </t>
  </si>
  <si>
    <t>08</t>
  </si>
  <si>
    <t>MARIVELDO EPIFANIO</t>
  </si>
  <si>
    <t>VIGIA</t>
  </si>
  <si>
    <t>09</t>
  </si>
  <si>
    <t>RENILSON RAMOS DE JESUS</t>
  </si>
  <si>
    <t>10</t>
  </si>
  <si>
    <t xml:space="preserve">JOSE SOARES DOS SANTOS  </t>
  </si>
  <si>
    <t>11</t>
  </si>
  <si>
    <t xml:space="preserve">GILBERTO DOS SANTOS                                      </t>
  </si>
  <si>
    <t>SUPERVISOR</t>
  </si>
  <si>
    <t>SEM REGISTRO</t>
  </si>
  <si>
    <t>REIS MATRIZ</t>
  </si>
  <si>
    <t>12</t>
  </si>
  <si>
    <t>MANOEL DE SOUZA SANTOS</t>
  </si>
  <si>
    <t>SERV GERAIS</t>
  </si>
  <si>
    <t>GRAND CANYON</t>
  </si>
  <si>
    <t>13</t>
  </si>
  <si>
    <t>WELLINGTON RIBEIRO</t>
  </si>
  <si>
    <t>COSTUREIRO</t>
  </si>
  <si>
    <t>14</t>
  </si>
  <si>
    <t>RODRIGO MACEDO COSTA</t>
  </si>
  <si>
    <t>EMBALADOR</t>
  </si>
  <si>
    <t>15</t>
  </si>
  <si>
    <t>ISAC MORENO MENEZES MELO</t>
  </si>
  <si>
    <t>ASSIST. ADM</t>
  </si>
  <si>
    <t>ESCRITORIO</t>
  </si>
  <si>
    <t>16</t>
  </si>
  <si>
    <t>LAVINIA REIS</t>
  </si>
  <si>
    <t>COORD ADM</t>
  </si>
  <si>
    <t>17</t>
  </si>
  <si>
    <t>SHIRLEY CERQUEIRA PINTO</t>
  </si>
  <si>
    <t>18</t>
  </si>
  <si>
    <t>IVONISE CARVALHO</t>
  </si>
  <si>
    <t>19</t>
  </si>
  <si>
    <t>MIGUEL DE JESUS</t>
  </si>
  <si>
    <t>05K</t>
  </si>
  <si>
    <t>20</t>
  </si>
  <si>
    <t>LUCIANA SILVA DO VALE</t>
  </si>
  <si>
    <t>TERCEIRIZADO</t>
  </si>
  <si>
    <t>REIS MTZ</t>
  </si>
  <si>
    <t>21</t>
  </si>
  <si>
    <t>DENIFER SANTOS DO NASCIMENTO - 15/05</t>
  </si>
  <si>
    <t>22</t>
  </si>
  <si>
    <t>ROSILENE ROCHA DA SILVA - 16/05</t>
  </si>
  <si>
    <t>23</t>
  </si>
  <si>
    <t>WALLAS FERREIRA DE SANTANA - 16/05</t>
  </si>
  <si>
    <t>24</t>
  </si>
  <si>
    <t>LUCAS MAXIMINO DOS SANTOS - 19/05</t>
  </si>
  <si>
    <t>25</t>
  </si>
  <si>
    <t>MIRASMYN SANTOS SOUZA - 19/05</t>
  </si>
  <si>
    <t>26</t>
  </si>
  <si>
    <t>JULIA VILANOVA CANDIDO - 23/05</t>
  </si>
  <si>
    <t>27</t>
  </si>
  <si>
    <t>VANDERSON LINO SANTOS</t>
  </si>
  <si>
    <t>VALOR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</si>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</sst>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 tint="-0.3499862666707357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43" fontId="4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3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 applyProtection="1">
      <alignment horizontal="center" vertical="center" wrapText="1"/>
      <protection locked="0"/>
    </xf>
    <xf numFmtId="43" fontId="4" fillId="0" borderId="1" xfId="1" applyNumberFormat="1" applyFont="1" applyFill="1" applyBorder="1" applyAlignment="1">
      <alignment horizontal="left" vertical="center"/>
    </xf>
    <xf numFmtId="43" fontId="4" fillId="0" borderId="1" xfId="0" applyNumberFormat="1" applyFont="1" applyBorder="1" applyAlignment="1">
      <alignment horizontal="left" vertical="center"/>
    </xf>
    <xf numFmtId="43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43" fontId="4" fillId="0" borderId="1" xfId="1" applyNumberFormat="1" applyFont="1" applyFill="1" applyBorder="1" applyAlignment="1">
      <alignment horizontal="center" vertical="center"/>
    </xf>
    <xf numFmtId="43" fontId="4" fillId="0" borderId="1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3" fontId="6" fillId="0" borderId="0" xfId="1" applyNumberFormat="1" applyFont="1" applyFill="1" applyBorder="1" applyAlignment="1">
      <alignment horizontal="left" vertical="center"/>
    </xf>
    <xf numFmtId="44" fontId="4" fillId="0" borderId="0" xfId="1" applyFont="1" applyFill="1" applyBorder="1" applyAlignment="1">
      <alignment horizontal="left" vertical="center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3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3">
    <cellStyle name="Moeda" xfId="1" builtinId="4"/>
    <cellStyle name="Normal" xfId="0" builtinId="0"/>
    <cellStyle name="Normal 2" xfId="2" xr:uid="{77704C24-BC1A-41E3-A0A2-924A598C3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22F9-804B-4297-AB4E-01CE92175B93}">
  <dimension ref="A1:H30"/>
  <sheetViews>
    <sheetView tabSelected="1" workbookViewId="0">
      <selection activeCell="D7" sqref="D7"/>
    </sheetView>
  </sheetViews>
  <sheetFormatPr defaultColWidth="21.28515625" defaultRowHeight="15.75" x14ac:dyDescent="0.25"/>
  <cols>
    <col min="1" max="1" width="6.7109375" style="2" customWidth="1"/>
    <col min="2" max="2" width="50.85546875" style="2" customWidth="1"/>
    <col min="3" max="5" width="21.28515625" style="2"/>
    <col min="6" max="6" width="13.7109375" style="2" customWidth="1"/>
    <col min="7" max="7" width="13.5703125" style="2" customWidth="1"/>
    <col min="8" max="8" width="18.140625" style="2" customWidth="1"/>
    <col min="9" max="16384" width="21.28515625" style="2"/>
  </cols>
  <sheetData>
    <row r="1" spans="1:8" ht="23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8" ht="17.4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80</v>
      </c>
    </row>
    <row r="3" spans="1:8" ht="17.45" customHeight="1" x14ac:dyDescent="0.25">
      <c r="A3" s="6" t="s">
        <v>8</v>
      </c>
      <c r="B3" s="7" t="s">
        <v>9</v>
      </c>
      <c r="C3" s="7" t="s">
        <v>10</v>
      </c>
      <c r="D3" s="7" t="s">
        <v>11</v>
      </c>
      <c r="E3" s="7" t="s">
        <v>11</v>
      </c>
      <c r="F3" s="8">
        <v>607.20000000000005</v>
      </c>
      <c r="G3" s="8">
        <f>1518-F3</f>
        <v>910.8</v>
      </c>
      <c r="H3" s="9">
        <f t="shared" ref="H3:H11" si="0">F3+G3</f>
        <v>1518</v>
      </c>
    </row>
    <row r="4" spans="1:8" ht="17.45" customHeight="1" x14ac:dyDescent="0.25">
      <c r="A4" s="6" t="s">
        <v>12</v>
      </c>
      <c r="B4" s="7" t="s">
        <v>13</v>
      </c>
      <c r="C4" s="7" t="s">
        <v>10</v>
      </c>
      <c r="D4" s="7" t="s">
        <v>11</v>
      </c>
      <c r="E4" s="7" t="s">
        <v>11</v>
      </c>
      <c r="F4" s="10">
        <v>379.5</v>
      </c>
      <c r="G4" s="10">
        <v>379.5</v>
      </c>
      <c r="H4" s="10">
        <f t="shared" si="0"/>
        <v>759</v>
      </c>
    </row>
    <row r="5" spans="1:8" ht="17.45" customHeight="1" x14ac:dyDescent="0.25">
      <c r="A5" s="6" t="s">
        <v>14</v>
      </c>
      <c r="B5" s="7" t="s">
        <v>15</v>
      </c>
      <c r="C5" s="7" t="s">
        <v>10</v>
      </c>
      <c r="D5" s="7" t="s">
        <v>11</v>
      </c>
      <c r="E5" s="7" t="s">
        <v>11</v>
      </c>
      <c r="F5" s="10">
        <v>379.5</v>
      </c>
      <c r="G5" s="10">
        <v>379.5</v>
      </c>
      <c r="H5" s="10">
        <f t="shared" si="0"/>
        <v>759</v>
      </c>
    </row>
    <row r="6" spans="1:8" ht="17.45" customHeight="1" x14ac:dyDescent="0.25">
      <c r="A6" s="6" t="s">
        <v>16</v>
      </c>
      <c r="B6" s="7" t="s">
        <v>17</v>
      </c>
      <c r="C6" s="7" t="s">
        <v>10</v>
      </c>
      <c r="D6" s="7" t="s">
        <v>11</v>
      </c>
      <c r="E6" s="7" t="s">
        <v>11</v>
      </c>
      <c r="F6" s="10">
        <v>379.5</v>
      </c>
      <c r="G6" s="10">
        <v>379.5</v>
      </c>
      <c r="H6" s="10">
        <f t="shared" si="0"/>
        <v>759</v>
      </c>
    </row>
    <row r="7" spans="1:8" ht="17.45" customHeight="1" x14ac:dyDescent="0.25">
      <c r="A7" s="6" t="s">
        <v>18</v>
      </c>
      <c r="B7" s="7" t="s">
        <v>19</v>
      </c>
      <c r="C7" s="7" t="s">
        <v>20</v>
      </c>
      <c r="D7" s="7" t="s">
        <v>11</v>
      </c>
      <c r="E7" s="7" t="s">
        <v>11</v>
      </c>
      <c r="F7" s="10"/>
      <c r="G7" s="10">
        <v>821.44</v>
      </c>
      <c r="H7" s="9">
        <f t="shared" si="0"/>
        <v>821.44</v>
      </c>
    </row>
    <row r="8" spans="1:8" ht="17.45" customHeight="1" x14ac:dyDescent="0.25">
      <c r="A8" s="6" t="s">
        <v>21</v>
      </c>
      <c r="B8" s="7" t="s">
        <v>22</v>
      </c>
      <c r="C8" s="7" t="s">
        <v>10</v>
      </c>
      <c r="D8" s="7" t="s">
        <v>11</v>
      </c>
      <c r="E8" s="7" t="s">
        <v>11</v>
      </c>
      <c r="F8" s="10">
        <v>379.5</v>
      </c>
      <c r="G8" s="10">
        <v>379.5</v>
      </c>
      <c r="H8" s="10">
        <f t="shared" si="0"/>
        <v>759</v>
      </c>
    </row>
    <row r="9" spans="1:8" ht="17.45" customHeight="1" x14ac:dyDescent="0.25">
      <c r="A9" s="6" t="s">
        <v>23</v>
      </c>
      <c r="B9" s="7" t="s">
        <v>24</v>
      </c>
      <c r="C9" s="7" t="s">
        <v>10</v>
      </c>
      <c r="D9" s="7" t="s">
        <v>11</v>
      </c>
      <c r="E9" s="7" t="s">
        <v>11</v>
      </c>
      <c r="F9" s="10">
        <v>379.5</v>
      </c>
      <c r="G9" s="10">
        <v>379.5</v>
      </c>
      <c r="H9" s="10">
        <f t="shared" si="0"/>
        <v>759</v>
      </c>
    </row>
    <row r="10" spans="1:8" ht="17.45" customHeight="1" x14ac:dyDescent="0.25">
      <c r="A10" s="6" t="s">
        <v>25</v>
      </c>
      <c r="B10" s="7" t="s">
        <v>26</v>
      </c>
      <c r="C10" s="7" t="s">
        <v>27</v>
      </c>
      <c r="D10" s="7" t="s">
        <v>11</v>
      </c>
      <c r="E10" s="7" t="s">
        <v>11</v>
      </c>
      <c r="F10" s="10">
        <v>0</v>
      </c>
      <c r="G10" s="10">
        <v>850</v>
      </c>
      <c r="H10" s="9">
        <f t="shared" si="0"/>
        <v>850</v>
      </c>
    </row>
    <row r="11" spans="1:8" ht="17.45" customHeight="1" x14ac:dyDescent="0.25">
      <c r="A11" s="6" t="s">
        <v>28</v>
      </c>
      <c r="B11" s="7" t="s">
        <v>29</v>
      </c>
      <c r="C11" s="7" t="s">
        <v>10</v>
      </c>
      <c r="D11" s="7" t="s">
        <v>11</v>
      </c>
      <c r="E11" s="7" t="s">
        <v>11</v>
      </c>
      <c r="F11" s="10">
        <v>379.5</v>
      </c>
      <c r="G11" s="10">
        <v>379.5</v>
      </c>
      <c r="H11" s="10">
        <f t="shared" si="0"/>
        <v>759</v>
      </c>
    </row>
    <row r="12" spans="1:8" ht="17.45" customHeight="1" x14ac:dyDescent="0.25">
      <c r="A12" s="6" t="s">
        <v>30</v>
      </c>
      <c r="B12" s="7" t="s">
        <v>31</v>
      </c>
      <c r="C12" s="7" t="s">
        <v>27</v>
      </c>
      <c r="D12" s="7" t="s">
        <v>11</v>
      </c>
      <c r="E12" s="7" t="s">
        <v>11</v>
      </c>
      <c r="F12" s="10">
        <v>300</v>
      </c>
      <c r="G12" s="8">
        <v>300</v>
      </c>
      <c r="H12" s="9">
        <f>F12+G12</f>
        <v>600</v>
      </c>
    </row>
    <row r="13" spans="1:8" ht="17.45" customHeight="1" x14ac:dyDescent="0.25">
      <c r="A13" s="6" t="s">
        <v>32</v>
      </c>
      <c r="B13" s="11" t="s">
        <v>33</v>
      </c>
      <c r="C13" s="6" t="s">
        <v>34</v>
      </c>
      <c r="D13" s="12" t="s">
        <v>35</v>
      </c>
      <c r="E13" s="12" t="s">
        <v>36</v>
      </c>
      <c r="F13" s="13">
        <f>5275/2</f>
        <v>2637.5</v>
      </c>
      <c r="G13" s="8">
        <f>F13</f>
        <v>2637.5</v>
      </c>
      <c r="H13" s="9">
        <f t="shared" ref="H13:H22" si="1">F13+G13</f>
        <v>5275</v>
      </c>
    </row>
    <row r="14" spans="1:8" ht="17.45" customHeight="1" x14ac:dyDescent="0.25">
      <c r="A14" s="6" t="s">
        <v>37</v>
      </c>
      <c r="B14" s="11" t="s">
        <v>38</v>
      </c>
      <c r="C14" s="6" t="s">
        <v>39</v>
      </c>
      <c r="D14" s="12" t="s">
        <v>40</v>
      </c>
      <c r="E14" s="12" t="s">
        <v>40</v>
      </c>
      <c r="F14" s="13">
        <v>640</v>
      </c>
      <c r="G14" s="8">
        <v>422.6</v>
      </c>
      <c r="H14" s="9">
        <f t="shared" si="1"/>
        <v>1062.5999999999999</v>
      </c>
    </row>
    <row r="15" spans="1:8" ht="17.45" customHeight="1" x14ac:dyDescent="0.25">
      <c r="A15" s="6" t="s">
        <v>41</v>
      </c>
      <c r="B15" s="11" t="s">
        <v>42</v>
      </c>
      <c r="C15" s="6" t="s">
        <v>43</v>
      </c>
      <c r="D15" s="12" t="s">
        <v>35</v>
      </c>
      <c r="E15" s="12" t="s">
        <v>11</v>
      </c>
      <c r="F15" s="13">
        <v>607.20000000000005</v>
      </c>
      <c r="G15" s="8">
        <f>1518-F15</f>
        <v>910.8</v>
      </c>
      <c r="H15" s="9">
        <f t="shared" si="1"/>
        <v>1518</v>
      </c>
    </row>
    <row r="16" spans="1:8" ht="17.45" customHeight="1" x14ac:dyDescent="0.25">
      <c r="A16" s="6" t="s">
        <v>44</v>
      </c>
      <c r="B16" s="11" t="s">
        <v>45</v>
      </c>
      <c r="C16" s="6" t="s">
        <v>46</v>
      </c>
      <c r="D16" s="12" t="s">
        <v>35</v>
      </c>
      <c r="E16" s="12" t="s">
        <v>11</v>
      </c>
      <c r="F16" s="13">
        <v>607.20000000000005</v>
      </c>
      <c r="G16" s="8">
        <v>910.8</v>
      </c>
      <c r="H16" s="9">
        <f t="shared" si="1"/>
        <v>1518</v>
      </c>
    </row>
    <row r="17" spans="1:8" ht="17.45" customHeight="1" x14ac:dyDescent="0.25">
      <c r="A17" s="6" t="s">
        <v>47</v>
      </c>
      <c r="B17" s="11" t="s">
        <v>48</v>
      </c>
      <c r="C17" s="6" t="s">
        <v>49</v>
      </c>
      <c r="D17" s="12" t="s">
        <v>35</v>
      </c>
      <c r="E17" s="12" t="s">
        <v>50</v>
      </c>
      <c r="F17" s="13">
        <v>1055</v>
      </c>
      <c r="G17" s="8">
        <v>1055</v>
      </c>
      <c r="H17" s="9">
        <f t="shared" si="1"/>
        <v>2110</v>
      </c>
    </row>
    <row r="18" spans="1:8" ht="17.45" customHeight="1" x14ac:dyDescent="0.25">
      <c r="A18" s="6" t="s">
        <v>51</v>
      </c>
      <c r="B18" s="11" t="s">
        <v>52</v>
      </c>
      <c r="C18" s="6" t="s">
        <v>53</v>
      </c>
      <c r="D18" s="12" t="s">
        <v>35</v>
      </c>
      <c r="E18" s="12" t="s">
        <v>50</v>
      </c>
      <c r="F18" s="14">
        <f>3165*40%</f>
        <v>1266</v>
      </c>
      <c r="G18" s="15">
        <v>2568.56</v>
      </c>
      <c r="H18" s="9">
        <f t="shared" si="1"/>
        <v>3834.56</v>
      </c>
    </row>
    <row r="19" spans="1:8" ht="17.45" customHeight="1" x14ac:dyDescent="0.25">
      <c r="A19" s="6" t="s">
        <v>54</v>
      </c>
      <c r="B19" s="11" t="s">
        <v>55</v>
      </c>
      <c r="C19" s="11"/>
      <c r="D19" s="11" t="s">
        <v>35</v>
      </c>
      <c r="E19" s="11" t="s">
        <v>50</v>
      </c>
      <c r="F19" s="14">
        <v>2000</v>
      </c>
      <c r="G19" s="15">
        <v>1666.66</v>
      </c>
      <c r="H19" s="9">
        <f t="shared" si="1"/>
        <v>3666.66</v>
      </c>
    </row>
    <row r="20" spans="1:8" ht="17.45" customHeight="1" x14ac:dyDescent="0.25">
      <c r="A20" s="6" t="s">
        <v>56</v>
      </c>
      <c r="B20" s="11" t="s">
        <v>57</v>
      </c>
      <c r="C20" s="6" t="s">
        <v>39</v>
      </c>
      <c r="D20" s="12" t="s">
        <v>35</v>
      </c>
      <c r="E20" s="12" t="s">
        <v>50</v>
      </c>
      <c r="F20" s="14">
        <f>1081.36*40%</f>
        <v>432.54399999999998</v>
      </c>
      <c r="G20" s="15">
        <v>583.92999999999995</v>
      </c>
      <c r="H20" s="9">
        <f t="shared" si="1"/>
        <v>1016.4739999999999</v>
      </c>
    </row>
    <row r="21" spans="1:8" ht="17.45" customHeight="1" x14ac:dyDescent="0.25">
      <c r="A21" s="6" t="s">
        <v>58</v>
      </c>
      <c r="B21" s="11" t="s">
        <v>59</v>
      </c>
      <c r="C21" s="6" t="s">
        <v>39</v>
      </c>
      <c r="D21" s="12" t="s">
        <v>35</v>
      </c>
      <c r="E21" s="12" t="s">
        <v>60</v>
      </c>
      <c r="F21" s="14">
        <f>1660*40%</f>
        <v>664</v>
      </c>
      <c r="G21" s="15">
        <f>1660-664</f>
        <v>996</v>
      </c>
      <c r="H21" s="9">
        <f t="shared" si="1"/>
        <v>1660</v>
      </c>
    </row>
    <row r="22" spans="1:8" ht="17.45" customHeight="1" x14ac:dyDescent="0.25">
      <c r="A22" s="6" t="s">
        <v>61</v>
      </c>
      <c r="B22" s="16" t="s">
        <v>62</v>
      </c>
      <c r="C22" s="16" t="s">
        <v>63</v>
      </c>
      <c r="D22" s="16" t="s">
        <v>35</v>
      </c>
      <c r="E22" s="16" t="s">
        <v>64</v>
      </c>
      <c r="F22" s="17">
        <v>1750</v>
      </c>
      <c r="G22" s="1">
        <v>0</v>
      </c>
      <c r="H22" s="9">
        <f t="shared" si="1"/>
        <v>1750</v>
      </c>
    </row>
    <row r="23" spans="1:8" ht="17.45" customHeight="1" x14ac:dyDescent="0.25">
      <c r="A23" s="6" t="s">
        <v>65</v>
      </c>
      <c r="B23" s="7" t="s">
        <v>66</v>
      </c>
      <c r="C23" s="7" t="s">
        <v>10</v>
      </c>
      <c r="D23" s="7" t="s">
        <v>11</v>
      </c>
      <c r="E23" s="7" t="s">
        <v>11</v>
      </c>
      <c r="F23" s="10">
        <v>0</v>
      </c>
      <c r="G23" s="10">
        <f>759/30*15</f>
        <v>379.5</v>
      </c>
      <c r="H23" s="10">
        <f>F23+G23</f>
        <v>379.5</v>
      </c>
    </row>
    <row r="24" spans="1:8" ht="17.45" customHeight="1" x14ac:dyDescent="0.25">
      <c r="A24" s="6" t="s">
        <v>67</v>
      </c>
      <c r="B24" s="7" t="s">
        <v>68</v>
      </c>
      <c r="C24" s="7" t="s">
        <v>10</v>
      </c>
      <c r="D24" s="7" t="s">
        <v>11</v>
      </c>
      <c r="E24" s="7" t="s">
        <v>11</v>
      </c>
      <c r="F24" s="10">
        <v>0</v>
      </c>
      <c r="G24" s="10">
        <f>759/30*14</f>
        <v>354.2</v>
      </c>
      <c r="H24" s="10">
        <f t="shared" ref="H24:H28" si="2">F24+G24</f>
        <v>354.2</v>
      </c>
    </row>
    <row r="25" spans="1:8" ht="17.45" customHeight="1" x14ac:dyDescent="0.25">
      <c r="A25" s="6" t="s">
        <v>69</v>
      </c>
      <c r="B25" s="7" t="s">
        <v>70</v>
      </c>
      <c r="C25" s="7" t="s">
        <v>10</v>
      </c>
      <c r="D25" s="7" t="s">
        <v>11</v>
      </c>
      <c r="E25" s="7" t="s">
        <v>11</v>
      </c>
      <c r="F25" s="10">
        <v>0</v>
      </c>
      <c r="G25" s="10">
        <f>759/30*14</f>
        <v>354.2</v>
      </c>
      <c r="H25" s="10">
        <f t="shared" si="2"/>
        <v>354.2</v>
      </c>
    </row>
    <row r="26" spans="1:8" ht="17.45" customHeight="1" x14ac:dyDescent="0.25">
      <c r="A26" s="6" t="s">
        <v>71</v>
      </c>
      <c r="B26" s="7" t="s">
        <v>72</v>
      </c>
      <c r="C26" s="7" t="s">
        <v>10</v>
      </c>
      <c r="D26" s="7" t="s">
        <v>11</v>
      </c>
      <c r="E26" s="7" t="s">
        <v>11</v>
      </c>
      <c r="F26" s="10">
        <v>0</v>
      </c>
      <c r="G26" s="10">
        <f>759/30*11</f>
        <v>278.3</v>
      </c>
      <c r="H26" s="10">
        <f t="shared" si="2"/>
        <v>278.3</v>
      </c>
    </row>
    <row r="27" spans="1:8" ht="17.45" customHeight="1" x14ac:dyDescent="0.25">
      <c r="A27" s="6" t="s">
        <v>73</v>
      </c>
      <c r="B27" s="7" t="s">
        <v>74</v>
      </c>
      <c r="C27" s="7" t="s">
        <v>10</v>
      </c>
      <c r="D27" s="7" t="s">
        <v>11</v>
      </c>
      <c r="E27" s="7" t="s">
        <v>11</v>
      </c>
      <c r="F27" s="10">
        <v>0</v>
      </c>
      <c r="G27" s="10">
        <f>759/30*11</f>
        <v>278.3</v>
      </c>
      <c r="H27" s="10">
        <f t="shared" si="2"/>
        <v>278.3</v>
      </c>
    </row>
    <row r="28" spans="1:8" ht="17.45" customHeight="1" x14ac:dyDescent="0.25">
      <c r="A28" s="6" t="s">
        <v>75</v>
      </c>
      <c r="B28" s="7" t="s">
        <v>76</v>
      </c>
      <c r="C28" s="7" t="s">
        <v>10</v>
      </c>
      <c r="D28" s="7" t="s">
        <v>11</v>
      </c>
      <c r="E28" s="7" t="s">
        <v>11</v>
      </c>
      <c r="F28" s="10">
        <v>0</v>
      </c>
      <c r="G28" s="10">
        <v>202.4</v>
      </c>
      <c r="H28" s="10">
        <f t="shared" si="2"/>
        <v>202.4</v>
      </c>
    </row>
    <row r="29" spans="1:8" ht="17.45" customHeight="1" x14ac:dyDescent="0.25">
      <c r="A29" s="6" t="s">
        <v>77</v>
      </c>
      <c r="B29" s="7" t="s">
        <v>78</v>
      </c>
      <c r="C29" s="7" t="s">
        <v>10</v>
      </c>
      <c r="D29" s="7" t="s">
        <v>11</v>
      </c>
      <c r="E29" s="7" t="s">
        <v>11</v>
      </c>
      <c r="F29" s="10">
        <v>0</v>
      </c>
      <c r="G29" s="10">
        <f>25.3*2</f>
        <v>50.6</v>
      </c>
      <c r="H29" s="10">
        <v>50.6</v>
      </c>
    </row>
    <row r="30" spans="1:8" ht="17.45" customHeight="1" x14ac:dyDescent="0.25">
      <c r="A30" s="18"/>
      <c r="B30" s="25" t="s">
        <v>79</v>
      </c>
      <c r="C30" s="19"/>
      <c r="D30" s="19"/>
      <c r="E30" s="20"/>
      <c r="F30" s="21"/>
      <c r="G30" s="22"/>
      <c r="H30" s="24">
        <f>SUM(H3:H29)</f>
        <v>33652.234000000004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Gente Gestão</dc:creator>
  <cp:lastModifiedBy>Gente Gestão</cp:lastModifiedBy>
  <dcterms:created xsi:type="dcterms:W3CDTF">2025-05-30T13:47:16Z</dcterms:created>
  <dcterms:modified xsi:type="dcterms:W3CDTF">2025-05-30T13:49:06Z</dcterms:modified>
</cp:coreProperties>
</file>