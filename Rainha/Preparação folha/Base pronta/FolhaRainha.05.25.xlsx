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Incremental\Clientes Atuais\Rainha\Folha\"/>
    </mc:Choice>
  </mc:AlternateContent>
  <xr:revisionPtr revIDLastSave="0" documentId="13_ncr:1_{69C4728D-2072-449F-B283-92EC4D32DDAB}" xr6:coauthVersionLast="47" xr6:coauthVersionMax="47" xr10:uidLastSave="{00000000-0000-0000-0000-000000000000}"/>
  <bookViews>
    <workbookView xWindow="-120" yWindow="-120" windowWidth="29040" windowHeight="15840" tabRatio="833" firstSheet="1" activeTab="2" xr2:uid="{BB962F45-2332-4F1A-978C-940D9DC73DCA}"/>
  </bookViews>
  <sheets>
    <sheet name="Extrato Mensal Jan" sheetId="6" state="hidden" r:id="rId1"/>
    <sheet name="Resumo" sheetId="24" r:id="rId2"/>
    <sheet name="GRATIFICAÇÃO" sheetId="27" r:id="rId3"/>
    <sheet name="Salários Resumo (3)" sheetId="29" state="hidden" r:id="rId4"/>
    <sheet name="PG" sheetId="28" r:id="rId5"/>
    <sheet name="Demitidos" sheetId="33" r:id="rId6"/>
    <sheet name="BASE DE NOMES" sheetId="25" r:id="rId7"/>
    <sheet name="Planilha1" sheetId="26" state="hidden" r:id="rId8"/>
    <sheet name="BASE DE NOMES (2)" sheetId="31" state="hidden" r:id="rId9"/>
    <sheet name="Folha Rainha" sheetId="23" r:id="rId10"/>
    <sheet name="Planilha2" sheetId="30" state="hidden" r:id="rId11"/>
  </sheets>
  <definedNames>
    <definedName name="_xlnm._FilterDatabase" localSheetId="10" hidden="1">Planilha2!$A$1:$B$170</definedName>
    <definedName name="DadosExternos_1" localSheetId="6" hidden="1">'BASE DE NOMES'!$A$1:$D$165</definedName>
    <definedName name="DadosExternos_1" localSheetId="9" hidden="1">'Folha Rainha'!$A$1:$G$707</definedName>
    <definedName name="DadosExternos_1" localSheetId="2" hidden="1">GRATIFICAÇÃO!$A$1:$F$26</definedName>
    <definedName name="DadosExternos_1" localSheetId="4" hidden="1">PG!$A$1:$E$28</definedName>
    <definedName name="DadosExternos_2" localSheetId="8" hidden="1">'BASE DE NOMES (2)'!$A$1:$F$186</definedName>
    <definedName name="DadosExternos_2" localSheetId="5" hidden="1">Demitidos!$A$1:$C$9</definedName>
  </definedNames>
  <calcPr calcId="191029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28" l="1"/>
  <c r="F2" i="28"/>
  <c r="F3" i="28"/>
  <c r="F4" i="28"/>
  <c r="F6" i="28"/>
  <c r="F10" i="28"/>
  <c r="F11" i="28"/>
  <c r="F12" i="28"/>
  <c r="F13" i="28"/>
  <c r="F14" i="28"/>
  <c r="F15" i="28"/>
  <c r="F16" i="28"/>
  <c r="F18" i="28"/>
  <c r="F19" i="28"/>
  <c r="F23" i="28"/>
  <c r="F24" i="28"/>
  <c r="F26" i="28"/>
  <c r="F27" i="28"/>
  <c r="F28" i="28"/>
  <c r="F27" i="27"/>
  <c r="G2" i="27"/>
  <c r="G7" i="27"/>
  <c r="G14" i="27"/>
  <c r="G18" i="27"/>
  <c r="G26" i="27"/>
  <c r="G708" i="23"/>
  <c r="E2" i="25"/>
  <c r="E3" i="25"/>
  <c r="E4" i="25"/>
  <c r="E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E43" i="25"/>
  <c r="E44" i="25"/>
  <c r="E45" i="25"/>
  <c r="E46" i="25"/>
  <c r="E47" i="25"/>
  <c r="E48" i="25"/>
  <c r="E49" i="25"/>
  <c r="E50" i="25"/>
  <c r="E51" i="25"/>
  <c r="E52" i="25"/>
  <c r="E53" i="25"/>
  <c r="E54" i="25"/>
  <c r="E55" i="25"/>
  <c r="E56" i="25"/>
  <c r="E57" i="25"/>
  <c r="E58" i="25"/>
  <c r="E59" i="25"/>
  <c r="E60" i="25"/>
  <c r="E61" i="25"/>
  <c r="E62" i="25"/>
  <c r="E63" i="25"/>
  <c r="E64" i="25"/>
  <c r="E65" i="25"/>
  <c r="E66" i="25"/>
  <c r="E67" i="25"/>
  <c r="E68" i="25"/>
  <c r="E69" i="25"/>
  <c r="E70" i="25"/>
  <c r="E71" i="25"/>
  <c r="E72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85" i="25"/>
  <c r="E86" i="25"/>
  <c r="E87" i="25"/>
  <c r="E88" i="25"/>
  <c r="E89" i="25"/>
  <c r="E90" i="25"/>
  <c r="E91" i="25"/>
  <c r="E92" i="25"/>
  <c r="E93" i="25"/>
  <c r="E94" i="25"/>
  <c r="E95" i="25"/>
  <c r="E96" i="25"/>
  <c r="E97" i="25"/>
  <c r="E98" i="25"/>
  <c r="E99" i="25"/>
  <c r="E100" i="25"/>
  <c r="E101" i="25"/>
  <c r="E102" i="25"/>
  <c r="E103" i="25"/>
  <c r="E104" i="25"/>
  <c r="E105" i="25"/>
  <c r="E106" i="25"/>
  <c r="E107" i="25"/>
  <c r="E108" i="25"/>
  <c r="E109" i="25"/>
  <c r="E110" i="25"/>
  <c r="E111" i="25"/>
  <c r="E112" i="25"/>
  <c r="E113" i="25"/>
  <c r="E114" i="25"/>
  <c r="E115" i="25"/>
  <c r="E116" i="25"/>
  <c r="E117" i="25"/>
  <c r="E118" i="25"/>
  <c r="E119" i="25"/>
  <c r="E120" i="25"/>
  <c r="E121" i="25"/>
  <c r="E122" i="25"/>
  <c r="E123" i="25"/>
  <c r="E124" i="25"/>
  <c r="E125" i="25"/>
  <c r="E126" i="25"/>
  <c r="E127" i="25"/>
  <c r="E128" i="25"/>
  <c r="E129" i="25"/>
  <c r="E130" i="25"/>
  <c r="E131" i="25"/>
  <c r="E132" i="25"/>
  <c r="E133" i="25"/>
  <c r="E134" i="25"/>
  <c r="E135" i="25"/>
  <c r="E136" i="25"/>
  <c r="E137" i="25"/>
  <c r="E138" i="25"/>
  <c r="E139" i="25"/>
  <c r="E140" i="25"/>
  <c r="E141" i="25"/>
  <c r="E142" i="25"/>
  <c r="E143" i="25"/>
  <c r="E144" i="25"/>
  <c r="E145" i="25"/>
  <c r="E146" i="25"/>
  <c r="E147" i="25"/>
  <c r="E148" i="25"/>
  <c r="E149" i="25"/>
  <c r="E150" i="25"/>
  <c r="E151" i="25"/>
  <c r="E152" i="25"/>
  <c r="E153" i="25"/>
  <c r="E154" i="25"/>
  <c r="E155" i="25"/>
  <c r="E156" i="25"/>
  <c r="E157" i="25"/>
  <c r="E158" i="25"/>
  <c r="E159" i="25"/>
  <c r="E160" i="25"/>
  <c r="E161" i="25"/>
  <c r="E162" i="25"/>
  <c r="E163" i="25"/>
  <c r="E164" i="25"/>
  <c r="E165" i="25"/>
  <c r="F2" i="25"/>
  <c r="F3" i="25"/>
  <c r="F4" i="25"/>
  <c r="F5" i="25"/>
  <c r="F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F28" i="25"/>
  <c r="F29" i="25"/>
  <c r="F30" i="25"/>
  <c r="F31" i="25"/>
  <c r="F32" i="25"/>
  <c r="F33" i="25"/>
  <c r="F34" i="25"/>
  <c r="F35" i="25"/>
  <c r="F36" i="25"/>
  <c r="F37" i="25"/>
  <c r="F38" i="25"/>
  <c r="F39" i="25"/>
  <c r="F40" i="25"/>
  <c r="F41" i="25"/>
  <c r="F42" i="25"/>
  <c r="F43" i="25"/>
  <c r="F44" i="25"/>
  <c r="F45" i="25"/>
  <c r="F46" i="25"/>
  <c r="F47" i="25"/>
  <c r="F48" i="25"/>
  <c r="F49" i="25"/>
  <c r="F50" i="25"/>
  <c r="F51" i="25"/>
  <c r="F52" i="25"/>
  <c r="F53" i="25"/>
  <c r="F54" i="25"/>
  <c r="F55" i="25"/>
  <c r="F56" i="25"/>
  <c r="F57" i="25"/>
  <c r="F58" i="25"/>
  <c r="F59" i="25"/>
  <c r="F60" i="25"/>
  <c r="F61" i="25"/>
  <c r="F62" i="25"/>
  <c r="F63" i="25"/>
  <c r="F64" i="25"/>
  <c r="F65" i="25"/>
  <c r="F66" i="25"/>
  <c r="F67" i="25"/>
  <c r="F68" i="25"/>
  <c r="F69" i="25"/>
  <c r="F70" i="25"/>
  <c r="F71" i="25"/>
  <c r="F72" i="25"/>
  <c r="F73" i="25"/>
  <c r="F74" i="25"/>
  <c r="F75" i="25"/>
  <c r="F76" i="25"/>
  <c r="F77" i="25"/>
  <c r="F78" i="25"/>
  <c r="F79" i="25"/>
  <c r="F80" i="25"/>
  <c r="F81" i="25"/>
  <c r="F82" i="25"/>
  <c r="F83" i="25"/>
  <c r="F84" i="25"/>
  <c r="F85" i="25"/>
  <c r="F86" i="25"/>
  <c r="F87" i="25"/>
  <c r="F88" i="25"/>
  <c r="F89" i="25"/>
  <c r="F90" i="25"/>
  <c r="F91" i="25"/>
  <c r="F92" i="25"/>
  <c r="F93" i="25"/>
  <c r="F94" i="25"/>
  <c r="F95" i="25"/>
  <c r="F96" i="25"/>
  <c r="F97" i="25"/>
  <c r="F98" i="25"/>
  <c r="F99" i="25"/>
  <c r="F100" i="25"/>
  <c r="F101" i="25"/>
  <c r="F102" i="25"/>
  <c r="F103" i="25"/>
  <c r="F104" i="25"/>
  <c r="F105" i="25"/>
  <c r="F106" i="25"/>
  <c r="F107" i="25"/>
  <c r="F108" i="25"/>
  <c r="F109" i="25"/>
  <c r="F110" i="25"/>
  <c r="F111" i="25"/>
  <c r="F112" i="25"/>
  <c r="F113" i="25"/>
  <c r="F114" i="25"/>
  <c r="F115" i="25"/>
  <c r="F116" i="25"/>
  <c r="F117" i="25"/>
  <c r="F118" i="25"/>
  <c r="F119" i="25"/>
  <c r="F120" i="25"/>
  <c r="F121" i="25"/>
  <c r="F122" i="25"/>
  <c r="F123" i="25"/>
  <c r="F124" i="25"/>
  <c r="F125" i="25"/>
  <c r="F126" i="25"/>
  <c r="F127" i="25"/>
  <c r="F128" i="25"/>
  <c r="F129" i="25"/>
  <c r="F130" i="25"/>
  <c r="F131" i="25"/>
  <c r="F132" i="25"/>
  <c r="F133" i="25"/>
  <c r="F134" i="25"/>
  <c r="F135" i="25"/>
  <c r="F136" i="25"/>
  <c r="F137" i="25"/>
  <c r="F138" i="25"/>
  <c r="F139" i="25"/>
  <c r="F140" i="25"/>
  <c r="F141" i="25"/>
  <c r="F142" i="25"/>
  <c r="F143" i="25"/>
  <c r="F144" i="25"/>
  <c r="F145" i="25"/>
  <c r="F146" i="25"/>
  <c r="F147" i="25"/>
  <c r="F148" i="25"/>
  <c r="F149" i="25"/>
  <c r="F150" i="25"/>
  <c r="F151" i="25"/>
  <c r="F152" i="25"/>
  <c r="F153" i="25"/>
  <c r="F154" i="25"/>
  <c r="F155" i="25"/>
  <c r="F156" i="25"/>
  <c r="F157" i="25"/>
  <c r="F158" i="25"/>
  <c r="F159" i="25"/>
  <c r="F160" i="25"/>
  <c r="F161" i="25"/>
  <c r="F162" i="25"/>
  <c r="F163" i="25"/>
  <c r="F164" i="25"/>
  <c r="F165" i="25"/>
  <c r="G2" i="25"/>
  <c r="G3" i="25"/>
  <c r="G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G77" i="25"/>
  <c r="G78" i="25"/>
  <c r="G79" i="25"/>
  <c r="G80" i="25"/>
  <c r="G81" i="25"/>
  <c r="G82" i="25"/>
  <c r="G83" i="25"/>
  <c r="G84" i="25"/>
  <c r="G85" i="25"/>
  <c r="G86" i="25"/>
  <c r="G87" i="25"/>
  <c r="G88" i="25"/>
  <c r="G89" i="25"/>
  <c r="G90" i="25"/>
  <c r="G91" i="25"/>
  <c r="G92" i="25"/>
  <c r="G93" i="25"/>
  <c r="G94" i="25"/>
  <c r="G95" i="25"/>
  <c r="G96" i="25"/>
  <c r="G97" i="25"/>
  <c r="G98" i="25"/>
  <c r="G99" i="25"/>
  <c r="G100" i="25"/>
  <c r="G101" i="25"/>
  <c r="G102" i="25"/>
  <c r="G103" i="25"/>
  <c r="G104" i="25"/>
  <c r="G105" i="25"/>
  <c r="G106" i="25"/>
  <c r="G107" i="25"/>
  <c r="G108" i="25"/>
  <c r="G109" i="25"/>
  <c r="G110" i="25"/>
  <c r="G111" i="25"/>
  <c r="G112" i="25"/>
  <c r="G113" i="25"/>
  <c r="G114" i="25"/>
  <c r="G115" i="25"/>
  <c r="G116" i="25"/>
  <c r="G117" i="25"/>
  <c r="G118" i="25"/>
  <c r="G119" i="25"/>
  <c r="G120" i="25"/>
  <c r="G121" i="25"/>
  <c r="G122" i="25"/>
  <c r="G123" i="25"/>
  <c r="G124" i="25"/>
  <c r="G125" i="25"/>
  <c r="G126" i="25"/>
  <c r="G127" i="25"/>
  <c r="G128" i="25"/>
  <c r="G129" i="25"/>
  <c r="G130" i="25"/>
  <c r="G131" i="25"/>
  <c r="G132" i="25"/>
  <c r="G133" i="25"/>
  <c r="G134" i="25"/>
  <c r="G135" i="25"/>
  <c r="G136" i="25"/>
  <c r="G137" i="25"/>
  <c r="G138" i="25"/>
  <c r="G139" i="25"/>
  <c r="G140" i="25"/>
  <c r="G141" i="25"/>
  <c r="G142" i="25"/>
  <c r="G143" i="25"/>
  <c r="G144" i="25"/>
  <c r="G145" i="25"/>
  <c r="G146" i="25"/>
  <c r="G147" i="25"/>
  <c r="G148" i="25"/>
  <c r="G149" i="25"/>
  <c r="G150" i="25"/>
  <c r="G151" i="25"/>
  <c r="G152" i="25"/>
  <c r="G153" i="25"/>
  <c r="G154" i="25"/>
  <c r="G155" i="25"/>
  <c r="G156" i="25"/>
  <c r="G157" i="25"/>
  <c r="G158" i="25"/>
  <c r="G159" i="25"/>
  <c r="G160" i="25"/>
  <c r="G161" i="25"/>
  <c r="G162" i="25"/>
  <c r="G163" i="25"/>
  <c r="G164" i="25"/>
  <c r="G165" i="25"/>
  <c r="H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J164" i="25" s="1"/>
  <c r="Y164" i="25" s="1"/>
  <c r="AA164" i="25" s="1"/>
  <c r="AB164" i="25" s="1"/>
  <c r="H165" i="25"/>
  <c r="I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7" i="25"/>
  <c r="I38" i="25"/>
  <c r="I39" i="25"/>
  <c r="I40" i="25"/>
  <c r="I41" i="25"/>
  <c r="I42" i="25"/>
  <c r="I43" i="25"/>
  <c r="I44" i="25"/>
  <c r="I45" i="25"/>
  <c r="I46" i="25"/>
  <c r="I47" i="25"/>
  <c r="I48" i="25"/>
  <c r="I49" i="25"/>
  <c r="I50" i="25"/>
  <c r="I51" i="25"/>
  <c r="I52" i="25"/>
  <c r="I53" i="25"/>
  <c r="I54" i="25"/>
  <c r="I55" i="25"/>
  <c r="I56" i="25"/>
  <c r="I57" i="25"/>
  <c r="I58" i="25"/>
  <c r="I59" i="25"/>
  <c r="I60" i="25"/>
  <c r="I61" i="25"/>
  <c r="I62" i="25"/>
  <c r="I63" i="25"/>
  <c r="I64" i="25"/>
  <c r="I65" i="25"/>
  <c r="I66" i="25"/>
  <c r="I67" i="25"/>
  <c r="I68" i="25"/>
  <c r="I69" i="25"/>
  <c r="I70" i="25"/>
  <c r="I71" i="25"/>
  <c r="I72" i="25"/>
  <c r="I73" i="25"/>
  <c r="I74" i="25"/>
  <c r="I75" i="25"/>
  <c r="I76" i="25"/>
  <c r="I77" i="25"/>
  <c r="I78" i="25"/>
  <c r="I79" i="25"/>
  <c r="I80" i="25"/>
  <c r="I81" i="25"/>
  <c r="I82" i="25"/>
  <c r="I83" i="25"/>
  <c r="I84" i="25"/>
  <c r="I85" i="25"/>
  <c r="I86" i="25"/>
  <c r="I87" i="25"/>
  <c r="I88" i="25"/>
  <c r="I89" i="25"/>
  <c r="I90" i="25"/>
  <c r="I91" i="25"/>
  <c r="I92" i="25"/>
  <c r="I93" i="25"/>
  <c r="I94" i="25"/>
  <c r="I95" i="25"/>
  <c r="I96" i="25"/>
  <c r="I97" i="25"/>
  <c r="I98" i="25"/>
  <c r="I99" i="25"/>
  <c r="I100" i="25"/>
  <c r="I101" i="25"/>
  <c r="I102" i="25"/>
  <c r="I103" i="25"/>
  <c r="I104" i="25"/>
  <c r="I105" i="25"/>
  <c r="I106" i="25"/>
  <c r="I107" i="25"/>
  <c r="I108" i="25"/>
  <c r="I109" i="25"/>
  <c r="I110" i="25"/>
  <c r="I111" i="25"/>
  <c r="I112" i="25"/>
  <c r="I113" i="25"/>
  <c r="I114" i="25"/>
  <c r="I115" i="25"/>
  <c r="I116" i="25"/>
  <c r="I117" i="25"/>
  <c r="I118" i="25"/>
  <c r="I119" i="25"/>
  <c r="I120" i="25"/>
  <c r="I121" i="25"/>
  <c r="I122" i="25"/>
  <c r="I123" i="25"/>
  <c r="I124" i="25"/>
  <c r="I125" i="25"/>
  <c r="I126" i="25"/>
  <c r="I127" i="25"/>
  <c r="I128" i="25"/>
  <c r="I129" i="25"/>
  <c r="I130" i="25"/>
  <c r="I131" i="25"/>
  <c r="I132" i="25"/>
  <c r="I133" i="25"/>
  <c r="I134" i="25"/>
  <c r="I135" i="25"/>
  <c r="I136" i="25"/>
  <c r="I137" i="25"/>
  <c r="I138" i="25"/>
  <c r="I139" i="25"/>
  <c r="I140" i="25"/>
  <c r="I141" i="25"/>
  <c r="I142" i="25"/>
  <c r="I143" i="25"/>
  <c r="I144" i="25"/>
  <c r="I145" i="25"/>
  <c r="I146" i="25"/>
  <c r="I147" i="25"/>
  <c r="I148" i="25"/>
  <c r="I149" i="25"/>
  <c r="I150" i="25"/>
  <c r="I151" i="25"/>
  <c r="I152" i="25"/>
  <c r="I153" i="25"/>
  <c r="I154" i="25"/>
  <c r="I155" i="25"/>
  <c r="I156" i="25"/>
  <c r="I157" i="25"/>
  <c r="I158" i="25"/>
  <c r="I159" i="25"/>
  <c r="I160" i="25"/>
  <c r="I161" i="25"/>
  <c r="I162" i="25"/>
  <c r="I163" i="25"/>
  <c r="I164" i="25"/>
  <c r="I165" i="25"/>
  <c r="J2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33" i="25"/>
  <c r="J34" i="25"/>
  <c r="J35" i="25"/>
  <c r="J36" i="25"/>
  <c r="J37" i="25"/>
  <c r="J38" i="25"/>
  <c r="J39" i="25"/>
  <c r="J40" i="25"/>
  <c r="J41" i="25"/>
  <c r="J42" i="25"/>
  <c r="J43" i="25"/>
  <c r="J44" i="25"/>
  <c r="J45" i="25"/>
  <c r="J46" i="25"/>
  <c r="J47" i="25"/>
  <c r="J48" i="25"/>
  <c r="J49" i="25"/>
  <c r="J50" i="25"/>
  <c r="J51" i="25"/>
  <c r="J52" i="25"/>
  <c r="J53" i="25"/>
  <c r="J54" i="25"/>
  <c r="J55" i="25"/>
  <c r="J56" i="25"/>
  <c r="J57" i="25"/>
  <c r="J58" i="25"/>
  <c r="J59" i="25"/>
  <c r="J60" i="25"/>
  <c r="J61" i="25"/>
  <c r="J62" i="25"/>
  <c r="J63" i="25"/>
  <c r="J64" i="25"/>
  <c r="J65" i="25"/>
  <c r="J66" i="25"/>
  <c r="J67" i="25"/>
  <c r="J68" i="25"/>
  <c r="J69" i="25"/>
  <c r="J70" i="25"/>
  <c r="J71" i="25"/>
  <c r="J72" i="25"/>
  <c r="J73" i="25"/>
  <c r="J74" i="25"/>
  <c r="J75" i="25"/>
  <c r="J76" i="25"/>
  <c r="J77" i="25"/>
  <c r="J78" i="25"/>
  <c r="J79" i="25"/>
  <c r="J80" i="25"/>
  <c r="J81" i="25"/>
  <c r="J82" i="25"/>
  <c r="J83" i="25"/>
  <c r="J84" i="25"/>
  <c r="J85" i="25"/>
  <c r="J86" i="25"/>
  <c r="J87" i="25"/>
  <c r="J88" i="25"/>
  <c r="J89" i="25"/>
  <c r="J90" i="25"/>
  <c r="J91" i="25"/>
  <c r="J92" i="25"/>
  <c r="J93" i="25"/>
  <c r="J94" i="25"/>
  <c r="J95" i="25"/>
  <c r="J96" i="25"/>
  <c r="J97" i="25"/>
  <c r="J98" i="25"/>
  <c r="J99" i="25"/>
  <c r="J100" i="25"/>
  <c r="J101" i="25"/>
  <c r="J102" i="25"/>
  <c r="J103" i="25"/>
  <c r="J104" i="25"/>
  <c r="J105" i="25"/>
  <c r="J106" i="25"/>
  <c r="J107" i="25"/>
  <c r="J108" i="25"/>
  <c r="J109" i="25"/>
  <c r="J110" i="25"/>
  <c r="J111" i="25"/>
  <c r="J112" i="25"/>
  <c r="J113" i="25"/>
  <c r="J114" i="25"/>
  <c r="J115" i="25"/>
  <c r="J116" i="25"/>
  <c r="J117" i="25"/>
  <c r="J118" i="25"/>
  <c r="J119" i="25"/>
  <c r="J120" i="25"/>
  <c r="J121" i="25"/>
  <c r="J122" i="25"/>
  <c r="J123" i="25"/>
  <c r="J124" i="25"/>
  <c r="J125" i="25"/>
  <c r="J126" i="25"/>
  <c r="J127" i="25"/>
  <c r="J128" i="25"/>
  <c r="J129" i="25"/>
  <c r="J130" i="25"/>
  <c r="J131" i="25"/>
  <c r="J132" i="25"/>
  <c r="J133" i="25"/>
  <c r="J134" i="25"/>
  <c r="J135" i="25"/>
  <c r="J136" i="25"/>
  <c r="J137" i="25"/>
  <c r="J138" i="25"/>
  <c r="J139" i="25"/>
  <c r="J140" i="25"/>
  <c r="J141" i="25"/>
  <c r="J142" i="25"/>
  <c r="J143" i="25"/>
  <c r="J144" i="25"/>
  <c r="J145" i="25"/>
  <c r="J146" i="25"/>
  <c r="J147" i="25"/>
  <c r="J148" i="25"/>
  <c r="J149" i="25"/>
  <c r="J150" i="25"/>
  <c r="J151" i="25"/>
  <c r="J152" i="25"/>
  <c r="J153" i="25"/>
  <c r="J154" i="25"/>
  <c r="J155" i="25"/>
  <c r="J156" i="25"/>
  <c r="J157" i="25"/>
  <c r="J158" i="25"/>
  <c r="J159" i="25"/>
  <c r="J160" i="25"/>
  <c r="J161" i="25"/>
  <c r="J162" i="25"/>
  <c r="J163" i="25"/>
  <c r="J165" i="25"/>
  <c r="K2" i="25"/>
  <c r="K3" i="25"/>
  <c r="K4" i="25"/>
  <c r="K5" i="25"/>
  <c r="G12" i="27" s="1"/>
  <c r="K6" i="25"/>
  <c r="K7" i="25"/>
  <c r="G11" i="27" s="1"/>
  <c r="K8" i="25"/>
  <c r="K9" i="25"/>
  <c r="K10" i="25"/>
  <c r="K11" i="25"/>
  <c r="K12" i="25"/>
  <c r="K13" i="25"/>
  <c r="K14" i="25"/>
  <c r="K15" i="25"/>
  <c r="K16" i="25"/>
  <c r="K17" i="25"/>
  <c r="K18" i="25"/>
  <c r="K19" i="25"/>
  <c r="K20" i="25"/>
  <c r="K21" i="25"/>
  <c r="K22" i="25"/>
  <c r="K23" i="25"/>
  <c r="K24" i="25"/>
  <c r="K25" i="25"/>
  <c r="K26" i="25"/>
  <c r="G3" i="27" s="1"/>
  <c r="K27" i="25"/>
  <c r="K28" i="25"/>
  <c r="K29" i="25"/>
  <c r="K30" i="25"/>
  <c r="K31" i="25"/>
  <c r="K32" i="25"/>
  <c r="K33" i="25"/>
  <c r="G4" i="27" s="1"/>
  <c r="K34" i="25"/>
  <c r="K35" i="25"/>
  <c r="K36" i="25"/>
  <c r="K37" i="25"/>
  <c r="K38" i="25"/>
  <c r="K39" i="25"/>
  <c r="K40" i="25"/>
  <c r="K41" i="25"/>
  <c r="K42" i="25"/>
  <c r="K43" i="25"/>
  <c r="G13" i="27" s="1"/>
  <c r="K44" i="25"/>
  <c r="K45" i="25"/>
  <c r="K46" i="25"/>
  <c r="K47" i="25"/>
  <c r="K48" i="25"/>
  <c r="K49" i="25"/>
  <c r="K50" i="25"/>
  <c r="K51" i="25"/>
  <c r="K52" i="25"/>
  <c r="K53" i="25"/>
  <c r="K54" i="25"/>
  <c r="G5" i="27" s="1"/>
  <c r="K55" i="25"/>
  <c r="K56" i="25"/>
  <c r="G15" i="27" s="1"/>
  <c r="K57" i="25"/>
  <c r="K58" i="25"/>
  <c r="K59" i="25"/>
  <c r="K60" i="25"/>
  <c r="K61" i="25"/>
  <c r="K62" i="25"/>
  <c r="K63" i="25"/>
  <c r="K64" i="25"/>
  <c r="K65" i="25"/>
  <c r="K66" i="25"/>
  <c r="G6" i="27" s="1"/>
  <c r="K67" i="25"/>
  <c r="K68" i="25"/>
  <c r="K69" i="25"/>
  <c r="K70" i="25"/>
  <c r="K71" i="25"/>
  <c r="K72" i="25"/>
  <c r="K73" i="25"/>
  <c r="K74" i="25"/>
  <c r="K75" i="25"/>
  <c r="K76" i="25"/>
  <c r="K77" i="25"/>
  <c r="G16" i="27" s="1"/>
  <c r="K78" i="25"/>
  <c r="G17" i="27" s="1"/>
  <c r="K79" i="25"/>
  <c r="K80" i="25"/>
  <c r="K81" i="25"/>
  <c r="K82" i="25"/>
  <c r="K83" i="25"/>
  <c r="G19" i="27" s="1"/>
  <c r="K84" i="25"/>
  <c r="K85" i="25"/>
  <c r="G20" i="27" s="1"/>
  <c r="K86" i="25"/>
  <c r="K87" i="25"/>
  <c r="G21" i="27" s="1"/>
  <c r="K88" i="25"/>
  <c r="K89" i="25"/>
  <c r="K90" i="25"/>
  <c r="K91" i="25"/>
  <c r="K92" i="25"/>
  <c r="K93" i="25"/>
  <c r="K94" i="25"/>
  <c r="K95" i="25"/>
  <c r="K96" i="25"/>
  <c r="G8" i="27" s="1"/>
  <c r="K97" i="25"/>
  <c r="K98" i="25"/>
  <c r="K99" i="25"/>
  <c r="K100" i="25"/>
  <c r="K101" i="25"/>
  <c r="K102" i="25"/>
  <c r="K103" i="25"/>
  <c r="K104" i="25"/>
  <c r="K105" i="25"/>
  <c r="K106" i="25"/>
  <c r="K107" i="25"/>
  <c r="K108" i="25"/>
  <c r="K109" i="25"/>
  <c r="K110" i="25"/>
  <c r="K111" i="25"/>
  <c r="K112" i="25"/>
  <c r="K113" i="25"/>
  <c r="K114" i="25"/>
  <c r="K115" i="25"/>
  <c r="K116" i="25"/>
  <c r="K117" i="25"/>
  <c r="K118" i="25"/>
  <c r="K119" i="25"/>
  <c r="K120" i="25"/>
  <c r="K121" i="25"/>
  <c r="K122" i="25"/>
  <c r="K123" i="25"/>
  <c r="K124" i="25"/>
  <c r="K125" i="25"/>
  <c r="K126" i="25"/>
  <c r="K127" i="25"/>
  <c r="K128" i="25"/>
  <c r="K129" i="25"/>
  <c r="K130" i="25"/>
  <c r="K131" i="25"/>
  <c r="K132" i="25"/>
  <c r="G9" i="27" s="1"/>
  <c r="K133" i="25"/>
  <c r="K134" i="25"/>
  <c r="K135" i="25"/>
  <c r="K136" i="25"/>
  <c r="K137" i="25"/>
  <c r="K138" i="25"/>
  <c r="K139" i="25"/>
  <c r="K140" i="25"/>
  <c r="K141" i="25"/>
  <c r="K142" i="25"/>
  <c r="K143" i="25"/>
  <c r="G22" i="27" s="1"/>
  <c r="K144" i="25"/>
  <c r="K145" i="25"/>
  <c r="K146" i="25"/>
  <c r="K147" i="25"/>
  <c r="K148" i="25"/>
  <c r="K149" i="25"/>
  <c r="K150" i="25"/>
  <c r="K151" i="25"/>
  <c r="K152" i="25"/>
  <c r="K153" i="25"/>
  <c r="K154" i="25"/>
  <c r="G10" i="27" s="1"/>
  <c r="K155" i="25"/>
  <c r="K156" i="25"/>
  <c r="K157" i="25"/>
  <c r="K158" i="25"/>
  <c r="K159" i="25"/>
  <c r="K160" i="25"/>
  <c r="K161" i="25"/>
  <c r="G24" i="27" s="1"/>
  <c r="K162" i="25"/>
  <c r="G25" i="27" s="1"/>
  <c r="K163" i="25"/>
  <c r="K164" i="25"/>
  <c r="G23" i="27" s="1"/>
  <c r="K165" i="25"/>
  <c r="L2" i="25"/>
  <c r="L3" i="25"/>
  <c r="Z3" i="25" s="1"/>
  <c r="L4" i="25"/>
  <c r="L5" i="25"/>
  <c r="L6" i="25"/>
  <c r="L7" i="25"/>
  <c r="Z7" i="25" s="1"/>
  <c r="L8" i="25"/>
  <c r="L9" i="25"/>
  <c r="L10" i="25"/>
  <c r="L11" i="25"/>
  <c r="Z11" i="25" s="1"/>
  <c r="L12" i="25"/>
  <c r="L13" i="25"/>
  <c r="L14" i="25"/>
  <c r="L15" i="25"/>
  <c r="Z15" i="25" s="1"/>
  <c r="L16" i="25"/>
  <c r="L17" i="25"/>
  <c r="L18" i="25"/>
  <c r="L19" i="25"/>
  <c r="Z19" i="25" s="1"/>
  <c r="L20" i="25"/>
  <c r="L21" i="25"/>
  <c r="L22" i="25"/>
  <c r="L23" i="25"/>
  <c r="Z23" i="25" s="1"/>
  <c r="L24" i="25"/>
  <c r="L25" i="25"/>
  <c r="L26" i="25"/>
  <c r="L27" i="25"/>
  <c r="Z27" i="25" s="1"/>
  <c r="L28" i="25"/>
  <c r="L29" i="25"/>
  <c r="L30" i="25"/>
  <c r="L31" i="25"/>
  <c r="Z31" i="25" s="1"/>
  <c r="L32" i="25"/>
  <c r="L33" i="25"/>
  <c r="L34" i="25"/>
  <c r="L35" i="25"/>
  <c r="Z35" i="25" s="1"/>
  <c r="L36" i="25"/>
  <c r="L37" i="25"/>
  <c r="L38" i="25"/>
  <c r="L39" i="25"/>
  <c r="Z39" i="25" s="1"/>
  <c r="L40" i="25"/>
  <c r="L41" i="25"/>
  <c r="L42" i="25"/>
  <c r="L43" i="25"/>
  <c r="Z43" i="25" s="1"/>
  <c r="L44" i="25"/>
  <c r="L45" i="25"/>
  <c r="L46" i="25"/>
  <c r="L47" i="25"/>
  <c r="Z47" i="25" s="1"/>
  <c r="L48" i="25"/>
  <c r="L49" i="25"/>
  <c r="L50" i="25"/>
  <c r="L51" i="25"/>
  <c r="Z51" i="25" s="1"/>
  <c r="L52" i="25"/>
  <c r="L53" i="25"/>
  <c r="F5" i="28" s="1"/>
  <c r="L54" i="25"/>
  <c r="L55" i="25"/>
  <c r="Z55" i="25" s="1"/>
  <c r="L56" i="25"/>
  <c r="L57" i="25"/>
  <c r="L58" i="25"/>
  <c r="L59" i="25"/>
  <c r="Z59" i="25" s="1"/>
  <c r="L60" i="25"/>
  <c r="L61" i="25"/>
  <c r="L62" i="25"/>
  <c r="L63" i="25"/>
  <c r="Z63" i="25" s="1"/>
  <c r="L64" i="25"/>
  <c r="L65" i="25"/>
  <c r="L66" i="25"/>
  <c r="L67" i="25"/>
  <c r="Z67" i="25" s="1"/>
  <c r="L68" i="25"/>
  <c r="L69" i="25"/>
  <c r="L70" i="25"/>
  <c r="L71" i="25"/>
  <c r="Z71" i="25" s="1"/>
  <c r="L72" i="25"/>
  <c r="F7" i="28" s="1"/>
  <c r="L73" i="25"/>
  <c r="F8" i="28" s="1"/>
  <c r="L74" i="25"/>
  <c r="L75" i="25"/>
  <c r="Z75" i="25" s="1"/>
  <c r="L76" i="25"/>
  <c r="Z76" i="25" s="1"/>
  <c r="L77" i="25"/>
  <c r="L78" i="25"/>
  <c r="L79" i="25"/>
  <c r="Z79" i="25" s="1"/>
  <c r="L80" i="25"/>
  <c r="L81" i="25"/>
  <c r="F9" i="28" s="1"/>
  <c r="L82" i="25"/>
  <c r="L83" i="25"/>
  <c r="Z83" i="25" s="1"/>
  <c r="L84" i="25"/>
  <c r="Z84" i="25" s="1"/>
  <c r="L85" i="25"/>
  <c r="L86" i="25"/>
  <c r="L87" i="25"/>
  <c r="Z87" i="25" s="1"/>
  <c r="L88" i="25"/>
  <c r="L89" i="25"/>
  <c r="L90" i="25"/>
  <c r="L91" i="25"/>
  <c r="Z91" i="25" s="1"/>
  <c r="L92" i="25"/>
  <c r="Z92" i="25" s="1"/>
  <c r="L93" i="25"/>
  <c r="L94" i="25"/>
  <c r="L95" i="25"/>
  <c r="Z95" i="25" s="1"/>
  <c r="L96" i="25"/>
  <c r="L97" i="25"/>
  <c r="L98" i="25"/>
  <c r="L99" i="25"/>
  <c r="Z99" i="25" s="1"/>
  <c r="L100" i="25"/>
  <c r="Z100" i="25" s="1"/>
  <c r="L101" i="25"/>
  <c r="L102" i="25"/>
  <c r="L103" i="25"/>
  <c r="Z103" i="25" s="1"/>
  <c r="L104" i="25"/>
  <c r="L105" i="25"/>
  <c r="L106" i="25"/>
  <c r="L107" i="25"/>
  <c r="Z107" i="25" s="1"/>
  <c r="L108" i="25"/>
  <c r="F17" i="28" s="1"/>
  <c r="L109" i="25"/>
  <c r="L110" i="25"/>
  <c r="L111" i="25"/>
  <c r="Z111" i="25" s="1"/>
  <c r="L112" i="25"/>
  <c r="L113" i="25"/>
  <c r="L114" i="25"/>
  <c r="L115" i="25"/>
  <c r="Z115" i="25" s="1"/>
  <c r="L116" i="25"/>
  <c r="Z116" i="25" s="1"/>
  <c r="L117" i="25"/>
  <c r="L118" i="25"/>
  <c r="L119" i="25"/>
  <c r="Z119" i="25" s="1"/>
  <c r="L120" i="25"/>
  <c r="L121" i="25"/>
  <c r="L122" i="25"/>
  <c r="L123" i="25"/>
  <c r="Z123" i="25" s="1"/>
  <c r="L124" i="25"/>
  <c r="Z124" i="25" s="1"/>
  <c r="L125" i="25"/>
  <c r="L126" i="25"/>
  <c r="L127" i="25"/>
  <c r="Z127" i="25" s="1"/>
  <c r="L128" i="25"/>
  <c r="L129" i="25"/>
  <c r="L130" i="25"/>
  <c r="F20" i="28" s="1"/>
  <c r="L131" i="25"/>
  <c r="Z131" i="25" s="1"/>
  <c r="L132" i="25"/>
  <c r="Z132" i="25" s="1"/>
  <c r="L133" i="25"/>
  <c r="L134" i="25"/>
  <c r="L135" i="25"/>
  <c r="Z135" i="25" s="1"/>
  <c r="L136" i="25"/>
  <c r="L137" i="25"/>
  <c r="L138" i="25"/>
  <c r="F21" i="28" s="1"/>
  <c r="L139" i="25"/>
  <c r="Z139" i="25" s="1"/>
  <c r="L140" i="25"/>
  <c r="Z140" i="25" s="1"/>
  <c r="L141" i="25"/>
  <c r="F22" i="28" s="1"/>
  <c r="L142" i="25"/>
  <c r="L143" i="25"/>
  <c r="Z143" i="25" s="1"/>
  <c r="L144" i="25"/>
  <c r="L145" i="25"/>
  <c r="L146" i="25"/>
  <c r="L147" i="25"/>
  <c r="Z147" i="25" s="1"/>
  <c r="L148" i="25"/>
  <c r="F25" i="28" s="1"/>
  <c r="L149" i="25"/>
  <c r="L150" i="25"/>
  <c r="L151" i="25"/>
  <c r="Z151" i="25" s="1"/>
  <c r="L152" i="25"/>
  <c r="L153" i="25"/>
  <c r="L154" i="25"/>
  <c r="L155" i="25"/>
  <c r="Z155" i="25" s="1"/>
  <c r="L156" i="25"/>
  <c r="Z156" i="25" s="1"/>
  <c r="L157" i="25"/>
  <c r="L158" i="25"/>
  <c r="L159" i="25"/>
  <c r="Z159" i="25" s="1"/>
  <c r="L160" i="25"/>
  <c r="L161" i="25"/>
  <c r="L162" i="25"/>
  <c r="L163" i="25"/>
  <c r="Z163" i="25" s="1"/>
  <c r="L164" i="25"/>
  <c r="Z164" i="25" s="1"/>
  <c r="L165" i="25"/>
  <c r="M2" i="25"/>
  <c r="M3" i="25"/>
  <c r="M4" i="25"/>
  <c r="M5" i="25"/>
  <c r="M6" i="25"/>
  <c r="M7" i="25"/>
  <c r="M8" i="25"/>
  <c r="M9" i="25"/>
  <c r="M10" i="25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1" i="25"/>
  <c r="M42" i="25"/>
  <c r="M43" i="25"/>
  <c r="M44" i="25"/>
  <c r="M45" i="25"/>
  <c r="M46" i="25"/>
  <c r="M47" i="25"/>
  <c r="M48" i="25"/>
  <c r="M49" i="25"/>
  <c r="M50" i="25"/>
  <c r="M51" i="25"/>
  <c r="M52" i="25"/>
  <c r="M53" i="25"/>
  <c r="M54" i="25"/>
  <c r="M55" i="25"/>
  <c r="M56" i="25"/>
  <c r="M57" i="25"/>
  <c r="M58" i="25"/>
  <c r="M59" i="25"/>
  <c r="M60" i="25"/>
  <c r="M61" i="25"/>
  <c r="M62" i="25"/>
  <c r="M63" i="25"/>
  <c r="M64" i="25"/>
  <c r="M65" i="25"/>
  <c r="M66" i="25"/>
  <c r="M67" i="25"/>
  <c r="M68" i="25"/>
  <c r="M69" i="25"/>
  <c r="M70" i="25"/>
  <c r="M71" i="25"/>
  <c r="M72" i="25"/>
  <c r="M73" i="25"/>
  <c r="M74" i="25"/>
  <c r="M75" i="25"/>
  <c r="M76" i="25"/>
  <c r="M77" i="25"/>
  <c r="M78" i="25"/>
  <c r="M79" i="25"/>
  <c r="M80" i="25"/>
  <c r="M81" i="25"/>
  <c r="M82" i="25"/>
  <c r="M83" i="25"/>
  <c r="M84" i="25"/>
  <c r="M85" i="25"/>
  <c r="M86" i="25"/>
  <c r="M87" i="25"/>
  <c r="M88" i="25"/>
  <c r="M89" i="25"/>
  <c r="M90" i="25"/>
  <c r="M91" i="25"/>
  <c r="M92" i="25"/>
  <c r="M93" i="25"/>
  <c r="M94" i="25"/>
  <c r="M95" i="25"/>
  <c r="M96" i="25"/>
  <c r="M97" i="25"/>
  <c r="M98" i="25"/>
  <c r="M99" i="25"/>
  <c r="M100" i="25"/>
  <c r="M101" i="25"/>
  <c r="M102" i="25"/>
  <c r="M103" i="25"/>
  <c r="M104" i="25"/>
  <c r="M105" i="25"/>
  <c r="M106" i="25"/>
  <c r="M107" i="25"/>
  <c r="M108" i="25"/>
  <c r="M109" i="25"/>
  <c r="M110" i="25"/>
  <c r="M111" i="25"/>
  <c r="M112" i="25"/>
  <c r="M113" i="25"/>
  <c r="M114" i="25"/>
  <c r="M115" i="25"/>
  <c r="M116" i="25"/>
  <c r="M117" i="25"/>
  <c r="M118" i="25"/>
  <c r="M119" i="25"/>
  <c r="M120" i="25"/>
  <c r="M121" i="25"/>
  <c r="M122" i="25"/>
  <c r="M123" i="25"/>
  <c r="M124" i="25"/>
  <c r="M125" i="25"/>
  <c r="M126" i="25"/>
  <c r="M127" i="25"/>
  <c r="M128" i="25"/>
  <c r="M129" i="25"/>
  <c r="M130" i="25"/>
  <c r="M131" i="25"/>
  <c r="M132" i="25"/>
  <c r="M133" i="25"/>
  <c r="M134" i="25"/>
  <c r="M135" i="25"/>
  <c r="M136" i="25"/>
  <c r="M137" i="25"/>
  <c r="M138" i="25"/>
  <c r="M139" i="25"/>
  <c r="M140" i="25"/>
  <c r="M141" i="25"/>
  <c r="M142" i="25"/>
  <c r="M143" i="25"/>
  <c r="M144" i="25"/>
  <c r="M145" i="25"/>
  <c r="M146" i="25"/>
  <c r="M147" i="25"/>
  <c r="M148" i="25"/>
  <c r="M149" i="25"/>
  <c r="M150" i="25"/>
  <c r="M151" i="25"/>
  <c r="M152" i="25"/>
  <c r="M153" i="25"/>
  <c r="M154" i="25"/>
  <c r="M155" i="25"/>
  <c r="M156" i="25"/>
  <c r="M157" i="25"/>
  <c r="M158" i="25"/>
  <c r="M159" i="25"/>
  <c r="M160" i="25"/>
  <c r="M161" i="25"/>
  <c r="M162" i="25"/>
  <c r="M163" i="25"/>
  <c r="M164" i="25"/>
  <c r="M165" i="25"/>
  <c r="N2" i="25"/>
  <c r="N3" i="25"/>
  <c r="N4" i="25"/>
  <c r="N5" i="25"/>
  <c r="N6" i="25"/>
  <c r="N7" i="25"/>
  <c r="N8" i="25"/>
  <c r="N9" i="25"/>
  <c r="N10" i="25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6" i="25"/>
  <c r="N37" i="25"/>
  <c r="N38" i="25"/>
  <c r="N39" i="25"/>
  <c r="N40" i="25"/>
  <c r="N41" i="25"/>
  <c r="N42" i="25"/>
  <c r="N43" i="25"/>
  <c r="N44" i="25"/>
  <c r="N45" i="25"/>
  <c r="N46" i="25"/>
  <c r="N47" i="25"/>
  <c r="N48" i="25"/>
  <c r="N49" i="25"/>
  <c r="N50" i="25"/>
  <c r="N51" i="25"/>
  <c r="N52" i="25"/>
  <c r="N53" i="25"/>
  <c r="N54" i="25"/>
  <c r="N55" i="25"/>
  <c r="N56" i="25"/>
  <c r="N57" i="25"/>
  <c r="N58" i="25"/>
  <c r="N59" i="25"/>
  <c r="N60" i="25"/>
  <c r="N61" i="25"/>
  <c r="N62" i="25"/>
  <c r="N63" i="25"/>
  <c r="N64" i="25"/>
  <c r="N65" i="25"/>
  <c r="N66" i="25"/>
  <c r="N67" i="25"/>
  <c r="N68" i="25"/>
  <c r="N69" i="25"/>
  <c r="N70" i="25"/>
  <c r="N71" i="25"/>
  <c r="N72" i="25"/>
  <c r="N73" i="25"/>
  <c r="N74" i="25"/>
  <c r="N75" i="25"/>
  <c r="N76" i="25"/>
  <c r="N77" i="25"/>
  <c r="N78" i="25"/>
  <c r="N79" i="25"/>
  <c r="N80" i="25"/>
  <c r="N81" i="25"/>
  <c r="N82" i="25"/>
  <c r="N83" i="25"/>
  <c r="N84" i="25"/>
  <c r="N85" i="25"/>
  <c r="N86" i="25"/>
  <c r="N87" i="25"/>
  <c r="N88" i="25"/>
  <c r="N89" i="25"/>
  <c r="N90" i="25"/>
  <c r="N91" i="25"/>
  <c r="N92" i="25"/>
  <c r="N93" i="25"/>
  <c r="N94" i="25"/>
  <c r="N95" i="25"/>
  <c r="N96" i="25"/>
  <c r="N97" i="25"/>
  <c r="N98" i="25"/>
  <c r="N99" i="25"/>
  <c r="N100" i="25"/>
  <c r="N101" i="25"/>
  <c r="N102" i="25"/>
  <c r="N103" i="25"/>
  <c r="N104" i="25"/>
  <c r="N105" i="25"/>
  <c r="N106" i="25"/>
  <c r="N107" i="25"/>
  <c r="N108" i="25"/>
  <c r="N109" i="25"/>
  <c r="N110" i="25"/>
  <c r="N111" i="25"/>
  <c r="N112" i="25"/>
  <c r="N113" i="25"/>
  <c r="N114" i="25"/>
  <c r="N115" i="25"/>
  <c r="N116" i="25"/>
  <c r="N117" i="25"/>
  <c r="N118" i="25"/>
  <c r="N119" i="25"/>
  <c r="N120" i="25"/>
  <c r="N121" i="25"/>
  <c r="N122" i="25"/>
  <c r="N123" i="25"/>
  <c r="N124" i="25"/>
  <c r="N125" i="25"/>
  <c r="N126" i="25"/>
  <c r="N127" i="25"/>
  <c r="N128" i="25"/>
  <c r="N129" i="25"/>
  <c r="N130" i="25"/>
  <c r="N131" i="25"/>
  <c r="N132" i="25"/>
  <c r="N133" i="25"/>
  <c r="N134" i="25"/>
  <c r="N135" i="25"/>
  <c r="N136" i="25"/>
  <c r="N137" i="25"/>
  <c r="N138" i="25"/>
  <c r="N139" i="25"/>
  <c r="N140" i="25"/>
  <c r="N141" i="25"/>
  <c r="N142" i="25"/>
  <c r="N143" i="25"/>
  <c r="N144" i="25"/>
  <c r="N145" i="25"/>
  <c r="N146" i="25"/>
  <c r="N147" i="25"/>
  <c r="N148" i="25"/>
  <c r="N149" i="25"/>
  <c r="N150" i="25"/>
  <c r="N151" i="25"/>
  <c r="N152" i="25"/>
  <c r="N153" i="25"/>
  <c r="N154" i="25"/>
  <c r="N155" i="25"/>
  <c r="N156" i="25"/>
  <c r="N157" i="25"/>
  <c r="N158" i="25"/>
  <c r="N159" i="25"/>
  <c r="N160" i="25"/>
  <c r="N161" i="25"/>
  <c r="N162" i="25"/>
  <c r="N163" i="25"/>
  <c r="N164" i="25"/>
  <c r="N165" i="25"/>
  <c r="O2" i="25"/>
  <c r="O3" i="25"/>
  <c r="O4" i="25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O101" i="25"/>
  <c r="O102" i="25"/>
  <c r="O103" i="25"/>
  <c r="O104" i="25"/>
  <c r="O105" i="25"/>
  <c r="O106" i="25"/>
  <c r="O107" i="25"/>
  <c r="O108" i="25"/>
  <c r="O109" i="25"/>
  <c r="O110" i="25"/>
  <c r="O111" i="25"/>
  <c r="O112" i="25"/>
  <c r="O113" i="25"/>
  <c r="O114" i="25"/>
  <c r="O115" i="25"/>
  <c r="O116" i="25"/>
  <c r="O117" i="25"/>
  <c r="O118" i="25"/>
  <c r="O119" i="25"/>
  <c r="O120" i="25"/>
  <c r="O121" i="25"/>
  <c r="O122" i="25"/>
  <c r="O123" i="25"/>
  <c r="O124" i="25"/>
  <c r="O125" i="25"/>
  <c r="O126" i="25"/>
  <c r="O127" i="25"/>
  <c r="O128" i="25"/>
  <c r="O129" i="25"/>
  <c r="O130" i="25"/>
  <c r="O131" i="25"/>
  <c r="O132" i="25"/>
  <c r="O133" i="25"/>
  <c r="O134" i="25"/>
  <c r="O135" i="25"/>
  <c r="O136" i="25"/>
  <c r="O137" i="25"/>
  <c r="O138" i="25"/>
  <c r="O139" i="25"/>
  <c r="O140" i="25"/>
  <c r="O141" i="25"/>
  <c r="O142" i="25"/>
  <c r="O143" i="25"/>
  <c r="O144" i="25"/>
  <c r="O145" i="25"/>
  <c r="O146" i="25"/>
  <c r="O147" i="25"/>
  <c r="O148" i="25"/>
  <c r="O149" i="25"/>
  <c r="O150" i="25"/>
  <c r="O151" i="25"/>
  <c r="O152" i="25"/>
  <c r="O153" i="25"/>
  <c r="O154" i="25"/>
  <c r="O155" i="25"/>
  <c r="O156" i="25"/>
  <c r="O157" i="25"/>
  <c r="O158" i="25"/>
  <c r="O159" i="25"/>
  <c r="O160" i="25"/>
  <c r="O161" i="25"/>
  <c r="O162" i="25"/>
  <c r="O163" i="25"/>
  <c r="O164" i="25"/>
  <c r="O165" i="25"/>
  <c r="P2" i="25"/>
  <c r="P3" i="25"/>
  <c r="P4" i="25"/>
  <c r="P5" i="25"/>
  <c r="P6" i="25"/>
  <c r="P7" i="25"/>
  <c r="P8" i="25"/>
  <c r="P9" i="25"/>
  <c r="P10" i="25"/>
  <c r="P11" i="25"/>
  <c r="P12" i="25"/>
  <c r="P13" i="25"/>
  <c r="P14" i="25"/>
  <c r="P15" i="25"/>
  <c r="P16" i="25"/>
  <c r="P17" i="25"/>
  <c r="P18" i="25"/>
  <c r="P19" i="25"/>
  <c r="P20" i="25"/>
  <c r="P21" i="25"/>
  <c r="P22" i="25"/>
  <c r="P23" i="25"/>
  <c r="P24" i="25"/>
  <c r="P25" i="25"/>
  <c r="P26" i="25"/>
  <c r="P27" i="25"/>
  <c r="P28" i="25"/>
  <c r="P29" i="25"/>
  <c r="P30" i="25"/>
  <c r="P31" i="25"/>
  <c r="P32" i="25"/>
  <c r="P33" i="25"/>
  <c r="P34" i="25"/>
  <c r="P35" i="25"/>
  <c r="P36" i="25"/>
  <c r="P37" i="25"/>
  <c r="P38" i="25"/>
  <c r="P39" i="25"/>
  <c r="P40" i="25"/>
  <c r="P41" i="25"/>
  <c r="P42" i="25"/>
  <c r="P43" i="25"/>
  <c r="P44" i="25"/>
  <c r="P45" i="25"/>
  <c r="P46" i="25"/>
  <c r="P47" i="25"/>
  <c r="P48" i="25"/>
  <c r="P49" i="25"/>
  <c r="P50" i="25"/>
  <c r="P51" i="25"/>
  <c r="P52" i="25"/>
  <c r="P53" i="25"/>
  <c r="P54" i="25"/>
  <c r="P55" i="25"/>
  <c r="P56" i="25"/>
  <c r="P57" i="25"/>
  <c r="P58" i="25"/>
  <c r="P59" i="25"/>
  <c r="P60" i="25"/>
  <c r="P61" i="25"/>
  <c r="P62" i="25"/>
  <c r="P63" i="25"/>
  <c r="P64" i="25"/>
  <c r="P65" i="25"/>
  <c r="P66" i="25"/>
  <c r="P67" i="25"/>
  <c r="P68" i="25"/>
  <c r="P69" i="25"/>
  <c r="P70" i="25"/>
  <c r="P71" i="25"/>
  <c r="P72" i="25"/>
  <c r="P73" i="25"/>
  <c r="P74" i="25"/>
  <c r="P75" i="25"/>
  <c r="P76" i="25"/>
  <c r="P77" i="25"/>
  <c r="P78" i="25"/>
  <c r="P79" i="25"/>
  <c r="P80" i="25"/>
  <c r="P81" i="25"/>
  <c r="P82" i="25"/>
  <c r="P83" i="25"/>
  <c r="P84" i="25"/>
  <c r="P85" i="25"/>
  <c r="P86" i="25"/>
  <c r="P87" i="25"/>
  <c r="P88" i="25"/>
  <c r="P89" i="25"/>
  <c r="P90" i="25"/>
  <c r="P91" i="25"/>
  <c r="P92" i="25"/>
  <c r="P93" i="25"/>
  <c r="P94" i="25"/>
  <c r="P95" i="25"/>
  <c r="P96" i="25"/>
  <c r="P97" i="25"/>
  <c r="P98" i="25"/>
  <c r="P99" i="25"/>
  <c r="P100" i="25"/>
  <c r="P101" i="25"/>
  <c r="P102" i="25"/>
  <c r="P103" i="25"/>
  <c r="P104" i="25"/>
  <c r="P105" i="25"/>
  <c r="P106" i="25"/>
  <c r="P107" i="25"/>
  <c r="P108" i="25"/>
  <c r="P109" i="25"/>
  <c r="P110" i="25"/>
  <c r="P111" i="25"/>
  <c r="P112" i="25"/>
  <c r="P113" i="25"/>
  <c r="P114" i="25"/>
  <c r="P115" i="25"/>
  <c r="P116" i="25"/>
  <c r="P117" i="25"/>
  <c r="P118" i="25"/>
  <c r="P119" i="25"/>
  <c r="P120" i="25"/>
  <c r="P121" i="25"/>
  <c r="P122" i="25"/>
  <c r="P123" i="25"/>
  <c r="P124" i="25"/>
  <c r="P125" i="25"/>
  <c r="P126" i="25"/>
  <c r="P127" i="25"/>
  <c r="P128" i="25"/>
  <c r="P129" i="25"/>
  <c r="P130" i="25"/>
  <c r="P131" i="25"/>
  <c r="P132" i="25"/>
  <c r="P133" i="25"/>
  <c r="P134" i="25"/>
  <c r="P135" i="25"/>
  <c r="P136" i="25"/>
  <c r="P137" i="25"/>
  <c r="P138" i="25"/>
  <c r="P139" i="25"/>
  <c r="P140" i="25"/>
  <c r="P141" i="25"/>
  <c r="P142" i="25"/>
  <c r="P143" i="25"/>
  <c r="P144" i="25"/>
  <c r="P145" i="25"/>
  <c r="P146" i="25"/>
  <c r="P147" i="25"/>
  <c r="P148" i="25"/>
  <c r="P149" i="25"/>
  <c r="P150" i="25"/>
  <c r="P151" i="25"/>
  <c r="P152" i="25"/>
  <c r="P153" i="25"/>
  <c r="P154" i="25"/>
  <c r="P155" i="25"/>
  <c r="P156" i="25"/>
  <c r="P157" i="25"/>
  <c r="P158" i="25"/>
  <c r="P159" i="25"/>
  <c r="P160" i="25"/>
  <c r="P161" i="25"/>
  <c r="P162" i="25"/>
  <c r="P163" i="25"/>
  <c r="P164" i="25"/>
  <c r="P165" i="25"/>
  <c r="Q2" i="25"/>
  <c r="Q3" i="25"/>
  <c r="Q4" i="25"/>
  <c r="Q5" i="25"/>
  <c r="Q6" i="25"/>
  <c r="Q7" i="25"/>
  <c r="Q8" i="25"/>
  <c r="Q9" i="25"/>
  <c r="Q10" i="25"/>
  <c r="Q11" i="25"/>
  <c r="Q12" i="25"/>
  <c r="Q13" i="25"/>
  <c r="Q14" i="25"/>
  <c r="Q15" i="25"/>
  <c r="Q16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Q33" i="25"/>
  <c r="Q34" i="25"/>
  <c r="Q35" i="25"/>
  <c r="Q36" i="25"/>
  <c r="Q37" i="25"/>
  <c r="Q38" i="25"/>
  <c r="Q39" i="25"/>
  <c r="Q40" i="25"/>
  <c r="Q41" i="25"/>
  <c r="Q42" i="25"/>
  <c r="Q43" i="25"/>
  <c r="Q44" i="25"/>
  <c r="Q45" i="25"/>
  <c r="Q46" i="25"/>
  <c r="Q47" i="25"/>
  <c r="Q48" i="25"/>
  <c r="Q49" i="25"/>
  <c r="Q50" i="25"/>
  <c r="Q51" i="25"/>
  <c r="Q52" i="25"/>
  <c r="Q53" i="25"/>
  <c r="Q54" i="25"/>
  <c r="Q55" i="25"/>
  <c r="Q56" i="25"/>
  <c r="Q57" i="25"/>
  <c r="Q58" i="25"/>
  <c r="Q59" i="25"/>
  <c r="Q60" i="25"/>
  <c r="Q61" i="25"/>
  <c r="Q62" i="25"/>
  <c r="Q63" i="25"/>
  <c r="Q64" i="25"/>
  <c r="Q65" i="25"/>
  <c r="Q66" i="25"/>
  <c r="Q67" i="25"/>
  <c r="Q68" i="25"/>
  <c r="Q69" i="25"/>
  <c r="Q70" i="25"/>
  <c r="Q71" i="25"/>
  <c r="Q72" i="25"/>
  <c r="Q73" i="25"/>
  <c r="Q74" i="25"/>
  <c r="Q75" i="25"/>
  <c r="Q76" i="25"/>
  <c r="Q77" i="25"/>
  <c r="Q78" i="25"/>
  <c r="Q79" i="25"/>
  <c r="Q80" i="25"/>
  <c r="Q81" i="25"/>
  <c r="Q82" i="25"/>
  <c r="Q83" i="25"/>
  <c r="Q84" i="25"/>
  <c r="Q85" i="25"/>
  <c r="Q86" i="25"/>
  <c r="Q87" i="25"/>
  <c r="Q88" i="25"/>
  <c r="Q89" i="25"/>
  <c r="Q90" i="25"/>
  <c r="Q91" i="25"/>
  <c r="Q92" i="25"/>
  <c r="Q93" i="25"/>
  <c r="Q94" i="25"/>
  <c r="Q95" i="25"/>
  <c r="Q96" i="25"/>
  <c r="Q97" i="25"/>
  <c r="Q98" i="25"/>
  <c r="Q99" i="25"/>
  <c r="Q100" i="25"/>
  <c r="Q101" i="25"/>
  <c r="Q102" i="25"/>
  <c r="Q103" i="25"/>
  <c r="Q104" i="25"/>
  <c r="Q105" i="25"/>
  <c r="Q106" i="25"/>
  <c r="Q107" i="25"/>
  <c r="Q108" i="25"/>
  <c r="Q109" i="25"/>
  <c r="Q110" i="25"/>
  <c r="Q111" i="25"/>
  <c r="Q112" i="25"/>
  <c r="Q113" i="25"/>
  <c r="Q114" i="25"/>
  <c r="Q115" i="25"/>
  <c r="Q116" i="25"/>
  <c r="Q117" i="25"/>
  <c r="Q118" i="25"/>
  <c r="Q119" i="25"/>
  <c r="Q120" i="25"/>
  <c r="Q121" i="25"/>
  <c r="Q122" i="25"/>
  <c r="Q123" i="25"/>
  <c r="Q124" i="25"/>
  <c r="Q125" i="25"/>
  <c r="Q126" i="25"/>
  <c r="Q127" i="25"/>
  <c r="Q128" i="25"/>
  <c r="Q129" i="25"/>
  <c r="Q130" i="25"/>
  <c r="Q131" i="25"/>
  <c r="Q132" i="25"/>
  <c r="Q133" i="25"/>
  <c r="Q134" i="25"/>
  <c r="Q135" i="25"/>
  <c r="Q136" i="25"/>
  <c r="Q137" i="25"/>
  <c r="Q138" i="25"/>
  <c r="Q139" i="25"/>
  <c r="Q140" i="25"/>
  <c r="Q141" i="25"/>
  <c r="Q142" i="25"/>
  <c r="Q143" i="25"/>
  <c r="Q144" i="25"/>
  <c r="Q145" i="25"/>
  <c r="Q146" i="25"/>
  <c r="Q147" i="25"/>
  <c r="Q148" i="25"/>
  <c r="Q149" i="25"/>
  <c r="Q150" i="25"/>
  <c r="Q151" i="25"/>
  <c r="Q152" i="25"/>
  <c r="Q153" i="25"/>
  <c r="Q154" i="25"/>
  <c r="Q155" i="25"/>
  <c r="Q156" i="25"/>
  <c r="Q157" i="25"/>
  <c r="Q158" i="25"/>
  <c r="Q159" i="25"/>
  <c r="Q160" i="25"/>
  <c r="Q161" i="25"/>
  <c r="Q162" i="25"/>
  <c r="Q163" i="25"/>
  <c r="Q164" i="25"/>
  <c r="Q165" i="25"/>
  <c r="R2" i="25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33" i="25"/>
  <c r="R34" i="25"/>
  <c r="R35" i="25"/>
  <c r="R36" i="25"/>
  <c r="R37" i="25"/>
  <c r="R38" i="25"/>
  <c r="R39" i="25"/>
  <c r="R40" i="25"/>
  <c r="R41" i="25"/>
  <c r="R42" i="25"/>
  <c r="R43" i="25"/>
  <c r="R44" i="25"/>
  <c r="R45" i="25"/>
  <c r="R46" i="25"/>
  <c r="R47" i="25"/>
  <c r="R48" i="25"/>
  <c r="R49" i="25"/>
  <c r="R50" i="25"/>
  <c r="R51" i="25"/>
  <c r="R52" i="25"/>
  <c r="R53" i="25"/>
  <c r="R54" i="25"/>
  <c r="R55" i="25"/>
  <c r="R56" i="25"/>
  <c r="R57" i="25"/>
  <c r="R58" i="25"/>
  <c r="R59" i="25"/>
  <c r="R60" i="25"/>
  <c r="R61" i="25"/>
  <c r="R62" i="25"/>
  <c r="R63" i="25"/>
  <c r="R64" i="25"/>
  <c r="R65" i="25"/>
  <c r="R66" i="25"/>
  <c r="R67" i="25"/>
  <c r="R68" i="25"/>
  <c r="R69" i="25"/>
  <c r="R70" i="25"/>
  <c r="R71" i="25"/>
  <c r="R72" i="25"/>
  <c r="R73" i="25"/>
  <c r="R74" i="25"/>
  <c r="R75" i="25"/>
  <c r="R76" i="25"/>
  <c r="R77" i="25"/>
  <c r="R78" i="25"/>
  <c r="R79" i="25"/>
  <c r="R80" i="25"/>
  <c r="R81" i="25"/>
  <c r="R82" i="25"/>
  <c r="R83" i="25"/>
  <c r="R84" i="25"/>
  <c r="R85" i="25"/>
  <c r="R86" i="25"/>
  <c r="R87" i="25"/>
  <c r="R88" i="25"/>
  <c r="R89" i="25"/>
  <c r="R90" i="25"/>
  <c r="R91" i="25"/>
  <c r="R92" i="25"/>
  <c r="R93" i="25"/>
  <c r="R94" i="25"/>
  <c r="R95" i="25"/>
  <c r="R96" i="25"/>
  <c r="R97" i="25"/>
  <c r="R98" i="25"/>
  <c r="R99" i="25"/>
  <c r="R100" i="25"/>
  <c r="R101" i="25"/>
  <c r="R102" i="25"/>
  <c r="R103" i="25"/>
  <c r="R104" i="25"/>
  <c r="R105" i="25"/>
  <c r="R106" i="25"/>
  <c r="R107" i="25"/>
  <c r="R108" i="25"/>
  <c r="R109" i="25"/>
  <c r="R110" i="25"/>
  <c r="R111" i="25"/>
  <c r="R112" i="25"/>
  <c r="R113" i="25"/>
  <c r="R114" i="25"/>
  <c r="R115" i="25"/>
  <c r="R116" i="25"/>
  <c r="R117" i="25"/>
  <c r="R118" i="25"/>
  <c r="R119" i="25"/>
  <c r="R120" i="25"/>
  <c r="R121" i="25"/>
  <c r="R122" i="25"/>
  <c r="R123" i="25"/>
  <c r="R124" i="25"/>
  <c r="R125" i="25"/>
  <c r="R126" i="25"/>
  <c r="R127" i="25"/>
  <c r="R128" i="25"/>
  <c r="R129" i="25"/>
  <c r="R130" i="25"/>
  <c r="R131" i="25"/>
  <c r="R132" i="25"/>
  <c r="R133" i="25"/>
  <c r="R134" i="25"/>
  <c r="R135" i="25"/>
  <c r="R136" i="25"/>
  <c r="R137" i="25"/>
  <c r="R138" i="25"/>
  <c r="R139" i="25"/>
  <c r="R140" i="25"/>
  <c r="R141" i="25"/>
  <c r="R142" i="25"/>
  <c r="R143" i="25"/>
  <c r="R144" i="25"/>
  <c r="R145" i="25"/>
  <c r="R146" i="25"/>
  <c r="R147" i="25"/>
  <c r="R148" i="25"/>
  <c r="R149" i="25"/>
  <c r="R150" i="25"/>
  <c r="R151" i="25"/>
  <c r="R152" i="25"/>
  <c r="R153" i="25"/>
  <c r="R154" i="25"/>
  <c r="R155" i="25"/>
  <c r="R156" i="25"/>
  <c r="R157" i="25"/>
  <c r="R158" i="25"/>
  <c r="R159" i="25"/>
  <c r="R160" i="25"/>
  <c r="R161" i="25"/>
  <c r="R162" i="25"/>
  <c r="R163" i="25"/>
  <c r="R164" i="25"/>
  <c r="R165" i="25"/>
  <c r="S2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S33" i="25"/>
  <c r="S34" i="25"/>
  <c r="S35" i="25"/>
  <c r="S36" i="25"/>
  <c r="S37" i="25"/>
  <c r="S38" i="25"/>
  <c r="S39" i="25"/>
  <c r="S40" i="25"/>
  <c r="S41" i="25"/>
  <c r="S42" i="25"/>
  <c r="S43" i="25"/>
  <c r="S44" i="25"/>
  <c r="S45" i="25"/>
  <c r="S46" i="25"/>
  <c r="S47" i="25"/>
  <c r="S48" i="25"/>
  <c r="S49" i="25"/>
  <c r="S50" i="25"/>
  <c r="S51" i="25"/>
  <c r="S52" i="25"/>
  <c r="S53" i="25"/>
  <c r="S54" i="25"/>
  <c r="S55" i="25"/>
  <c r="S56" i="25"/>
  <c r="S57" i="25"/>
  <c r="S58" i="25"/>
  <c r="S59" i="25"/>
  <c r="S60" i="25"/>
  <c r="S61" i="25"/>
  <c r="S62" i="25"/>
  <c r="S63" i="25"/>
  <c r="S64" i="25"/>
  <c r="S65" i="25"/>
  <c r="S66" i="25"/>
  <c r="S67" i="25"/>
  <c r="S68" i="25"/>
  <c r="S69" i="25"/>
  <c r="S70" i="25"/>
  <c r="S71" i="25"/>
  <c r="S72" i="25"/>
  <c r="S73" i="25"/>
  <c r="S74" i="25"/>
  <c r="S75" i="25"/>
  <c r="S76" i="25"/>
  <c r="S77" i="25"/>
  <c r="S78" i="25"/>
  <c r="S79" i="25"/>
  <c r="S80" i="25"/>
  <c r="S81" i="25"/>
  <c r="S82" i="25"/>
  <c r="S83" i="25"/>
  <c r="S84" i="25"/>
  <c r="S85" i="25"/>
  <c r="S86" i="25"/>
  <c r="S87" i="25"/>
  <c r="S88" i="25"/>
  <c r="S89" i="25"/>
  <c r="S90" i="25"/>
  <c r="S91" i="25"/>
  <c r="S92" i="25"/>
  <c r="S93" i="25"/>
  <c r="S94" i="25"/>
  <c r="S95" i="25"/>
  <c r="S96" i="25"/>
  <c r="S97" i="25"/>
  <c r="S98" i="25"/>
  <c r="S99" i="25"/>
  <c r="S100" i="25"/>
  <c r="S101" i="25"/>
  <c r="S102" i="25"/>
  <c r="S103" i="25"/>
  <c r="S104" i="25"/>
  <c r="S105" i="25"/>
  <c r="S106" i="25"/>
  <c r="S107" i="25"/>
  <c r="S108" i="25"/>
  <c r="S109" i="25"/>
  <c r="S110" i="25"/>
  <c r="S111" i="25"/>
  <c r="S112" i="25"/>
  <c r="S113" i="25"/>
  <c r="S114" i="25"/>
  <c r="S115" i="25"/>
  <c r="S116" i="25"/>
  <c r="S117" i="25"/>
  <c r="S118" i="25"/>
  <c r="S119" i="25"/>
  <c r="S120" i="25"/>
  <c r="S121" i="25"/>
  <c r="S122" i="25"/>
  <c r="S123" i="25"/>
  <c r="S124" i="25"/>
  <c r="S125" i="25"/>
  <c r="S126" i="25"/>
  <c r="S127" i="25"/>
  <c r="S128" i="25"/>
  <c r="S129" i="25"/>
  <c r="S130" i="25"/>
  <c r="S131" i="25"/>
  <c r="S132" i="25"/>
  <c r="S133" i="25"/>
  <c r="S134" i="25"/>
  <c r="S135" i="25"/>
  <c r="S136" i="25"/>
  <c r="S137" i="25"/>
  <c r="S138" i="25"/>
  <c r="S139" i="25"/>
  <c r="S140" i="25"/>
  <c r="S141" i="25"/>
  <c r="S142" i="25"/>
  <c r="S143" i="25"/>
  <c r="S144" i="25"/>
  <c r="S145" i="25"/>
  <c r="S146" i="25"/>
  <c r="S147" i="25"/>
  <c r="S148" i="25"/>
  <c r="S149" i="25"/>
  <c r="S150" i="25"/>
  <c r="S151" i="25"/>
  <c r="S152" i="25"/>
  <c r="S153" i="25"/>
  <c r="S154" i="25"/>
  <c r="S155" i="25"/>
  <c r="S156" i="25"/>
  <c r="S157" i="25"/>
  <c r="S158" i="25"/>
  <c r="S159" i="25"/>
  <c r="S160" i="25"/>
  <c r="S161" i="25"/>
  <c r="S162" i="25"/>
  <c r="S163" i="25"/>
  <c r="S164" i="25"/>
  <c r="V164" i="25" s="1"/>
  <c r="S165" i="25"/>
  <c r="T2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T33" i="25"/>
  <c r="T34" i="25"/>
  <c r="T35" i="25"/>
  <c r="T36" i="25"/>
  <c r="T37" i="25"/>
  <c r="T38" i="25"/>
  <c r="T39" i="25"/>
  <c r="T40" i="25"/>
  <c r="T41" i="25"/>
  <c r="T42" i="25"/>
  <c r="T43" i="25"/>
  <c r="T44" i="25"/>
  <c r="T45" i="25"/>
  <c r="T46" i="25"/>
  <c r="T47" i="25"/>
  <c r="T48" i="25"/>
  <c r="T49" i="25"/>
  <c r="T50" i="25"/>
  <c r="T51" i="25"/>
  <c r="T52" i="25"/>
  <c r="T53" i="25"/>
  <c r="T54" i="25"/>
  <c r="T55" i="25"/>
  <c r="T56" i="25"/>
  <c r="T57" i="25"/>
  <c r="T58" i="25"/>
  <c r="T59" i="25"/>
  <c r="T60" i="25"/>
  <c r="T61" i="25"/>
  <c r="T62" i="25"/>
  <c r="T63" i="25"/>
  <c r="T64" i="25"/>
  <c r="T65" i="25"/>
  <c r="T66" i="25"/>
  <c r="T67" i="25"/>
  <c r="T68" i="25"/>
  <c r="T69" i="25"/>
  <c r="T70" i="25"/>
  <c r="T71" i="25"/>
  <c r="T72" i="25"/>
  <c r="T73" i="25"/>
  <c r="T74" i="25"/>
  <c r="T75" i="25"/>
  <c r="T76" i="25"/>
  <c r="T77" i="25"/>
  <c r="T78" i="25"/>
  <c r="T79" i="25"/>
  <c r="T80" i="25"/>
  <c r="T81" i="25"/>
  <c r="T82" i="25"/>
  <c r="T83" i="25"/>
  <c r="T84" i="25"/>
  <c r="T85" i="25"/>
  <c r="T86" i="25"/>
  <c r="T87" i="25"/>
  <c r="T88" i="25"/>
  <c r="T89" i="25"/>
  <c r="T90" i="25"/>
  <c r="T91" i="25"/>
  <c r="T92" i="25"/>
  <c r="T93" i="25"/>
  <c r="T94" i="25"/>
  <c r="T95" i="25"/>
  <c r="T96" i="25"/>
  <c r="T97" i="25"/>
  <c r="T98" i="25"/>
  <c r="T99" i="25"/>
  <c r="T100" i="25"/>
  <c r="T101" i="25"/>
  <c r="T102" i="25"/>
  <c r="T103" i="25"/>
  <c r="T104" i="25"/>
  <c r="T105" i="25"/>
  <c r="T106" i="25"/>
  <c r="T107" i="25"/>
  <c r="T108" i="25"/>
  <c r="T109" i="25"/>
  <c r="T110" i="25"/>
  <c r="T111" i="25"/>
  <c r="T112" i="25"/>
  <c r="T113" i="25"/>
  <c r="T114" i="25"/>
  <c r="T115" i="25"/>
  <c r="T116" i="25"/>
  <c r="T117" i="25"/>
  <c r="T118" i="25"/>
  <c r="T119" i="25"/>
  <c r="T120" i="25"/>
  <c r="T121" i="25"/>
  <c r="T122" i="25"/>
  <c r="T123" i="25"/>
  <c r="T124" i="25"/>
  <c r="T125" i="25"/>
  <c r="T126" i="25"/>
  <c r="T127" i="25"/>
  <c r="T128" i="25"/>
  <c r="T129" i="25"/>
  <c r="T130" i="25"/>
  <c r="T131" i="25"/>
  <c r="T132" i="25"/>
  <c r="T133" i="25"/>
  <c r="T134" i="25"/>
  <c r="T135" i="25"/>
  <c r="T136" i="25"/>
  <c r="T137" i="25"/>
  <c r="T138" i="25"/>
  <c r="T139" i="25"/>
  <c r="T140" i="25"/>
  <c r="T141" i="25"/>
  <c r="T142" i="25"/>
  <c r="T143" i="25"/>
  <c r="T144" i="25"/>
  <c r="T145" i="25"/>
  <c r="T146" i="25"/>
  <c r="T147" i="25"/>
  <c r="T148" i="25"/>
  <c r="T149" i="25"/>
  <c r="T150" i="25"/>
  <c r="T151" i="25"/>
  <c r="T152" i="25"/>
  <c r="T153" i="25"/>
  <c r="T154" i="25"/>
  <c r="T155" i="25"/>
  <c r="T156" i="25"/>
  <c r="T157" i="25"/>
  <c r="T158" i="25"/>
  <c r="T159" i="25"/>
  <c r="T160" i="25"/>
  <c r="T161" i="25"/>
  <c r="T162" i="25"/>
  <c r="T163" i="25"/>
  <c r="T164" i="25"/>
  <c r="T165" i="25"/>
  <c r="U2" i="25"/>
  <c r="U3" i="25"/>
  <c r="U4" i="25"/>
  <c r="U5" i="25"/>
  <c r="U6" i="25"/>
  <c r="U7" i="25"/>
  <c r="U8" i="25"/>
  <c r="U9" i="25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U31" i="25"/>
  <c r="U32" i="25"/>
  <c r="U33" i="25"/>
  <c r="U34" i="25"/>
  <c r="U35" i="25"/>
  <c r="U36" i="25"/>
  <c r="U37" i="25"/>
  <c r="U38" i="25"/>
  <c r="U39" i="25"/>
  <c r="U40" i="25"/>
  <c r="U41" i="25"/>
  <c r="U42" i="25"/>
  <c r="U43" i="25"/>
  <c r="U44" i="25"/>
  <c r="U45" i="25"/>
  <c r="U46" i="25"/>
  <c r="U47" i="25"/>
  <c r="U48" i="25"/>
  <c r="U49" i="25"/>
  <c r="U50" i="25"/>
  <c r="U51" i="25"/>
  <c r="U52" i="25"/>
  <c r="U53" i="25"/>
  <c r="U54" i="25"/>
  <c r="U55" i="25"/>
  <c r="U56" i="25"/>
  <c r="U57" i="25"/>
  <c r="U58" i="25"/>
  <c r="U59" i="25"/>
  <c r="U60" i="25"/>
  <c r="U61" i="25"/>
  <c r="U62" i="25"/>
  <c r="U63" i="25"/>
  <c r="U64" i="25"/>
  <c r="U65" i="25"/>
  <c r="U66" i="25"/>
  <c r="U67" i="25"/>
  <c r="U68" i="25"/>
  <c r="U69" i="25"/>
  <c r="U70" i="25"/>
  <c r="U71" i="25"/>
  <c r="U72" i="25"/>
  <c r="U73" i="25"/>
  <c r="U74" i="25"/>
  <c r="U75" i="25"/>
  <c r="U76" i="25"/>
  <c r="U77" i="25"/>
  <c r="U78" i="25"/>
  <c r="U79" i="25"/>
  <c r="U80" i="25"/>
  <c r="U81" i="25"/>
  <c r="U82" i="25"/>
  <c r="U83" i="25"/>
  <c r="U84" i="25"/>
  <c r="U85" i="25"/>
  <c r="U86" i="25"/>
  <c r="U87" i="25"/>
  <c r="U88" i="25"/>
  <c r="U89" i="25"/>
  <c r="U90" i="25"/>
  <c r="U91" i="25"/>
  <c r="U92" i="25"/>
  <c r="U93" i="25"/>
  <c r="U94" i="25"/>
  <c r="U95" i="25"/>
  <c r="U96" i="25"/>
  <c r="U97" i="25"/>
  <c r="U98" i="25"/>
  <c r="U99" i="25"/>
  <c r="U100" i="25"/>
  <c r="U101" i="25"/>
  <c r="U102" i="25"/>
  <c r="U103" i="25"/>
  <c r="U104" i="25"/>
  <c r="U105" i="25"/>
  <c r="U106" i="25"/>
  <c r="U107" i="25"/>
  <c r="U108" i="25"/>
  <c r="U109" i="25"/>
  <c r="U110" i="25"/>
  <c r="U111" i="25"/>
  <c r="U112" i="25"/>
  <c r="U113" i="25"/>
  <c r="U114" i="25"/>
  <c r="U115" i="25"/>
  <c r="U116" i="25"/>
  <c r="U117" i="25"/>
  <c r="U118" i="25"/>
  <c r="U119" i="25"/>
  <c r="U120" i="25"/>
  <c r="U121" i="25"/>
  <c r="U122" i="25"/>
  <c r="U123" i="25"/>
  <c r="U124" i="25"/>
  <c r="U125" i="25"/>
  <c r="U126" i="25"/>
  <c r="U127" i="25"/>
  <c r="U128" i="25"/>
  <c r="U129" i="25"/>
  <c r="U130" i="25"/>
  <c r="U131" i="25"/>
  <c r="U132" i="25"/>
  <c r="U133" i="25"/>
  <c r="U134" i="25"/>
  <c r="U135" i="25"/>
  <c r="U136" i="25"/>
  <c r="U137" i="25"/>
  <c r="U138" i="25"/>
  <c r="U139" i="25"/>
  <c r="U140" i="25"/>
  <c r="U141" i="25"/>
  <c r="U142" i="25"/>
  <c r="U143" i="25"/>
  <c r="U144" i="25"/>
  <c r="U145" i="25"/>
  <c r="U146" i="25"/>
  <c r="U147" i="25"/>
  <c r="U148" i="25"/>
  <c r="U149" i="25"/>
  <c r="U150" i="25"/>
  <c r="U151" i="25"/>
  <c r="U152" i="25"/>
  <c r="U153" i="25"/>
  <c r="U154" i="25"/>
  <c r="U155" i="25"/>
  <c r="U156" i="25"/>
  <c r="U157" i="25"/>
  <c r="U158" i="25"/>
  <c r="U159" i="25"/>
  <c r="U160" i="25"/>
  <c r="U161" i="25"/>
  <c r="U162" i="25"/>
  <c r="U163" i="25"/>
  <c r="U164" i="25"/>
  <c r="U165" i="25"/>
  <c r="V2" i="25"/>
  <c r="V3" i="25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32" i="25"/>
  <c r="V33" i="25"/>
  <c r="V34" i="25"/>
  <c r="V35" i="25"/>
  <c r="V36" i="25"/>
  <c r="V37" i="25"/>
  <c r="V38" i="25"/>
  <c r="V39" i="25"/>
  <c r="V40" i="25"/>
  <c r="V41" i="25"/>
  <c r="V42" i="25"/>
  <c r="V43" i="25"/>
  <c r="V44" i="25"/>
  <c r="V45" i="25"/>
  <c r="V46" i="25"/>
  <c r="V47" i="25"/>
  <c r="V48" i="25"/>
  <c r="V49" i="25"/>
  <c r="V50" i="25"/>
  <c r="V51" i="25"/>
  <c r="V52" i="25"/>
  <c r="V53" i="25"/>
  <c r="V54" i="25"/>
  <c r="V55" i="25"/>
  <c r="V56" i="25"/>
  <c r="V57" i="25"/>
  <c r="V58" i="25"/>
  <c r="V59" i="25"/>
  <c r="V60" i="25"/>
  <c r="V61" i="25"/>
  <c r="V62" i="25"/>
  <c r="V63" i="25"/>
  <c r="V64" i="25"/>
  <c r="V65" i="25"/>
  <c r="V66" i="25"/>
  <c r="V67" i="25"/>
  <c r="V68" i="25"/>
  <c r="V69" i="25"/>
  <c r="V70" i="25"/>
  <c r="V71" i="25"/>
  <c r="V72" i="25"/>
  <c r="V73" i="25"/>
  <c r="V74" i="25"/>
  <c r="V75" i="25"/>
  <c r="V76" i="25"/>
  <c r="V77" i="25"/>
  <c r="V78" i="25"/>
  <c r="V79" i="25"/>
  <c r="V80" i="25"/>
  <c r="V81" i="25"/>
  <c r="V82" i="25"/>
  <c r="V83" i="25"/>
  <c r="V84" i="25"/>
  <c r="V85" i="25"/>
  <c r="V86" i="25"/>
  <c r="V87" i="25"/>
  <c r="V88" i="25"/>
  <c r="V89" i="25"/>
  <c r="V90" i="25"/>
  <c r="V91" i="25"/>
  <c r="V92" i="25"/>
  <c r="V93" i="25"/>
  <c r="V94" i="25"/>
  <c r="V95" i="25"/>
  <c r="V96" i="25"/>
  <c r="V97" i="25"/>
  <c r="V98" i="25"/>
  <c r="V99" i="25"/>
  <c r="V100" i="25"/>
  <c r="V101" i="25"/>
  <c r="V102" i="25"/>
  <c r="V103" i="25"/>
  <c r="V104" i="25"/>
  <c r="V105" i="25"/>
  <c r="V106" i="25"/>
  <c r="V107" i="25"/>
  <c r="V108" i="25"/>
  <c r="V109" i="25"/>
  <c r="V110" i="25"/>
  <c r="V111" i="25"/>
  <c r="V112" i="25"/>
  <c r="V113" i="25"/>
  <c r="V114" i="25"/>
  <c r="V115" i="25"/>
  <c r="V116" i="25"/>
  <c r="V117" i="25"/>
  <c r="V118" i="25"/>
  <c r="V119" i="25"/>
  <c r="V120" i="25"/>
  <c r="V121" i="25"/>
  <c r="V122" i="25"/>
  <c r="V123" i="25"/>
  <c r="V124" i="25"/>
  <c r="V125" i="25"/>
  <c r="V126" i="25"/>
  <c r="V127" i="25"/>
  <c r="V128" i="25"/>
  <c r="V129" i="25"/>
  <c r="V130" i="25"/>
  <c r="V131" i="25"/>
  <c r="V132" i="25"/>
  <c r="V133" i="25"/>
  <c r="V134" i="25"/>
  <c r="V135" i="25"/>
  <c r="V136" i="25"/>
  <c r="V137" i="25"/>
  <c r="V138" i="25"/>
  <c r="V139" i="25"/>
  <c r="V140" i="25"/>
  <c r="V141" i="25"/>
  <c r="V142" i="25"/>
  <c r="V143" i="25"/>
  <c r="V144" i="25"/>
  <c r="V145" i="25"/>
  <c r="V146" i="25"/>
  <c r="V147" i="25"/>
  <c r="V148" i="25"/>
  <c r="V149" i="25"/>
  <c r="V150" i="25"/>
  <c r="V151" i="25"/>
  <c r="V152" i="25"/>
  <c r="V153" i="25"/>
  <c r="V154" i="25"/>
  <c r="V155" i="25"/>
  <c r="V156" i="25"/>
  <c r="V157" i="25"/>
  <c r="V158" i="25"/>
  <c r="V159" i="25"/>
  <c r="V160" i="25"/>
  <c r="V161" i="25"/>
  <c r="V162" i="25"/>
  <c r="V163" i="25"/>
  <c r="V165" i="25"/>
  <c r="W2" i="25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60" i="25"/>
  <c r="W61" i="25"/>
  <c r="W62" i="25"/>
  <c r="W63" i="25"/>
  <c r="W64" i="25"/>
  <c r="W65" i="25"/>
  <c r="W66" i="25"/>
  <c r="W67" i="25"/>
  <c r="W68" i="25"/>
  <c r="W69" i="25"/>
  <c r="W70" i="25"/>
  <c r="W71" i="25"/>
  <c r="W72" i="25"/>
  <c r="W73" i="25"/>
  <c r="W74" i="25"/>
  <c r="W75" i="25"/>
  <c r="W76" i="25"/>
  <c r="W77" i="25"/>
  <c r="W78" i="25"/>
  <c r="W79" i="25"/>
  <c r="W80" i="25"/>
  <c r="W81" i="25"/>
  <c r="W82" i="25"/>
  <c r="W83" i="25"/>
  <c r="W84" i="25"/>
  <c r="W85" i="25"/>
  <c r="W86" i="25"/>
  <c r="W87" i="25"/>
  <c r="W88" i="25"/>
  <c r="W89" i="25"/>
  <c r="W90" i="25"/>
  <c r="W91" i="25"/>
  <c r="W92" i="25"/>
  <c r="W93" i="25"/>
  <c r="W94" i="25"/>
  <c r="W95" i="25"/>
  <c r="W96" i="25"/>
  <c r="W97" i="25"/>
  <c r="W98" i="25"/>
  <c r="W99" i="25"/>
  <c r="W100" i="25"/>
  <c r="W101" i="25"/>
  <c r="W102" i="25"/>
  <c r="W103" i="25"/>
  <c r="W104" i="25"/>
  <c r="W105" i="25"/>
  <c r="W106" i="25"/>
  <c r="W107" i="25"/>
  <c r="W108" i="25"/>
  <c r="W109" i="25"/>
  <c r="W110" i="25"/>
  <c r="W111" i="25"/>
  <c r="W112" i="25"/>
  <c r="W113" i="25"/>
  <c r="W114" i="25"/>
  <c r="W115" i="25"/>
  <c r="W116" i="25"/>
  <c r="W117" i="25"/>
  <c r="W118" i="25"/>
  <c r="W119" i="25"/>
  <c r="W120" i="25"/>
  <c r="W121" i="25"/>
  <c r="W122" i="25"/>
  <c r="W123" i="25"/>
  <c r="W124" i="25"/>
  <c r="W125" i="25"/>
  <c r="W126" i="25"/>
  <c r="W127" i="25"/>
  <c r="W128" i="25"/>
  <c r="W129" i="25"/>
  <c r="W130" i="25"/>
  <c r="W131" i="25"/>
  <c r="W132" i="25"/>
  <c r="W133" i="25"/>
  <c r="W134" i="25"/>
  <c r="W135" i="25"/>
  <c r="W136" i="25"/>
  <c r="W137" i="25"/>
  <c r="W138" i="25"/>
  <c r="W139" i="25"/>
  <c r="W140" i="25"/>
  <c r="W141" i="25"/>
  <c r="W142" i="25"/>
  <c r="W143" i="25"/>
  <c r="W144" i="25"/>
  <c r="W145" i="25"/>
  <c r="W146" i="25"/>
  <c r="W147" i="25"/>
  <c r="W148" i="25"/>
  <c r="W149" i="25"/>
  <c r="W150" i="25"/>
  <c r="W151" i="25"/>
  <c r="W152" i="25"/>
  <c r="W153" i="25"/>
  <c r="W154" i="25"/>
  <c r="W155" i="25"/>
  <c r="W156" i="25"/>
  <c r="W157" i="25"/>
  <c r="W158" i="25"/>
  <c r="W159" i="25"/>
  <c r="W160" i="25"/>
  <c r="W161" i="25"/>
  <c r="W162" i="25"/>
  <c r="W163" i="25"/>
  <c r="W164" i="25"/>
  <c r="W165" i="25"/>
  <c r="X2" i="25"/>
  <c r="X3" i="25"/>
  <c r="X4" i="25"/>
  <c r="X5" i="25"/>
  <c r="X6" i="25"/>
  <c r="X7" i="25"/>
  <c r="X8" i="25"/>
  <c r="X9" i="25"/>
  <c r="X10" i="25"/>
  <c r="X11" i="25"/>
  <c r="X12" i="25"/>
  <c r="X13" i="25"/>
  <c r="X14" i="25"/>
  <c r="X15" i="25"/>
  <c r="X16" i="25"/>
  <c r="X17" i="25"/>
  <c r="X18" i="25"/>
  <c r="X19" i="25"/>
  <c r="X20" i="25"/>
  <c r="X21" i="25"/>
  <c r="X22" i="25"/>
  <c r="X23" i="25"/>
  <c r="X24" i="25"/>
  <c r="X25" i="25"/>
  <c r="X26" i="25"/>
  <c r="X27" i="25"/>
  <c r="X28" i="25"/>
  <c r="X29" i="25"/>
  <c r="X30" i="25"/>
  <c r="X31" i="25"/>
  <c r="X32" i="25"/>
  <c r="X33" i="25"/>
  <c r="X34" i="25"/>
  <c r="X35" i="25"/>
  <c r="X36" i="25"/>
  <c r="X37" i="25"/>
  <c r="X38" i="25"/>
  <c r="X39" i="25"/>
  <c r="X40" i="25"/>
  <c r="X41" i="25"/>
  <c r="X42" i="25"/>
  <c r="X43" i="25"/>
  <c r="X44" i="25"/>
  <c r="X45" i="25"/>
  <c r="X46" i="25"/>
  <c r="X47" i="25"/>
  <c r="X48" i="25"/>
  <c r="X49" i="25"/>
  <c r="X50" i="25"/>
  <c r="X51" i="25"/>
  <c r="X52" i="25"/>
  <c r="X53" i="25"/>
  <c r="X54" i="25"/>
  <c r="X55" i="25"/>
  <c r="X56" i="25"/>
  <c r="X57" i="25"/>
  <c r="X58" i="25"/>
  <c r="X59" i="25"/>
  <c r="X60" i="25"/>
  <c r="X61" i="25"/>
  <c r="X62" i="25"/>
  <c r="X63" i="25"/>
  <c r="X64" i="25"/>
  <c r="X65" i="25"/>
  <c r="X66" i="25"/>
  <c r="X67" i="25"/>
  <c r="X68" i="25"/>
  <c r="X69" i="25"/>
  <c r="X70" i="25"/>
  <c r="X71" i="25"/>
  <c r="X72" i="25"/>
  <c r="X73" i="25"/>
  <c r="X74" i="25"/>
  <c r="X75" i="25"/>
  <c r="X76" i="25"/>
  <c r="X77" i="25"/>
  <c r="X78" i="25"/>
  <c r="X79" i="25"/>
  <c r="X80" i="25"/>
  <c r="X81" i="25"/>
  <c r="X82" i="25"/>
  <c r="X83" i="25"/>
  <c r="X84" i="25"/>
  <c r="X85" i="25"/>
  <c r="X86" i="25"/>
  <c r="X87" i="25"/>
  <c r="X88" i="25"/>
  <c r="X89" i="25"/>
  <c r="X90" i="25"/>
  <c r="X91" i="25"/>
  <c r="X92" i="25"/>
  <c r="X93" i="25"/>
  <c r="X94" i="25"/>
  <c r="X95" i="25"/>
  <c r="X96" i="25"/>
  <c r="X97" i="25"/>
  <c r="X98" i="25"/>
  <c r="X99" i="25"/>
  <c r="X100" i="25"/>
  <c r="X101" i="25"/>
  <c r="X102" i="25"/>
  <c r="X103" i="25"/>
  <c r="X104" i="25"/>
  <c r="X105" i="25"/>
  <c r="X106" i="25"/>
  <c r="X107" i="25"/>
  <c r="X108" i="25"/>
  <c r="X109" i="25"/>
  <c r="X110" i="25"/>
  <c r="X111" i="25"/>
  <c r="X112" i="25"/>
  <c r="X113" i="25"/>
  <c r="X114" i="25"/>
  <c r="X115" i="25"/>
  <c r="X116" i="25"/>
  <c r="X117" i="25"/>
  <c r="X118" i="25"/>
  <c r="X119" i="25"/>
  <c r="X120" i="25"/>
  <c r="X121" i="25"/>
  <c r="X122" i="25"/>
  <c r="X123" i="25"/>
  <c r="X124" i="25"/>
  <c r="X125" i="25"/>
  <c r="X126" i="25"/>
  <c r="X127" i="25"/>
  <c r="X128" i="25"/>
  <c r="X129" i="25"/>
  <c r="X130" i="25"/>
  <c r="X131" i="25"/>
  <c r="X132" i="25"/>
  <c r="X133" i="25"/>
  <c r="X134" i="25"/>
  <c r="X135" i="25"/>
  <c r="X136" i="25"/>
  <c r="X137" i="25"/>
  <c r="X138" i="25"/>
  <c r="X139" i="25"/>
  <c r="X140" i="25"/>
  <c r="X141" i="25"/>
  <c r="X142" i="25"/>
  <c r="X143" i="25"/>
  <c r="X144" i="25"/>
  <c r="X145" i="25"/>
  <c r="X146" i="25"/>
  <c r="X147" i="25"/>
  <c r="X148" i="25"/>
  <c r="X149" i="25"/>
  <c r="X150" i="25"/>
  <c r="X151" i="25"/>
  <c r="X152" i="25"/>
  <c r="X153" i="25"/>
  <c r="X154" i="25"/>
  <c r="X155" i="25"/>
  <c r="X156" i="25"/>
  <c r="X157" i="25"/>
  <c r="X158" i="25"/>
  <c r="X159" i="25"/>
  <c r="X160" i="25"/>
  <c r="X161" i="25"/>
  <c r="X162" i="25"/>
  <c r="X163" i="25"/>
  <c r="X164" i="25"/>
  <c r="X165" i="25"/>
  <c r="Y2" i="25"/>
  <c r="Y3" i="25"/>
  <c r="Y4" i="25"/>
  <c r="AA4" i="25" s="1"/>
  <c r="AB4" i="25" s="1"/>
  <c r="Y5" i="25"/>
  <c r="Y6" i="25"/>
  <c r="Y7" i="25"/>
  <c r="Y8" i="25"/>
  <c r="AA8" i="25" s="1"/>
  <c r="AB8" i="25" s="1"/>
  <c r="Y9" i="25"/>
  <c r="Y10" i="25"/>
  <c r="Y11" i="25"/>
  <c r="Y12" i="25"/>
  <c r="AA12" i="25" s="1"/>
  <c r="AB12" i="25" s="1"/>
  <c r="Y13" i="25"/>
  <c r="Y14" i="25"/>
  <c r="Y15" i="25"/>
  <c r="Y16" i="25"/>
  <c r="AA16" i="25" s="1"/>
  <c r="AB16" i="25" s="1"/>
  <c r="Y17" i="25"/>
  <c r="Y18" i="25"/>
  <c r="Y19" i="25"/>
  <c r="Y20" i="25"/>
  <c r="AA20" i="25" s="1"/>
  <c r="AB20" i="25" s="1"/>
  <c r="Y21" i="25"/>
  <c r="Y22" i="25"/>
  <c r="Y23" i="25"/>
  <c r="Y24" i="25"/>
  <c r="AA24" i="25" s="1"/>
  <c r="AB24" i="25" s="1"/>
  <c r="Y25" i="25"/>
  <c r="Y26" i="25"/>
  <c r="Y27" i="25"/>
  <c r="Y28" i="25"/>
  <c r="AA28" i="25" s="1"/>
  <c r="AB28" i="25" s="1"/>
  <c r="Y29" i="25"/>
  <c r="Y30" i="25"/>
  <c r="AA30" i="25" s="1"/>
  <c r="AB30" i="25" s="1"/>
  <c r="Y31" i="25"/>
  <c r="Y32" i="25"/>
  <c r="AA32" i="25" s="1"/>
  <c r="AB32" i="25" s="1"/>
  <c r="Y33" i="25"/>
  <c r="Y34" i="25"/>
  <c r="Y35" i="25"/>
  <c r="Y36" i="25"/>
  <c r="AA36" i="25" s="1"/>
  <c r="AB36" i="25" s="1"/>
  <c r="Y37" i="25"/>
  <c r="Y38" i="25"/>
  <c r="Y39" i="25"/>
  <c r="Y40" i="25"/>
  <c r="AA40" i="25" s="1"/>
  <c r="AB40" i="25" s="1"/>
  <c r="Y41" i="25"/>
  <c r="Y42" i="25"/>
  <c r="Y43" i="25"/>
  <c r="Y44" i="25"/>
  <c r="AA44" i="25" s="1"/>
  <c r="AB44" i="25" s="1"/>
  <c r="Y45" i="25"/>
  <c r="Y46" i="25"/>
  <c r="Y47" i="25"/>
  <c r="Y48" i="25"/>
  <c r="AA48" i="25" s="1"/>
  <c r="AB48" i="25" s="1"/>
  <c r="Y49" i="25"/>
  <c r="Y50" i="25"/>
  <c r="Y51" i="25"/>
  <c r="Y52" i="25"/>
  <c r="AA52" i="25" s="1"/>
  <c r="AB52" i="25" s="1"/>
  <c r="Y53" i="25"/>
  <c r="Y54" i="25"/>
  <c r="Y55" i="25"/>
  <c r="Y56" i="25"/>
  <c r="Y57" i="25"/>
  <c r="Y58" i="25"/>
  <c r="Y59" i="25"/>
  <c r="Y60" i="25"/>
  <c r="AA60" i="25" s="1"/>
  <c r="AB60" i="25" s="1"/>
  <c r="Y61" i="25"/>
  <c r="Y62" i="25"/>
  <c r="Y63" i="25"/>
  <c r="Y64" i="25"/>
  <c r="AA64" i="25" s="1"/>
  <c r="AB64" i="25" s="1"/>
  <c r="Y65" i="25"/>
  <c r="Y66" i="25"/>
  <c r="Y67" i="25"/>
  <c r="Y68" i="25"/>
  <c r="AA68" i="25" s="1"/>
  <c r="AB68" i="25" s="1"/>
  <c r="Y69" i="25"/>
  <c r="Y70" i="25"/>
  <c r="Y71" i="25"/>
  <c r="Y72" i="25"/>
  <c r="AA72" i="25" s="1"/>
  <c r="AB72" i="25" s="1"/>
  <c r="Y73" i="25"/>
  <c r="Y74" i="25"/>
  <c r="Y75" i="25"/>
  <c r="Y76" i="25"/>
  <c r="AA76" i="25" s="1"/>
  <c r="AB76" i="25" s="1"/>
  <c r="Y77" i="25"/>
  <c r="Y78" i="25"/>
  <c r="Y79" i="25"/>
  <c r="Y80" i="25"/>
  <c r="AA80" i="25" s="1"/>
  <c r="AB80" i="25" s="1"/>
  <c r="Y81" i="25"/>
  <c r="Y82" i="25"/>
  <c r="AA82" i="25" s="1"/>
  <c r="AB82" i="25" s="1"/>
  <c r="Y83" i="25"/>
  <c r="Y84" i="25"/>
  <c r="AA84" i="25" s="1"/>
  <c r="AB84" i="25" s="1"/>
  <c r="Y85" i="25"/>
  <c r="Y86" i="25"/>
  <c r="Y87" i="25"/>
  <c r="Y88" i="25"/>
  <c r="AA88" i="25" s="1"/>
  <c r="AB88" i="25" s="1"/>
  <c r="Y89" i="25"/>
  <c r="Y90" i="25"/>
  <c r="Y91" i="25"/>
  <c r="Y92" i="25"/>
  <c r="AA92" i="25" s="1"/>
  <c r="AB92" i="25" s="1"/>
  <c r="Y93" i="25"/>
  <c r="Y94" i="25"/>
  <c r="Y95" i="25"/>
  <c r="Y96" i="25"/>
  <c r="AA96" i="25" s="1"/>
  <c r="AB96" i="25" s="1"/>
  <c r="Y97" i="25"/>
  <c r="Y98" i="25"/>
  <c r="Y99" i="25"/>
  <c r="Y100" i="25"/>
  <c r="AA100" i="25" s="1"/>
  <c r="AB100" i="25" s="1"/>
  <c r="Y101" i="25"/>
  <c r="Y102" i="25"/>
  <c r="Y103" i="25"/>
  <c r="Y104" i="25"/>
  <c r="AA104" i="25" s="1"/>
  <c r="AB104" i="25" s="1"/>
  <c r="Y105" i="25"/>
  <c r="Y106" i="25"/>
  <c r="Y107" i="25"/>
  <c r="Y108" i="25"/>
  <c r="AA108" i="25" s="1"/>
  <c r="AB108" i="25" s="1"/>
  <c r="Y109" i="25"/>
  <c r="Y110" i="25"/>
  <c r="Y111" i="25"/>
  <c r="Y112" i="25"/>
  <c r="AA112" i="25" s="1"/>
  <c r="AB112" i="25" s="1"/>
  <c r="Y113" i="25"/>
  <c r="Y114" i="25"/>
  <c r="Y115" i="25"/>
  <c r="Y116" i="25"/>
  <c r="AA116" i="25" s="1"/>
  <c r="AB116" i="25" s="1"/>
  <c r="Y117" i="25"/>
  <c r="Y118" i="25"/>
  <c r="Y119" i="25"/>
  <c r="Y120" i="25"/>
  <c r="Y121" i="25"/>
  <c r="Y122" i="25"/>
  <c r="Y123" i="25"/>
  <c r="Y124" i="25"/>
  <c r="AA124" i="25" s="1"/>
  <c r="AB124" i="25" s="1"/>
  <c r="Y125" i="25"/>
  <c r="Y126" i="25"/>
  <c r="Y127" i="25"/>
  <c r="Y128" i="25"/>
  <c r="AA128" i="25" s="1"/>
  <c r="AB128" i="25" s="1"/>
  <c r="Y129" i="25"/>
  <c r="Y130" i="25"/>
  <c r="Y131" i="25"/>
  <c r="Y132" i="25"/>
  <c r="AA132" i="25" s="1"/>
  <c r="AB132" i="25" s="1"/>
  <c r="Y133" i="25"/>
  <c r="Y134" i="25"/>
  <c r="Y135" i="25"/>
  <c r="Y136" i="25"/>
  <c r="AA136" i="25" s="1"/>
  <c r="AB136" i="25" s="1"/>
  <c r="Y137" i="25"/>
  <c r="Y138" i="25"/>
  <c r="Y139" i="25"/>
  <c r="Y140" i="25"/>
  <c r="AA140" i="25" s="1"/>
  <c r="AB140" i="25" s="1"/>
  <c r="Y141" i="25"/>
  <c r="Y142" i="25"/>
  <c r="Y143" i="25"/>
  <c r="Y144" i="25"/>
  <c r="AA144" i="25" s="1"/>
  <c r="AB144" i="25" s="1"/>
  <c r="Y145" i="25"/>
  <c r="Y146" i="25"/>
  <c r="Y147" i="25"/>
  <c r="Y148" i="25"/>
  <c r="AA148" i="25" s="1"/>
  <c r="AB148" i="25" s="1"/>
  <c r="Y149" i="25"/>
  <c r="Y150" i="25"/>
  <c r="Y151" i="25"/>
  <c r="Y152" i="25"/>
  <c r="AA152" i="25" s="1"/>
  <c r="AB152" i="25" s="1"/>
  <c r="Y153" i="25"/>
  <c r="Y154" i="25"/>
  <c r="Y155" i="25"/>
  <c r="Y156" i="25"/>
  <c r="AA156" i="25" s="1"/>
  <c r="AB156" i="25" s="1"/>
  <c r="Y157" i="25"/>
  <c r="Y158" i="25"/>
  <c r="AA158" i="25" s="1"/>
  <c r="AB158" i="25" s="1"/>
  <c r="Y159" i="25"/>
  <c r="Y160" i="25"/>
  <c r="AA160" i="25" s="1"/>
  <c r="AB160" i="25" s="1"/>
  <c r="Y161" i="25"/>
  <c r="Y162" i="25"/>
  <c r="Y163" i="25"/>
  <c r="Y165" i="25"/>
  <c r="Z4" i="25"/>
  <c r="Z8" i="25"/>
  <c r="Z12" i="25"/>
  <c r="Z16" i="25"/>
  <c r="Z20" i="25"/>
  <c r="Z24" i="25"/>
  <c r="Z28" i="25"/>
  <c r="Z32" i="25"/>
  <c r="Z36" i="25"/>
  <c r="Z40" i="25"/>
  <c r="Z44" i="25"/>
  <c r="Z48" i="25"/>
  <c r="Z52" i="25"/>
  <c r="Z56" i="25"/>
  <c r="Z60" i="25"/>
  <c r="Z64" i="25"/>
  <c r="Z68" i="25"/>
  <c r="Z72" i="25"/>
  <c r="Z80" i="25"/>
  <c r="Z88" i="25"/>
  <c r="Z96" i="25"/>
  <c r="Z104" i="25"/>
  <c r="Z112" i="25"/>
  <c r="Z120" i="25"/>
  <c r="Z128" i="25"/>
  <c r="Z136" i="25"/>
  <c r="Z144" i="25"/>
  <c r="Z152" i="25"/>
  <c r="Z160" i="25"/>
  <c r="AA18" i="25"/>
  <c r="AB18" i="25" s="1"/>
  <c r="AA94" i="25"/>
  <c r="AB94" i="25" s="1"/>
  <c r="AA146" i="25"/>
  <c r="AB146" i="25" s="1"/>
  <c r="AC2" i="25"/>
  <c r="AC3" i="25"/>
  <c r="AC4" i="25"/>
  <c r="AC5" i="25"/>
  <c r="AA5" i="25" s="1"/>
  <c r="AB5" i="25" s="1"/>
  <c r="AC6" i="25"/>
  <c r="AC7" i="25"/>
  <c r="AA7" i="25" s="1"/>
  <c r="AB7" i="25" s="1"/>
  <c r="AC8" i="25"/>
  <c r="AC9" i="25"/>
  <c r="AA9" i="25" s="1"/>
  <c r="AB9" i="25" s="1"/>
  <c r="AC10" i="25"/>
  <c r="AC11" i="25"/>
  <c r="AC12" i="25"/>
  <c r="AC13" i="25"/>
  <c r="AA13" i="25" s="1"/>
  <c r="AB13" i="25" s="1"/>
  <c r="AC14" i="25"/>
  <c r="AC15" i="25"/>
  <c r="AC16" i="25"/>
  <c r="AC17" i="25"/>
  <c r="AA17" i="25" s="1"/>
  <c r="AB17" i="25" s="1"/>
  <c r="AC18" i="25"/>
  <c r="AC19" i="25"/>
  <c r="AA19" i="25" s="1"/>
  <c r="AB19" i="25" s="1"/>
  <c r="AC20" i="25"/>
  <c r="AC21" i="25"/>
  <c r="AA21" i="25" s="1"/>
  <c r="AB21" i="25" s="1"/>
  <c r="AC22" i="25"/>
  <c r="AC23" i="25"/>
  <c r="AA23" i="25" s="1"/>
  <c r="AB23" i="25" s="1"/>
  <c r="AC24" i="25"/>
  <c r="AC25" i="25"/>
  <c r="AA25" i="25" s="1"/>
  <c r="AB25" i="25" s="1"/>
  <c r="AC26" i="25"/>
  <c r="AC27" i="25"/>
  <c r="AC28" i="25"/>
  <c r="AC29" i="25"/>
  <c r="AA29" i="25" s="1"/>
  <c r="AB29" i="25" s="1"/>
  <c r="AC30" i="25"/>
  <c r="AC31" i="25"/>
  <c r="AC32" i="25"/>
  <c r="AC33" i="25"/>
  <c r="AA33" i="25" s="1"/>
  <c r="AB33" i="25" s="1"/>
  <c r="AC34" i="25"/>
  <c r="AC35" i="25"/>
  <c r="AA35" i="25" s="1"/>
  <c r="AB35" i="25" s="1"/>
  <c r="AC36" i="25"/>
  <c r="AC37" i="25"/>
  <c r="AA37" i="25" s="1"/>
  <c r="AB37" i="25" s="1"/>
  <c r="AC38" i="25"/>
  <c r="AC39" i="25"/>
  <c r="AA39" i="25" s="1"/>
  <c r="AB39" i="25" s="1"/>
  <c r="AC40" i="25"/>
  <c r="AC41" i="25"/>
  <c r="AA41" i="25" s="1"/>
  <c r="AB41" i="25" s="1"/>
  <c r="AC42" i="25"/>
  <c r="AC43" i="25"/>
  <c r="AC44" i="25"/>
  <c r="AC45" i="25"/>
  <c r="AA45" i="25" s="1"/>
  <c r="AB45" i="25" s="1"/>
  <c r="AC46" i="25"/>
  <c r="AC47" i="25"/>
  <c r="AC48" i="25"/>
  <c r="AC49" i="25"/>
  <c r="AA49" i="25" s="1"/>
  <c r="AB49" i="25" s="1"/>
  <c r="AC50" i="25"/>
  <c r="AC51" i="25"/>
  <c r="AA51" i="25" s="1"/>
  <c r="AB51" i="25" s="1"/>
  <c r="AC52" i="25"/>
  <c r="AC53" i="25"/>
  <c r="AA53" i="25" s="1"/>
  <c r="AB53" i="25" s="1"/>
  <c r="AC54" i="25"/>
  <c r="AC55" i="25"/>
  <c r="AA55" i="25" s="1"/>
  <c r="AB55" i="25" s="1"/>
  <c r="AC56" i="25"/>
  <c r="AC57" i="25"/>
  <c r="AA57" i="25" s="1"/>
  <c r="AB57" i="25" s="1"/>
  <c r="AC58" i="25"/>
  <c r="AC59" i="25"/>
  <c r="AC60" i="25"/>
  <c r="AC61" i="25"/>
  <c r="AA61" i="25" s="1"/>
  <c r="AB61" i="25" s="1"/>
  <c r="AC62" i="25"/>
  <c r="AC63" i="25"/>
  <c r="AC64" i="25"/>
  <c r="AC65" i="25"/>
  <c r="AA65" i="25" s="1"/>
  <c r="AB65" i="25" s="1"/>
  <c r="AC66" i="25"/>
  <c r="AC67" i="25"/>
  <c r="AA67" i="25" s="1"/>
  <c r="AB67" i="25" s="1"/>
  <c r="AC68" i="25"/>
  <c r="AC69" i="25"/>
  <c r="AA69" i="25" s="1"/>
  <c r="AB69" i="25" s="1"/>
  <c r="AC70" i="25"/>
  <c r="AC71" i="25"/>
  <c r="AA71" i="25" s="1"/>
  <c r="AB71" i="25" s="1"/>
  <c r="AC72" i="25"/>
  <c r="AC73" i="25"/>
  <c r="AA73" i="25" s="1"/>
  <c r="AB73" i="25" s="1"/>
  <c r="AC74" i="25"/>
  <c r="AC75" i="25"/>
  <c r="AC76" i="25"/>
  <c r="AC77" i="25"/>
  <c r="AA77" i="25" s="1"/>
  <c r="AB77" i="25" s="1"/>
  <c r="AC78" i="25"/>
  <c r="AC79" i="25"/>
  <c r="AC80" i="25"/>
  <c r="AC81" i="25"/>
  <c r="AA81" i="25" s="1"/>
  <c r="AB81" i="25" s="1"/>
  <c r="AC82" i="25"/>
  <c r="AC83" i="25"/>
  <c r="AA83" i="25" s="1"/>
  <c r="AB83" i="25" s="1"/>
  <c r="AC84" i="25"/>
  <c r="AC85" i="25"/>
  <c r="AA85" i="25" s="1"/>
  <c r="AB85" i="25" s="1"/>
  <c r="AC86" i="25"/>
  <c r="AC87" i="25"/>
  <c r="AA87" i="25" s="1"/>
  <c r="AB87" i="25" s="1"/>
  <c r="AC88" i="25"/>
  <c r="AC89" i="25"/>
  <c r="AA89" i="25" s="1"/>
  <c r="AB89" i="25" s="1"/>
  <c r="AC90" i="25"/>
  <c r="AC91" i="25"/>
  <c r="AC92" i="25"/>
  <c r="AC93" i="25"/>
  <c r="AA93" i="25" s="1"/>
  <c r="AB93" i="25" s="1"/>
  <c r="AC94" i="25"/>
  <c r="AC95" i="25"/>
  <c r="AC96" i="25"/>
  <c r="AC97" i="25"/>
  <c r="AA97" i="25" s="1"/>
  <c r="AB97" i="25" s="1"/>
  <c r="AC98" i="25"/>
  <c r="AC99" i="25"/>
  <c r="AA99" i="25" s="1"/>
  <c r="AB99" i="25" s="1"/>
  <c r="AC100" i="25"/>
  <c r="AC101" i="25"/>
  <c r="AA101" i="25" s="1"/>
  <c r="AB101" i="25" s="1"/>
  <c r="AC102" i="25"/>
  <c r="AC103" i="25"/>
  <c r="AA103" i="25" s="1"/>
  <c r="AB103" i="25" s="1"/>
  <c r="AC104" i="25"/>
  <c r="AC105" i="25"/>
  <c r="AA105" i="25" s="1"/>
  <c r="AB105" i="25" s="1"/>
  <c r="AC106" i="25"/>
  <c r="AC107" i="25"/>
  <c r="AC108" i="25"/>
  <c r="AC109" i="25"/>
  <c r="AA109" i="25" s="1"/>
  <c r="AB109" i="25" s="1"/>
  <c r="AC110" i="25"/>
  <c r="AC111" i="25"/>
  <c r="AC112" i="25"/>
  <c r="AC113" i="25"/>
  <c r="AA113" i="25" s="1"/>
  <c r="AB113" i="25" s="1"/>
  <c r="AC114" i="25"/>
  <c r="AC115" i="25"/>
  <c r="AA115" i="25" s="1"/>
  <c r="AB115" i="25" s="1"/>
  <c r="AC116" i="25"/>
  <c r="AC117" i="25"/>
  <c r="AA117" i="25" s="1"/>
  <c r="AB117" i="25" s="1"/>
  <c r="AC118" i="25"/>
  <c r="AC119" i="25"/>
  <c r="AA119" i="25" s="1"/>
  <c r="AB119" i="25" s="1"/>
  <c r="AC120" i="25"/>
  <c r="AC121" i="25"/>
  <c r="AA121" i="25" s="1"/>
  <c r="AB121" i="25" s="1"/>
  <c r="AC122" i="25"/>
  <c r="AC123" i="25"/>
  <c r="AC124" i="25"/>
  <c r="AC125" i="25"/>
  <c r="AA125" i="25" s="1"/>
  <c r="AB125" i="25" s="1"/>
  <c r="AC126" i="25"/>
  <c r="AC127" i="25"/>
  <c r="AC128" i="25"/>
  <c r="AC129" i="25"/>
  <c r="AA129" i="25" s="1"/>
  <c r="AB129" i="25" s="1"/>
  <c r="AC130" i="25"/>
  <c r="AC131" i="25"/>
  <c r="AA131" i="25" s="1"/>
  <c r="AB131" i="25" s="1"/>
  <c r="AC132" i="25"/>
  <c r="AC133" i="25"/>
  <c r="AA133" i="25" s="1"/>
  <c r="AB133" i="25" s="1"/>
  <c r="AC134" i="25"/>
  <c r="AC135" i="25"/>
  <c r="AA135" i="25" s="1"/>
  <c r="AB135" i="25" s="1"/>
  <c r="AC136" i="25"/>
  <c r="AC137" i="25"/>
  <c r="AA137" i="25" s="1"/>
  <c r="AB137" i="25" s="1"/>
  <c r="AC138" i="25"/>
  <c r="AC139" i="25"/>
  <c r="AC140" i="25"/>
  <c r="AC141" i="25"/>
  <c r="AA141" i="25" s="1"/>
  <c r="AB141" i="25" s="1"/>
  <c r="AC142" i="25"/>
  <c r="AC143" i="25"/>
  <c r="AC144" i="25"/>
  <c r="AC145" i="25"/>
  <c r="AA145" i="25" s="1"/>
  <c r="AB145" i="25" s="1"/>
  <c r="AC146" i="25"/>
  <c r="AC147" i="25"/>
  <c r="AA147" i="25" s="1"/>
  <c r="AB147" i="25" s="1"/>
  <c r="AC148" i="25"/>
  <c r="AC149" i="25"/>
  <c r="AA149" i="25" s="1"/>
  <c r="AB149" i="25" s="1"/>
  <c r="AC150" i="25"/>
  <c r="AC151" i="25"/>
  <c r="AA151" i="25" s="1"/>
  <c r="AB151" i="25" s="1"/>
  <c r="AC152" i="25"/>
  <c r="AC153" i="25"/>
  <c r="AA153" i="25" s="1"/>
  <c r="AB153" i="25" s="1"/>
  <c r="AC154" i="25"/>
  <c r="AC155" i="25"/>
  <c r="AC156" i="25"/>
  <c r="AC157" i="25"/>
  <c r="AA157" i="25" s="1"/>
  <c r="AB157" i="25" s="1"/>
  <c r="AC158" i="25"/>
  <c r="AC159" i="25"/>
  <c r="AC160" i="25"/>
  <c r="AC161" i="25"/>
  <c r="AA161" i="25" s="1"/>
  <c r="AB161" i="25" s="1"/>
  <c r="AC162" i="25"/>
  <c r="AC163" i="25"/>
  <c r="AA163" i="25" s="1"/>
  <c r="AB163" i="25" s="1"/>
  <c r="AC164" i="25"/>
  <c r="AC165" i="25"/>
  <c r="AD2" i="25"/>
  <c r="AD3" i="25"/>
  <c r="AD4" i="25"/>
  <c r="AD5" i="25"/>
  <c r="AD6" i="25"/>
  <c r="AD7" i="25"/>
  <c r="AD8" i="25"/>
  <c r="AD9" i="25"/>
  <c r="AD10" i="25"/>
  <c r="AD11" i="25"/>
  <c r="AD12" i="25"/>
  <c r="AD13" i="25"/>
  <c r="AD14" i="25"/>
  <c r="AD15" i="25"/>
  <c r="AD16" i="25"/>
  <c r="AD17" i="25"/>
  <c r="AD18" i="25"/>
  <c r="AD19" i="25"/>
  <c r="AD20" i="25"/>
  <c r="AD21" i="25"/>
  <c r="AD22" i="25"/>
  <c r="AD23" i="25"/>
  <c r="AD24" i="25"/>
  <c r="AD25" i="25"/>
  <c r="AD26" i="25"/>
  <c r="AD27" i="25"/>
  <c r="AD28" i="25"/>
  <c r="AD29" i="25"/>
  <c r="AD30" i="25"/>
  <c r="AD31" i="25"/>
  <c r="AD32" i="25"/>
  <c r="AD33" i="25"/>
  <c r="AD34" i="25"/>
  <c r="AD35" i="25"/>
  <c r="AD36" i="25"/>
  <c r="AD37" i="25"/>
  <c r="AD38" i="25"/>
  <c r="AD39" i="25"/>
  <c r="AD40" i="25"/>
  <c r="AD41" i="25"/>
  <c r="AD42" i="25"/>
  <c r="AD43" i="25"/>
  <c r="AD44" i="25"/>
  <c r="AD45" i="25"/>
  <c r="AD46" i="25"/>
  <c r="AD47" i="25"/>
  <c r="AD48" i="25"/>
  <c r="AD49" i="25"/>
  <c r="AD50" i="25"/>
  <c r="AD51" i="25"/>
  <c r="AD52" i="25"/>
  <c r="AD53" i="25"/>
  <c r="AD54" i="25"/>
  <c r="AD55" i="25"/>
  <c r="AD56" i="25"/>
  <c r="AD57" i="25"/>
  <c r="AD58" i="25"/>
  <c r="AD59" i="25"/>
  <c r="AD60" i="25"/>
  <c r="AD61" i="25"/>
  <c r="AD62" i="25"/>
  <c r="AD63" i="25"/>
  <c r="AD64" i="25"/>
  <c r="AD65" i="25"/>
  <c r="AD66" i="25"/>
  <c r="AD67" i="25"/>
  <c r="AD68" i="25"/>
  <c r="AD69" i="25"/>
  <c r="AD70" i="25"/>
  <c r="AD71" i="25"/>
  <c r="AD72" i="25"/>
  <c r="AD73" i="25"/>
  <c r="AD74" i="25"/>
  <c r="AD75" i="25"/>
  <c r="AD76" i="25"/>
  <c r="AD77" i="25"/>
  <c r="AD78" i="25"/>
  <c r="AD79" i="25"/>
  <c r="AD80" i="25"/>
  <c r="AD81" i="25"/>
  <c r="AD82" i="25"/>
  <c r="AD83" i="25"/>
  <c r="AD84" i="25"/>
  <c r="AD85" i="25"/>
  <c r="AD86" i="25"/>
  <c r="AD87" i="25"/>
  <c r="AD88" i="25"/>
  <c r="AD89" i="25"/>
  <c r="AD90" i="25"/>
  <c r="AD91" i="25"/>
  <c r="AD92" i="25"/>
  <c r="AD93" i="25"/>
  <c r="AD94" i="25"/>
  <c r="AD95" i="25"/>
  <c r="AD96" i="25"/>
  <c r="AD97" i="25"/>
  <c r="AD98" i="25"/>
  <c r="AD99" i="25"/>
  <c r="AD100" i="25"/>
  <c r="AD101" i="25"/>
  <c r="AD102" i="25"/>
  <c r="AD103" i="25"/>
  <c r="AD104" i="25"/>
  <c r="AD105" i="25"/>
  <c r="AD106" i="25"/>
  <c r="AD107" i="25"/>
  <c r="AD108" i="25"/>
  <c r="AD109" i="25"/>
  <c r="AD110" i="25"/>
  <c r="AD111" i="25"/>
  <c r="AD112" i="25"/>
  <c r="AD113" i="25"/>
  <c r="AD114" i="25"/>
  <c r="AD115" i="25"/>
  <c r="AD116" i="25"/>
  <c r="AD117" i="25"/>
  <c r="AD118" i="25"/>
  <c r="AD119" i="25"/>
  <c r="AD120" i="25"/>
  <c r="AD121" i="25"/>
  <c r="AD122" i="25"/>
  <c r="AD123" i="25"/>
  <c r="AD124" i="25"/>
  <c r="AD125" i="25"/>
  <c r="AD126" i="25"/>
  <c r="AD127" i="25"/>
  <c r="AD128" i="25"/>
  <c r="AD129" i="25"/>
  <c r="AD130" i="25"/>
  <c r="AD131" i="25"/>
  <c r="AD132" i="25"/>
  <c r="AD133" i="25"/>
  <c r="AD134" i="25"/>
  <c r="AD135" i="25"/>
  <c r="AD136" i="25"/>
  <c r="AD137" i="25"/>
  <c r="AD138" i="25"/>
  <c r="AD139" i="25"/>
  <c r="AD140" i="25"/>
  <c r="AD141" i="25"/>
  <c r="AD142" i="25"/>
  <c r="AD143" i="25"/>
  <c r="AD144" i="25"/>
  <c r="AD145" i="25"/>
  <c r="AD146" i="25"/>
  <c r="AD147" i="25"/>
  <c r="AD148" i="25"/>
  <c r="AD149" i="25"/>
  <c r="AD150" i="25"/>
  <c r="AD151" i="25"/>
  <c r="AD152" i="25"/>
  <c r="AD153" i="25"/>
  <c r="AD154" i="25"/>
  <c r="AD155" i="25"/>
  <c r="AD156" i="25"/>
  <c r="AD157" i="25"/>
  <c r="AD158" i="25"/>
  <c r="AD159" i="25"/>
  <c r="AD160" i="25"/>
  <c r="AD161" i="25"/>
  <c r="AD162" i="25"/>
  <c r="AD163" i="25"/>
  <c r="AD164" i="25"/>
  <c r="AD165" i="25"/>
  <c r="Z90" i="25" l="1"/>
  <c r="Z86" i="25"/>
  <c r="Z82" i="25"/>
  <c r="Z74" i="25"/>
  <c r="Z70" i="25"/>
  <c r="Z62" i="25"/>
  <c r="Z58" i="25"/>
  <c r="Z50" i="25"/>
  <c r="Z46" i="25"/>
  <c r="Z42" i="25"/>
  <c r="Z38" i="25"/>
  <c r="Z34" i="25"/>
  <c r="Z30" i="25"/>
  <c r="Z22" i="25"/>
  <c r="Z18" i="25"/>
  <c r="Z14" i="25"/>
  <c r="Z10" i="25"/>
  <c r="Z6" i="25"/>
  <c r="Z2" i="25"/>
  <c r="Z158" i="25"/>
  <c r="Z150" i="25"/>
  <c r="Z146" i="25"/>
  <c r="Z142" i="25"/>
  <c r="Z138" i="25"/>
  <c r="Z134" i="25"/>
  <c r="Z130" i="25"/>
  <c r="Z126" i="25"/>
  <c r="Z122" i="25"/>
  <c r="Z118" i="25"/>
  <c r="Z114" i="25"/>
  <c r="Z110" i="25"/>
  <c r="Z106" i="25"/>
  <c r="Z102" i="25"/>
  <c r="Z94" i="25"/>
  <c r="Z148" i="25"/>
  <c r="Z108" i="25"/>
  <c r="Z165" i="25"/>
  <c r="Z157" i="25"/>
  <c r="Z153" i="25"/>
  <c r="Z149" i="25"/>
  <c r="Z145" i="25"/>
  <c r="Z141" i="25"/>
  <c r="Z137" i="25"/>
  <c r="Z133" i="25"/>
  <c r="Z129" i="25"/>
  <c r="Z125" i="25"/>
  <c r="Z121" i="25"/>
  <c r="Z117" i="25"/>
  <c r="Z113" i="25"/>
  <c r="Z109" i="25"/>
  <c r="Z105" i="25"/>
  <c r="Z101" i="25"/>
  <c r="Z97" i="25"/>
  <c r="Z93" i="25"/>
  <c r="Z89" i="25"/>
  <c r="Z81" i="25"/>
  <c r="Z73" i="25"/>
  <c r="Z69" i="25"/>
  <c r="Z65" i="25"/>
  <c r="Z61" i="25"/>
  <c r="Z57" i="25"/>
  <c r="Z53" i="25"/>
  <c r="Z49" i="25"/>
  <c r="Z45" i="25"/>
  <c r="Z41" i="25"/>
  <c r="Z37" i="25"/>
  <c r="Z29" i="25"/>
  <c r="Z25" i="25"/>
  <c r="Z21" i="25"/>
  <c r="Z17" i="25"/>
  <c r="Z13" i="25"/>
  <c r="Z9" i="25"/>
  <c r="Z98" i="25"/>
  <c r="Z162" i="25"/>
  <c r="Z154" i="25"/>
  <c r="Z78" i="25"/>
  <c r="Z66" i="25"/>
  <c r="Z54" i="25"/>
  <c r="Z26" i="25"/>
  <c r="Z161" i="25"/>
  <c r="Z85" i="25"/>
  <c r="Z77" i="25"/>
  <c r="Z33" i="25"/>
  <c r="Z5" i="25"/>
  <c r="AA165" i="25"/>
  <c r="AB165" i="25" s="1"/>
  <c r="AA162" i="25"/>
  <c r="AB162" i="25" s="1"/>
  <c r="AA154" i="25"/>
  <c r="AB154" i="25" s="1"/>
  <c r="AA150" i="25"/>
  <c r="AB150" i="25" s="1"/>
  <c r="AA142" i="25"/>
  <c r="AB142" i="25" s="1"/>
  <c r="AA138" i="25"/>
  <c r="AB138" i="25" s="1"/>
  <c r="AA134" i="25"/>
  <c r="AB134" i="25" s="1"/>
  <c r="AA130" i="25"/>
  <c r="AB130" i="25" s="1"/>
  <c r="AA126" i="25"/>
  <c r="AB126" i="25" s="1"/>
  <c r="AA122" i="25"/>
  <c r="AB122" i="25" s="1"/>
  <c r="AA118" i="25"/>
  <c r="AB118" i="25" s="1"/>
  <c r="AA114" i="25"/>
  <c r="AB114" i="25" s="1"/>
  <c r="AA110" i="25"/>
  <c r="AB110" i="25" s="1"/>
  <c r="AA106" i="25"/>
  <c r="AB106" i="25" s="1"/>
  <c r="AA102" i="25"/>
  <c r="AB102" i="25" s="1"/>
  <c r="AA98" i="25"/>
  <c r="AB98" i="25" s="1"/>
  <c r="AA90" i="25"/>
  <c r="AB90" i="25" s="1"/>
  <c r="AA86" i="25"/>
  <c r="AB86" i="25" s="1"/>
  <c r="AA78" i="25"/>
  <c r="AB78" i="25" s="1"/>
  <c r="AA74" i="25"/>
  <c r="AB74" i="25" s="1"/>
  <c r="AA70" i="25"/>
  <c r="AB70" i="25" s="1"/>
  <c r="AA66" i="25"/>
  <c r="AB66" i="25" s="1"/>
  <c r="AA62" i="25"/>
  <c r="AB62" i="25" s="1"/>
  <c r="AA58" i="25"/>
  <c r="AB58" i="25" s="1"/>
  <c r="AA54" i="25"/>
  <c r="AB54" i="25" s="1"/>
  <c r="AA50" i="25"/>
  <c r="AB50" i="25" s="1"/>
  <c r="AA46" i="25"/>
  <c r="AB46" i="25" s="1"/>
  <c r="AA42" i="25"/>
  <c r="AB42" i="25" s="1"/>
  <c r="AA38" i="25"/>
  <c r="AB38" i="25" s="1"/>
  <c r="AA34" i="25"/>
  <c r="AB34" i="25" s="1"/>
  <c r="AA26" i="25"/>
  <c r="AB26" i="25" s="1"/>
  <c r="AA22" i="25"/>
  <c r="AB22" i="25" s="1"/>
  <c r="AA14" i="25"/>
  <c r="AB14" i="25" s="1"/>
  <c r="AA10" i="25"/>
  <c r="AB10" i="25" s="1"/>
  <c r="AA6" i="25"/>
  <c r="AB6" i="25" s="1"/>
  <c r="AA2" i="25"/>
  <c r="AB2" i="25" s="1"/>
  <c r="AA120" i="25"/>
  <c r="AB120" i="25" s="1"/>
  <c r="AA56" i="25"/>
  <c r="AB56" i="25" s="1"/>
  <c r="AA155" i="25"/>
  <c r="AB155" i="25" s="1"/>
  <c r="AA123" i="25"/>
  <c r="AB123" i="25" s="1"/>
  <c r="AA111" i="25"/>
  <c r="AB111" i="25" s="1"/>
  <c r="AA95" i="25"/>
  <c r="AB95" i="25" s="1"/>
  <c r="AA79" i="25"/>
  <c r="AB79" i="25" s="1"/>
  <c r="AA43" i="25"/>
  <c r="AB43" i="25" s="1"/>
  <c r="AA31" i="25"/>
  <c r="AB31" i="25" s="1"/>
  <c r="AA15" i="25"/>
  <c r="AB15" i="25" s="1"/>
  <c r="AA3" i="25"/>
  <c r="AB3" i="25" s="1"/>
  <c r="AA159" i="25"/>
  <c r="AB159" i="25" s="1"/>
  <c r="AA143" i="25"/>
  <c r="AB143" i="25" s="1"/>
  <c r="AA107" i="25"/>
  <c r="AB107" i="25" s="1"/>
  <c r="AA59" i="25"/>
  <c r="AB59" i="25" s="1"/>
  <c r="AA139" i="25"/>
  <c r="AB139" i="25" s="1"/>
  <c r="AA127" i="25"/>
  <c r="AB127" i="25" s="1"/>
  <c r="AA91" i="25"/>
  <c r="AB91" i="25" s="1"/>
  <c r="AA75" i="25"/>
  <c r="AB75" i="25" s="1"/>
  <c r="AA63" i="25"/>
  <c r="AB63" i="25" s="1"/>
  <c r="AA47" i="25"/>
  <c r="AB47" i="25" s="1"/>
  <c r="AA27" i="25"/>
  <c r="AB27" i="25" s="1"/>
  <c r="AA11" i="25"/>
  <c r="AB11" i="25" s="1"/>
  <c r="B3" i="30" l="1"/>
  <c r="B4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19" i="30"/>
  <c r="B20" i="30"/>
  <c r="B21" i="30"/>
  <c r="B22" i="30"/>
  <c r="B23" i="30"/>
  <c r="B24" i="30"/>
  <c r="B25" i="30"/>
  <c r="B26" i="30"/>
  <c r="B27" i="30"/>
  <c r="B28" i="30"/>
  <c r="B29" i="30"/>
  <c r="B30" i="30"/>
  <c r="B31" i="30"/>
  <c r="B32" i="30"/>
  <c r="B33" i="30"/>
  <c r="B34" i="30"/>
  <c r="B35" i="30"/>
  <c r="B36" i="30"/>
  <c r="B37" i="30"/>
  <c r="B38" i="30"/>
  <c r="B39" i="30"/>
  <c r="B40" i="30"/>
  <c r="B41" i="30"/>
  <c r="B42" i="30"/>
  <c r="B43" i="30"/>
  <c r="B44" i="30"/>
  <c r="B45" i="30"/>
  <c r="B46" i="30"/>
  <c r="B47" i="30"/>
  <c r="B48" i="30"/>
  <c r="B49" i="30"/>
  <c r="B50" i="30"/>
  <c r="B51" i="30"/>
  <c r="B52" i="30"/>
  <c r="B53" i="30"/>
  <c r="B54" i="30"/>
  <c r="B55" i="30"/>
  <c r="B56" i="30"/>
  <c r="B57" i="30"/>
  <c r="B58" i="30"/>
  <c r="B59" i="30"/>
  <c r="B60" i="30"/>
  <c r="B61" i="30"/>
  <c r="B62" i="30"/>
  <c r="B63" i="30"/>
  <c r="B64" i="30"/>
  <c r="B65" i="30"/>
  <c r="B66" i="30"/>
  <c r="B67" i="30"/>
  <c r="B68" i="30"/>
  <c r="B69" i="30"/>
  <c r="B70" i="30"/>
  <c r="B71" i="30"/>
  <c r="B72" i="30"/>
  <c r="B73" i="30"/>
  <c r="B74" i="30"/>
  <c r="B75" i="30"/>
  <c r="B76" i="30"/>
  <c r="B77" i="30"/>
  <c r="B78" i="30"/>
  <c r="B79" i="30"/>
  <c r="B80" i="30"/>
  <c r="B81" i="30"/>
  <c r="B82" i="30"/>
  <c r="B83" i="30"/>
  <c r="B84" i="30"/>
  <c r="B85" i="30"/>
  <c r="B86" i="30"/>
  <c r="B87" i="30"/>
  <c r="B88" i="30"/>
  <c r="B89" i="30"/>
  <c r="B90" i="30"/>
  <c r="B91" i="30"/>
  <c r="B92" i="30"/>
  <c r="B93" i="30"/>
  <c r="B94" i="30"/>
  <c r="B95" i="30"/>
  <c r="B96" i="30"/>
  <c r="B97" i="30"/>
  <c r="B98" i="30"/>
  <c r="B99" i="30"/>
  <c r="B100" i="30"/>
  <c r="B101" i="30"/>
  <c r="B102" i="30"/>
  <c r="B103" i="30"/>
  <c r="B104" i="30"/>
  <c r="B105" i="30"/>
  <c r="B106" i="30"/>
  <c r="B107" i="30"/>
  <c r="B108" i="30"/>
  <c r="B109" i="30"/>
  <c r="B110" i="30"/>
  <c r="B111" i="30"/>
  <c r="B112" i="30"/>
  <c r="B113" i="30"/>
  <c r="B114" i="30"/>
  <c r="B115" i="30"/>
  <c r="B116" i="30"/>
  <c r="B117" i="30"/>
  <c r="B118" i="30"/>
  <c r="B119" i="30"/>
  <c r="B120" i="30"/>
  <c r="B121" i="30"/>
  <c r="B122" i="30"/>
  <c r="B123" i="30"/>
  <c r="B124" i="30"/>
  <c r="B125" i="30"/>
  <c r="B126" i="30"/>
  <c r="B127" i="30"/>
  <c r="B128" i="30"/>
  <c r="B129" i="30"/>
  <c r="B130" i="30"/>
  <c r="B131" i="30"/>
  <c r="B132" i="30"/>
  <c r="B133" i="30"/>
  <c r="B134" i="30"/>
  <c r="B135" i="30"/>
  <c r="B136" i="30"/>
  <c r="B137" i="30"/>
  <c r="B138" i="30"/>
  <c r="B139" i="30"/>
  <c r="B140" i="30"/>
  <c r="B141" i="30"/>
  <c r="B142" i="30"/>
  <c r="B143" i="30"/>
  <c r="B144" i="30"/>
  <c r="B145" i="30"/>
  <c r="B146" i="30"/>
  <c r="B147" i="30"/>
  <c r="B148" i="30"/>
  <c r="B149" i="30"/>
  <c r="B150" i="30"/>
  <c r="B151" i="30"/>
  <c r="B2" i="30"/>
  <c r="X166" i="25" l="1"/>
  <c r="H6" i="24" l="1"/>
  <c r="H7" i="24"/>
  <c r="H8" i="24"/>
  <c r="H9" i="24"/>
  <c r="H10" i="24"/>
  <c r="H11" i="24"/>
  <c r="H12" i="24"/>
  <c r="H13" i="24"/>
  <c r="H14" i="24"/>
  <c r="H15" i="24"/>
  <c r="H16" i="24"/>
  <c r="H17" i="24"/>
  <c r="H5" i="24"/>
  <c r="I39" i="24" l="1"/>
  <c r="I40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24" i="24"/>
  <c r="H31" i="24"/>
  <c r="H32" i="24" s="1"/>
  <c r="H33" i="24" s="1"/>
  <c r="H34" i="24" s="1"/>
  <c r="H35" i="24" s="1"/>
  <c r="H36" i="24" s="1"/>
  <c r="H37" i="24" s="1"/>
  <c r="H38" i="24" s="1"/>
  <c r="H39" i="24" s="1"/>
  <c r="H40" i="24" s="1"/>
  <c r="H28" i="24"/>
  <c r="H29" i="24"/>
  <c r="H30" i="24" s="1"/>
  <c r="H26" i="24"/>
  <c r="H27" i="24" s="1"/>
  <c r="H25" i="24"/>
  <c r="I25" i="24" s="1"/>
  <c r="H24" i="24"/>
  <c r="G44" i="24"/>
  <c r="AI244" i="23" l="1"/>
  <c r="AI243" i="23"/>
  <c r="AI242" i="23"/>
  <c r="AI241" i="23"/>
  <c r="AI240" i="23"/>
  <c r="AI239" i="23"/>
  <c r="AI238" i="23"/>
  <c r="AI237" i="23"/>
  <c r="AI236" i="23"/>
  <c r="AI235" i="23"/>
  <c r="AI234" i="23"/>
  <c r="AI233" i="23"/>
  <c r="AI232" i="23"/>
  <c r="AI231" i="23"/>
  <c r="AI230" i="23"/>
  <c r="AI229" i="23"/>
  <c r="AI228" i="23"/>
  <c r="AI227" i="23"/>
  <c r="AI226" i="23"/>
  <c r="AI225" i="23"/>
  <c r="O224" i="23"/>
  <c r="O223" i="23"/>
  <c r="O222" i="23"/>
  <c r="O221" i="23"/>
  <c r="O220" i="23"/>
  <c r="O219" i="23"/>
  <c r="O218" i="23"/>
  <c r="O217" i="23"/>
  <c r="O216" i="23"/>
  <c r="O215" i="23"/>
  <c r="O214" i="23"/>
  <c r="O213" i="23"/>
  <c r="O212" i="23"/>
  <c r="O211" i="23"/>
  <c r="O210" i="23"/>
  <c r="O209" i="23"/>
  <c r="O208" i="23"/>
  <c r="O207" i="23"/>
  <c r="O206" i="23"/>
  <c r="O205" i="23"/>
  <c r="O204" i="23"/>
  <c r="O203" i="23"/>
  <c r="O202" i="23"/>
  <c r="O201" i="23"/>
  <c r="O200" i="23"/>
  <c r="O199" i="23"/>
  <c r="O198" i="23"/>
  <c r="O197" i="23"/>
  <c r="O196" i="23"/>
  <c r="O195" i="23"/>
  <c r="O194" i="23"/>
  <c r="O193" i="23"/>
  <c r="O192" i="23"/>
  <c r="O191" i="23"/>
  <c r="O190" i="23"/>
  <c r="O189" i="23"/>
  <c r="O188" i="23"/>
  <c r="O187" i="23"/>
  <c r="O186" i="23"/>
  <c r="O185" i="23"/>
  <c r="O184" i="23"/>
  <c r="O183" i="23"/>
  <c r="O182" i="23"/>
  <c r="O181" i="23"/>
  <c r="O180" i="23"/>
  <c r="O179" i="23"/>
  <c r="O178" i="23"/>
  <c r="O177" i="23"/>
  <c r="O176" i="23"/>
  <c r="O175" i="23"/>
  <c r="O174" i="23"/>
  <c r="O173" i="23"/>
  <c r="O172" i="23"/>
  <c r="O171" i="23"/>
  <c r="O170" i="23"/>
  <c r="O169" i="23"/>
  <c r="O168" i="23"/>
  <c r="O167" i="23"/>
  <c r="O166" i="23"/>
  <c r="O165" i="23"/>
  <c r="O164" i="23"/>
  <c r="O163" i="23"/>
  <c r="O162" i="23"/>
  <c r="O161" i="23"/>
  <c r="O160" i="23"/>
  <c r="O159" i="23"/>
  <c r="O158" i="23"/>
  <c r="O157" i="23"/>
  <c r="O156" i="23"/>
  <c r="O155" i="23"/>
  <c r="O154" i="23"/>
  <c r="O153" i="23"/>
  <c r="O152" i="23"/>
  <c r="O151" i="23"/>
  <c r="O150" i="23"/>
  <c r="O149" i="23"/>
  <c r="O148" i="23"/>
  <c r="O147" i="23"/>
  <c r="O146" i="23"/>
  <c r="O145" i="23"/>
  <c r="O144" i="23"/>
  <c r="O143" i="23"/>
  <c r="O142" i="23"/>
  <c r="O141" i="23"/>
  <c r="O140" i="23"/>
  <c r="O139" i="23"/>
  <c r="O138" i="23"/>
  <c r="O137" i="23"/>
  <c r="O136" i="23"/>
  <c r="O135" i="23"/>
  <c r="O134" i="23"/>
  <c r="O133" i="23"/>
  <c r="O132" i="23"/>
  <c r="O131" i="23"/>
  <c r="O130" i="23"/>
  <c r="O129" i="23"/>
  <c r="O128" i="23"/>
  <c r="O127" i="23"/>
  <c r="O126" i="23"/>
  <c r="O125" i="23"/>
  <c r="O124" i="23"/>
  <c r="O123" i="23"/>
  <c r="O122" i="23"/>
  <c r="O121" i="23"/>
  <c r="O120" i="23"/>
  <c r="O119" i="23"/>
  <c r="O118" i="23"/>
  <c r="O117" i="23"/>
  <c r="O116" i="23"/>
  <c r="O115" i="23"/>
  <c r="O114" i="23"/>
  <c r="O113" i="23"/>
  <c r="O112" i="23"/>
  <c r="O111" i="23"/>
  <c r="O110" i="23"/>
  <c r="K110" i="23"/>
  <c r="J109" i="23"/>
  <c r="J108" i="23"/>
  <c r="J107" i="23"/>
  <c r="J106" i="23"/>
  <c r="J105" i="23"/>
  <c r="J104" i="23"/>
  <c r="J103" i="23"/>
  <c r="J102" i="23"/>
  <c r="J101" i="23"/>
  <c r="J100" i="23"/>
  <c r="J99" i="23"/>
  <c r="J98" i="23"/>
  <c r="J97" i="23"/>
  <c r="J96" i="23"/>
  <c r="J95" i="23"/>
  <c r="J94" i="23"/>
  <c r="J93" i="23"/>
  <c r="J92" i="23"/>
  <c r="J91" i="23"/>
  <c r="J90" i="23"/>
  <c r="J89" i="23"/>
  <c r="J88" i="23"/>
  <c r="J87" i="23"/>
  <c r="J86" i="23"/>
  <c r="J85" i="23"/>
  <c r="J84" i="23"/>
  <c r="J83" i="23"/>
  <c r="J82" i="23"/>
  <c r="J81" i="23"/>
  <c r="J80" i="23"/>
  <c r="J79" i="23"/>
  <c r="J78" i="23"/>
  <c r="J77" i="23"/>
  <c r="J76" i="23"/>
  <c r="J75" i="23"/>
  <c r="J74" i="23"/>
  <c r="J73" i="23"/>
  <c r="J72" i="23"/>
  <c r="J71" i="23"/>
  <c r="J70" i="23"/>
  <c r="J69" i="23"/>
  <c r="J68" i="23"/>
  <c r="J67" i="23"/>
  <c r="J66" i="23"/>
  <c r="J65" i="23"/>
  <c r="J64" i="23"/>
  <c r="J63" i="23"/>
  <c r="J62" i="23"/>
  <c r="J61" i="23"/>
  <c r="J60" i="23"/>
  <c r="J59" i="23"/>
  <c r="J58" i="23"/>
  <c r="J57" i="23"/>
  <c r="J56" i="23"/>
  <c r="J55" i="23"/>
  <c r="J54" i="23"/>
  <c r="J53" i="23"/>
  <c r="J52" i="23"/>
  <c r="J51" i="23"/>
  <c r="J50" i="23"/>
  <c r="J49" i="23"/>
  <c r="J48" i="23"/>
  <c r="J47" i="23"/>
  <c r="J46" i="23"/>
  <c r="J45" i="23"/>
  <c r="J44" i="23"/>
  <c r="J43" i="23"/>
  <c r="J42" i="23"/>
  <c r="J41" i="23"/>
  <c r="J40" i="23"/>
  <c r="J39" i="23"/>
  <c r="J38" i="23"/>
  <c r="J37" i="23"/>
  <c r="J36" i="23"/>
  <c r="J35" i="23"/>
  <c r="J34" i="23"/>
  <c r="J33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J20" i="23"/>
  <c r="J19" i="23"/>
  <c r="J18" i="23"/>
  <c r="J17" i="23"/>
  <c r="J16" i="23"/>
  <c r="J15" i="23"/>
  <c r="J14" i="23"/>
  <c r="J13" i="23"/>
  <c r="J12" i="23"/>
  <c r="J11" i="23"/>
  <c r="J10" i="23"/>
  <c r="J9" i="23"/>
  <c r="J8" i="23"/>
  <c r="J7" i="23"/>
  <c r="J6" i="23"/>
  <c r="J5" i="23"/>
  <c r="J4" i="23"/>
  <c r="J3" i="23"/>
  <c r="J2" i="23"/>
  <c r="A65" i="26"/>
  <c r="A64" i="26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A3" i="26"/>
  <c r="F29" i="28" l="1"/>
  <c r="G27" i="2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113BC5-97F7-4844-8735-788A8E9ADDC0}" keepAlive="1" name="Consulta - BASE DE NOMES" description="Conexão com a consulta 'BASE DE NOMES' na pasta de trabalho." type="5" refreshedVersion="8" background="1" saveData="1">
    <dbPr connection="Provider=Microsoft.Mashup.OleDb.1;Data Source=$Workbook$;Location=&quot;BASE DE NOMES&quot;;Extended Properties=&quot;&quot;" command="SELECT * FROM [BASE DE NOMES]"/>
  </connection>
  <connection id="2" xr16:uid="{F900A343-4106-4917-BAD1-A14405C62122}" keepAlive="1" name="Consulta - Consulta1" description="Conexão com a consulta 'Consulta1' na pasta de trabalho." type="5" refreshedVersion="0" background="1">
    <dbPr connection="Provider=Microsoft.Mashup.OleDb.1;Data Source=$Workbook$;Location=Consulta1;Extended Properties=&quot;&quot;" command="SELECT * FROM [Consulta1]"/>
  </connection>
  <connection id="3" xr16:uid="{7E25A850-E4B5-4B25-86F5-AF42F221839D}" keepAlive="1" name="Consulta - Demitidos" description="Conexão com a consulta 'Demitidos' na pasta de trabalho." type="5" refreshedVersion="8" background="1" saveData="1">
    <dbPr connection="Provider=Microsoft.Mashup.OleDb.1;Data Source=$Workbook$;Location=Demitidos;Extended Properties=&quot;&quot;" command="SELECT * FROM [Demitidos]"/>
  </connection>
  <connection id="4" xr16:uid="{C3065C7B-6284-4215-A550-B86BC10DA964}" keepAlive="1" name="Consulta - Extrato Mensal" description="Conexão com a consulta 'Extrato Mensal' na pasta de trabalho." type="5" refreshedVersion="0" background="1">
    <dbPr connection="Provider=Microsoft.Mashup.OleDb.1;Data Source=$Workbook$;Location=&quot;Extrato Mensal&quot;;Extended Properties=&quot;&quot;" command="SELECT * FROM [Extrato Mensal]"/>
  </connection>
  <connection id="5" xr16:uid="{30091F50-E2D7-474C-9C09-8DEF67F8DBB2}" keepAlive="1" name="Consulta - Fenix" description="Conexão com a consulta 'Fenix' na pasta de trabalho." type="5" refreshedVersion="0" background="1">
    <dbPr connection="Provider=Microsoft.Mashup.OleDb.1;Data Source=$Workbook$;Location=Fenix;Extended Properties=&quot;&quot;" command="SELECT * FROM [Fenix]"/>
  </connection>
  <connection id="6" xr16:uid="{285F5322-4805-447D-85D3-DF323CFEF598}" keepAlive="1" name="Consulta - Folha Rainha" description="Conexão com a consulta 'Folha Rainha' na pasta de trabalho." type="5" refreshedVersion="8" background="1" saveData="1">
    <dbPr connection="Provider=Microsoft.Mashup.OleDb.1;Data Source=$Workbook$;Location=&quot;Folha Rainha&quot;;Extended Properties=&quot;&quot;" command="SELECT * FROM [Folha Rainha]"/>
  </connection>
  <connection id="7" xr16:uid="{146F591D-6AA6-445C-93D2-46CA7B64A03E}" keepAlive="1" name="Consulta - Função Invocada" description="Conexão com a consulta 'Função Invocada' na pasta de trabalho." type="5" refreshedVersion="0" background="1">
    <dbPr connection="Provider=Microsoft.Mashup.OleDb.1;Data Source=$Workbook$;Location=&quot;Função Invocada&quot;;Extended Properties=&quot;&quot;" command="SELECT * FROM [Função Invocada]"/>
  </connection>
  <connection id="8" xr16:uid="{013BACF9-B283-47D9-85A3-5E3B587AB4C4}" keepAlive="1" name="Consulta - Genesis" description="Conexão com a consulta 'Genesis' na pasta de trabalho." type="5" refreshedVersion="0" background="1">
    <dbPr connection="Provider=Microsoft.Mashup.OleDb.1;Data Source=$Workbook$;Location=Genesis;Extended Properties=&quot;&quot;" command="SELECT * FROM [Genesis]"/>
  </connection>
  <connection id="9" xr16:uid="{E8E33D97-2ECC-4024-91CB-FFD87EA399A3}" keepAlive="1" name="Consulta - GRATIFICAÇÃO" description="Conexão com a consulta 'GRATIFICAÇÃO' na pasta de trabalho." type="5" refreshedVersion="8" background="1" saveData="1">
    <dbPr connection="Provider=Microsoft.Mashup.OleDb.1;Data Source=$Workbook$;Location=GRATIFICAÇÃO;Extended Properties=&quot;&quot;" command="SELECT * FROM [GRATIFICAÇÃO]"/>
  </connection>
  <connection id="10" xr16:uid="{8DE38EE3-D971-47BA-A1A8-49F3BC39F933}" keepAlive="1" name="Consulta - Link" description="Conexão com a consulta 'Link' na pasta de trabalho." type="5" refreshedVersion="0" background="1">
    <dbPr connection="Provider=Microsoft.Mashup.OleDb.1;Data Source=$Workbook$;Location=Link;Extended Properties=&quot;&quot;" command="SELECT * FROM [Link]"/>
  </connection>
  <connection id="11" xr16:uid="{D77555BD-4D5D-48B3-81CD-526BCEF7B27D}" keepAlive="1" name="Consulta - Lojas" description="Conexão com a consulta 'Lojas' na pasta de trabalho." type="5" refreshedVersion="0" background="1">
    <dbPr connection="Provider=Microsoft.Mashup.OleDb.1;Data Source=$Workbook$;Location=Lojas;Extended Properties=&quot;&quot;" command="SELECT * FROM [Lojas]"/>
  </connection>
  <connection id="12" xr16:uid="{98183269-34EC-4C14-81C4-AFA93E5EBAD9}" keepAlive="1" name="Consulta - PG" description="Conexão com a consulta 'PG' na pasta de trabalho." type="5" refreshedVersion="8" background="1" saveData="1">
    <dbPr connection="Provider=Microsoft.Mashup.OleDb.1;Data Source=$Workbook$;Location=PG;Extended Properties=&quot;&quot;" command="SELECT * FROM [PG]"/>
  </connection>
  <connection id="13" xr16:uid="{BB9C919E-C24B-4854-B9FE-EE8447273EBF}" keepAlive="1" name="ThisWorkbookDataModel" description="Modelo de Dados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<sst xmlns="http://schemas.openxmlformats.org/spreadsheetml/2006/main" count="9646" uniqueCount="737">
  <si>
    <t>SITUAÇÃO</t>
  </si>
  <si>
    <t>DESC.ADIANT.SALARIAL</t>
  </si>
  <si>
    <t>VALE TRANSPORTE 6%</t>
  </si>
  <si>
    <t>QUEBRA DE CAIXA SECOFS</t>
  </si>
  <si>
    <t>TAXA ASSITENCIAL SECOFS</t>
  </si>
  <si>
    <t>TRIENIO</t>
  </si>
  <si>
    <t>VALE COMPRAS</t>
  </si>
  <si>
    <t>SALARIO FAMILIA</t>
  </si>
  <si>
    <t>HORAS FALTAS</t>
  </si>
  <si>
    <t>HORAS FALTAS DSR</t>
  </si>
  <si>
    <t>PENSAO ALIMENTICIA</t>
  </si>
  <si>
    <t>HORAS FERIAS</t>
  </si>
  <si>
    <t>VANTAGENS FERIAS</t>
  </si>
  <si>
    <t>ADIANTAMENTO DE FERIAS</t>
  </si>
  <si>
    <t>TRIENIO SERRINHA 3%</t>
  </si>
  <si>
    <t>TAXA ASSISTENCIAL SERRINHA</t>
  </si>
  <si>
    <t>QUEBRA DE CAIXA</t>
  </si>
  <si>
    <t>TRIENIO ALAGOINHAS</t>
  </si>
  <si>
    <t>PRO-LABORE</t>
  </si>
  <si>
    <t>TRIENIO SECOFS</t>
  </si>
  <si>
    <t>TAXA ASSISTENCIAL</t>
  </si>
  <si>
    <t>TRIENIO 3%</t>
  </si>
  <si>
    <t>QUEBRA DE CAIXA 12%</t>
  </si>
  <si>
    <t>SALDO DE SALARIO HORAS</t>
  </si>
  <si>
    <t>VALE TRANSPORTE</t>
  </si>
  <si>
    <t>TRIENIO COMERCIO</t>
  </si>
  <si>
    <t>SALARIO MATERNIDADE</t>
  </si>
  <si>
    <t>TRIENIO SINDCOMFS</t>
  </si>
  <si>
    <t>ADC. ANTIGUIDADE</t>
  </si>
  <si>
    <t>ASSISTÊNCIA ODONTOLÓGICA</t>
  </si>
  <si>
    <t>ASSIST. ODONTO OUTROS DEPENDENTES</t>
  </si>
  <si>
    <t>CONTRIBUICAO NEGOCIAL ASSISTENCIAL</t>
  </si>
  <si>
    <t xml:space="preserve"> 10 K DECORACOES CAMA MESA BANHO LTDA</t>
  </si>
  <si>
    <t>ADRIANA DE PINHO FRAGA QUEIROZ</t>
  </si>
  <si>
    <t>AUXILIAR DE VENDAS</t>
  </si>
  <si>
    <t>Trabalhando</t>
  </si>
  <si>
    <t>220:00</t>
  </si>
  <si>
    <t>ELIEYDE COITINHO SILVA</t>
  </si>
  <si>
    <t>VALDETE DA SILVA AMORIM</t>
  </si>
  <si>
    <t>GERENTE JUNIOR</t>
  </si>
  <si>
    <t xml:space="preserve"> 15 K COMERCIAL DE DECORACOES CAMA MESA E</t>
  </si>
  <si>
    <t>AUXILIAR DE SERVICOS GERAIS</t>
  </si>
  <si>
    <t>MARIANE SOUZA CORREIA</t>
  </si>
  <si>
    <t xml:space="preserve"> 21K COMERCIAL DE CAMA MESA E BANHO EIREL</t>
  </si>
  <si>
    <t>ANA PAULA NEVES DA SILVA LEITE</t>
  </si>
  <si>
    <t>JOSELMA SENA SANTOS</t>
  </si>
  <si>
    <t>OPERADOR DE CAIXA</t>
  </si>
  <si>
    <t>REJANE ALVES DE MATOS AMARAL</t>
  </si>
  <si>
    <t>ASSISTENTE DE VENDAS</t>
  </si>
  <si>
    <t>SILMARA OLIVEIRA DA SILVA</t>
  </si>
  <si>
    <t>PRO LABORE</t>
  </si>
  <si>
    <t>LUANA SILVA DOS SANTOS</t>
  </si>
  <si>
    <t>OSIEL SILVA DOS SANTOS</t>
  </si>
  <si>
    <t>SUELEM DOS SANTOS TAVARES</t>
  </si>
  <si>
    <t xml:space="preserve"> 5 K COMERCIAL DE DECORACOES CAMA MESA E</t>
  </si>
  <si>
    <t>EVANEIDE MATOS DE SOUZA</t>
  </si>
  <si>
    <t>CAIXA</t>
  </si>
  <si>
    <t>RODRIGO DA SILVA PEREIRA</t>
  </si>
  <si>
    <t>VENDEDOR (A)</t>
  </si>
  <si>
    <t xml:space="preserve"> AVANTE COMERCIAL DE CAMA, MESA E BANHO E</t>
  </si>
  <si>
    <t>MAIARA MARIA PEREIRA</t>
  </si>
  <si>
    <t>MANUELA DOS SANTOS DE JESUS</t>
  </si>
  <si>
    <t xml:space="preserve"> GRAND CANYON COMERCIAL DE CAMA MESA E BA</t>
  </si>
  <si>
    <t>ANNE KAROLINA NASCIMENTO DOS SANTOS</t>
  </si>
  <si>
    <t>ELAINE DA SILVA NEVES</t>
  </si>
  <si>
    <t>ISLANNY MIRLLA DE SOUZA SILVA</t>
  </si>
  <si>
    <t>LEILANA FELICIANO SANTANA</t>
  </si>
  <si>
    <t>Demitido</t>
  </si>
  <si>
    <t>RAISSA NAYLANE BARROSO AQUINO</t>
  </si>
  <si>
    <t>TARCIANE DE FRANCA MESQUITA</t>
  </si>
  <si>
    <t xml:space="preserve"> METANOIA COMERCIAL LTDA</t>
  </si>
  <si>
    <t>IOLANDA LIMA DA SILVA SANTOS</t>
  </si>
  <si>
    <t>JANDESON DOS REIS PEREIRA LIMA</t>
  </si>
  <si>
    <t>FISCAL DE LOJA</t>
  </si>
  <si>
    <t>ZILDA DA MOTA LIMA SANTOS</t>
  </si>
  <si>
    <t xml:space="preserve"> PRATTIKA COMERCIAL DE UTILIDADES DOMESTI</t>
  </si>
  <si>
    <t>CAMILA DE JESUS ALVES</t>
  </si>
  <si>
    <t>SERVICOS GERAIS</t>
  </si>
  <si>
    <t xml:space="preserve"> PSG IMPORTACAO E DISTRIBUICAO TEXTIL LTD</t>
  </si>
  <si>
    <t>ARIANA SANTOS DE OLIVEIRA MAXIMIANO</t>
  </si>
  <si>
    <t>ASSISTENTE FINANCEIRO</t>
  </si>
  <si>
    <t>EDNA BARBOSA DA SILVA</t>
  </si>
  <si>
    <t>AUXILIAR DE FATURAMENTO</t>
  </si>
  <si>
    <t>ITALO SANTOS CERQUEIRA</t>
  </si>
  <si>
    <t>ASSISTENTE DE MARKETING</t>
  </si>
  <si>
    <t>JOELMA SILVA SANTOS</t>
  </si>
  <si>
    <t>CONTROLLER</t>
  </si>
  <si>
    <t>MIGUEL NASCIMENTO DE JESUS</t>
  </si>
  <si>
    <t>NATERCIO PEREIRA SANTANA</t>
  </si>
  <si>
    <t>GERENTE DE EXPEDICAO</t>
  </si>
  <si>
    <t>REFERSON DAS NEVES SILVA</t>
  </si>
  <si>
    <t>AUXILIAR DE EXPEDICAO</t>
  </si>
  <si>
    <t>SAMARA DA SILVA SANTOS</t>
  </si>
  <si>
    <t>AUXILIAR ADMINISTRATIVO</t>
  </si>
  <si>
    <t xml:space="preserve"> RAINHA HOME CENTER EIRELI</t>
  </si>
  <si>
    <t>ROBERTO SALES NEVES</t>
  </si>
  <si>
    <t>SUELLEN LIMA SANTOS</t>
  </si>
  <si>
    <t xml:space="preserve"> RAINHA MAISON COMERCIAL LTDA</t>
  </si>
  <si>
    <t>MABEL CAVALCANTI DA SILVA CONCEICAO</t>
  </si>
  <si>
    <t>GERENTE DE VENDAS</t>
  </si>
  <si>
    <t>VALDICK SANTOS LEAO</t>
  </si>
  <si>
    <t>MOTORISTA</t>
  </si>
  <si>
    <t xml:space="preserve"> REIS DO NORDESTE CAMA MESA E BANHO LTDA</t>
  </si>
  <si>
    <t>ADAILTON DE JESUS FREIRE JUNIOR</t>
  </si>
  <si>
    <t>COORDENADOR ( A )</t>
  </si>
  <si>
    <t>EMBALADOR ( A )</t>
  </si>
  <si>
    <t>ALBERTO DO NASCIMENTO SANTOS</t>
  </si>
  <si>
    <t>COSME HUMBERTO DO NASCIMENTO</t>
  </si>
  <si>
    <t>DANIELA ALVES GOES</t>
  </si>
  <si>
    <t>COSTUREIRO ( A )</t>
  </si>
  <si>
    <t>ELENILDES DA SILVA FONTES CARDOSO</t>
  </si>
  <si>
    <t>ELMA SOARES CALISTO</t>
  </si>
  <si>
    <t>EMERSON SANTOS DE OLIVEIRA</t>
  </si>
  <si>
    <t>CORTADOR ( A )</t>
  </si>
  <si>
    <t>GENIVALDO ALMEIDA DA HORA</t>
  </si>
  <si>
    <t>GHEOMAR DOS SANTOS NASCIMENTO</t>
  </si>
  <si>
    <t>GILSOM DE JESUS MONTEIRO</t>
  </si>
  <si>
    <t>GILVAN JOSE DOS SANTOS</t>
  </si>
  <si>
    <t>GIVANILSON DE SOUZA MORAIS</t>
  </si>
  <si>
    <t>IRANILDO SANTOS DO NASCIMENTO</t>
  </si>
  <si>
    <t>JEFERSON DOS SANTOS COSTA</t>
  </si>
  <si>
    <t>JEFFERSON NERY OLIVEIRA</t>
  </si>
  <si>
    <t>JESSICA DA CONCEICAO SANTANA</t>
  </si>
  <si>
    <t>JILMAN DOS SANTOS</t>
  </si>
  <si>
    <t>GERENTE</t>
  </si>
  <si>
    <t>JOAO BATISTA SILVA ALMEIDA</t>
  </si>
  <si>
    <t>JORGE DE JESUS NASCIMENTO</t>
  </si>
  <si>
    <t>JOSE ACLECIO DOS SANTOS</t>
  </si>
  <si>
    <t>JOSE IGOR DE JESUS NASCIMENTO</t>
  </si>
  <si>
    <t>JOSE JADIEL NASCIMENTO</t>
  </si>
  <si>
    <t>AUXILIAR DE CORTE</t>
  </si>
  <si>
    <t>JOSEANE BATISTA DOS SANTOS</t>
  </si>
  <si>
    <t>JOSEFA TANAELLE DIAS DA SILVA</t>
  </si>
  <si>
    <t>JOSIMA BATISTA DE ALMEIDA</t>
  </si>
  <si>
    <t>LEILIANE RODRIGUES DOS SANTOS</t>
  </si>
  <si>
    <t>MARCIA ANDREIA SOUZA DE ANDRADE</t>
  </si>
  <si>
    <t>MAURI SANTOS SANTANA</t>
  </si>
  <si>
    <t>MIGUEL COELHO DOS SANTOS</t>
  </si>
  <si>
    <t>MILLENE NASCIMENTO PEREIRA SANTOS</t>
  </si>
  <si>
    <t>PATRICIA DOS SANTOS</t>
  </si>
  <si>
    <t>RODRIGO MACEDO DE SANTANA</t>
  </si>
  <si>
    <t>TAIANE DE JESUS NASCIMENTO</t>
  </si>
  <si>
    <t>VALCIANA BATISTA DOS SANTOS</t>
  </si>
  <si>
    <t>VALDILENE DOS SANTOS BACELAR</t>
  </si>
  <si>
    <t>SOCIO-GERENTE</t>
  </si>
  <si>
    <t>VENANCIO BISPO DOS SANTOS</t>
  </si>
  <si>
    <t>VERONICA SANTOS DA SILVA</t>
  </si>
  <si>
    <t>WELLIGTON RIBEIRO SANTOS</t>
  </si>
  <si>
    <t>WESLEY SOUZA GAMA</t>
  </si>
  <si>
    <t>WILLAS MATOS DOS SANTOS</t>
  </si>
  <si>
    <t>WILLIAM NASCIMENTO DOS SANTOS</t>
  </si>
  <si>
    <t>WILTON RIBEIRO DOS SANTOS</t>
  </si>
  <si>
    <t>GILBERTO GALDINO DOS SANTOS</t>
  </si>
  <si>
    <t>MARIVALDA DE LIMA SALES SILVA</t>
  </si>
  <si>
    <t>MERCIA DAMIANA DE SANTANA</t>
  </si>
  <si>
    <t>DJENANE DA SILVA SANTANA</t>
  </si>
  <si>
    <t>CAMILA SILVA MOTA</t>
  </si>
  <si>
    <t>IVONETE DE SOUSA NUNES BARBOSA</t>
  </si>
  <si>
    <t>MICAELLA FLAIZA DE SOUZA</t>
  </si>
  <si>
    <t>NATIELE DE ALMEIDA BASTOS</t>
  </si>
  <si>
    <t>SANDRA PEREIRA SALES</t>
  </si>
  <si>
    <t>ANALIA GUIMARAES MARQUES</t>
  </si>
  <si>
    <t>DANIELE COSTA BARRETTO</t>
  </si>
  <si>
    <t>DENISE JESUS DE SOUZA</t>
  </si>
  <si>
    <t>CONFERENTE</t>
  </si>
  <si>
    <t>GILBERTO DOS SANTOS</t>
  </si>
  <si>
    <t>KESSIA DA COSTA SILVA</t>
  </si>
  <si>
    <t>ANA PAULA DAS VIRGENS SANTOS</t>
  </si>
  <si>
    <t>RAIRES DA HORA SANTOS</t>
  </si>
  <si>
    <t>DENISE DOS SANTOS</t>
  </si>
  <si>
    <t>RILZA DE SOUZA SANTANNA</t>
  </si>
  <si>
    <t>CINTIA DE OLIVEIRA FELIX</t>
  </si>
  <si>
    <t>JIRLENE DE SOUZA GONCALVES</t>
  </si>
  <si>
    <t>LUCIANA SILVA DE SOUZA</t>
  </si>
  <si>
    <t>LUCIANA VIANA COSTA</t>
  </si>
  <si>
    <t>OSMAR CORDEIRO ESTRELA</t>
  </si>
  <si>
    <t>SUZENE DE CARVALHO SILVA E SILVA</t>
  </si>
  <si>
    <t>ARIANE PINHO DE CERQUEIRA</t>
  </si>
  <si>
    <t>ELIANE DOS SANTOS SILVA</t>
  </si>
  <si>
    <t>FRANCIELE DOS SANTOS ARAUJO</t>
  </si>
  <si>
    <t>HEMILENE SOUZA RIBEIRO</t>
  </si>
  <si>
    <t>MARIA JOSE CONI FONSECA</t>
  </si>
  <si>
    <t>SHIRLLEY SILVA DOS SANTOS</t>
  </si>
  <si>
    <t>UELITON DA SILVA DE JESUS</t>
  </si>
  <si>
    <t>Salário:</t>
  </si>
  <si>
    <t>Rótulos de Linha</t>
  </si>
  <si>
    <t>Total Geral</t>
  </si>
  <si>
    <t>24594917000120</t>
  </si>
  <si>
    <t>29206538000139</t>
  </si>
  <si>
    <t>13412162000189</t>
  </si>
  <si>
    <t>25261092000194</t>
  </si>
  <si>
    <t>26652845000155</t>
  </si>
  <si>
    <t>31431486000146</t>
  </si>
  <si>
    <t>22352442000130</t>
  </si>
  <si>
    <t>12862282000115</t>
  </si>
  <si>
    <t>42098047000180</t>
  </si>
  <si>
    <t>19847315000105</t>
  </si>
  <si>
    <t>14284064000176</t>
  </si>
  <si>
    <t>05697368000174</t>
  </si>
  <si>
    <t>05697368000336</t>
  </si>
  <si>
    <t>VALES</t>
  </si>
  <si>
    <t>Nº</t>
  </si>
  <si>
    <t>GERENTE JÚNIOR</t>
  </si>
  <si>
    <t>ALDA COUTINHO DA SILVA</t>
  </si>
  <si>
    <t>GABRIELE SOUZA OLIVEIRA</t>
  </si>
  <si>
    <t>NORMA NEIDE SOUZA DE JESUS</t>
  </si>
  <si>
    <t>SIDNEA SOARES PINTO</t>
  </si>
  <si>
    <t>AILTON LUCENA</t>
  </si>
  <si>
    <t>IRACEMA DE ALMEIDA E SILVA</t>
  </si>
  <si>
    <t>JENALDO ALVES DO NASCIMENTO</t>
  </si>
  <si>
    <t>GERENTE FINANCEIRO</t>
  </si>
  <si>
    <t>JUCILENE SILVA DOS REIS</t>
  </si>
  <si>
    <t>SERVIÇOS GERAIS</t>
  </si>
  <si>
    <t>COSTUREIRO (A)</t>
  </si>
  <si>
    <t>C.CHEQUE</t>
  </si>
  <si>
    <t>FALTAS</t>
  </si>
  <si>
    <t>SINARIA DE MENEZES PINHEIRO</t>
  </si>
  <si>
    <t>PAULO REIS LIMA</t>
  </si>
  <si>
    <t>EDINEA SOUZA DA CONCEICAO DE AZEVEDO</t>
  </si>
  <si>
    <t>EDISLEY DA CONCEICAO</t>
  </si>
  <si>
    <t>MARILIA FERREIRA MASCARENHAS PEREIRA</t>
  </si>
  <si>
    <t>VENDEDOR(A)</t>
  </si>
  <si>
    <t>CRISTIANE DE SANTANA BRANDAO FARIAS</t>
  </si>
  <si>
    <t>15 K COMERCIAL</t>
  </si>
  <si>
    <t>AVANTE</t>
  </si>
  <si>
    <t>ESCRITORIO</t>
  </si>
  <si>
    <t>FABRICA</t>
  </si>
  <si>
    <t>FENIX</t>
  </si>
  <si>
    <t>GENESIS</t>
  </si>
  <si>
    <t>GRAND CANYON</t>
  </si>
  <si>
    <t>HOME CENTER</t>
  </si>
  <si>
    <t>MAISON</t>
  </si>
  <si>
    <t>METANÓIA</t>
  </si>
  <si>
    <t>PRATTIKA</t>
  </si>
  <si>
    <t>PSG</t>
  </si>
  <si>
    <t>ADILZA SILVA DE ARAUJO</t>
  </si>
  <si>
    <t>ALESSANDRO BATISTA DA ROCHA</t>
  </si>
  <si>
    <t>CARLA DOS SANTOS NASCIMENTO</t>
  </si>
  <si>
    <t>DANIELE SOARES SANTOS</t>
  </si>
  <si>
    <t>FAGNER OLIVEIRA DOS SANTOS</t>
  </si>
  <si>
    <t>GEIZA VITORIA DE JESUS</t>
  </si>
  <si>
    <t>GRACIELE SANTOS SOUZA</t>
  </si>
  <si>
    <t>ANAIVANDA CRISTINA DOS SANTOS FERREIRA</t>
  </si>
  <si>
    <t>SAULO GOMES DA SILVA</t>
  </si>
  <si>
    <t>JOSIELMA DE SANTANA NEVES</t>
  </si>
  <si>
    <t>JULIANA SANTANA SANTOS</t>
  </si>
  <si>
    <t>LUIDINEIDE RIBEIRO SANTANA SOARES</t>
  </si>
  <si>
    <t>MARCIA DOS SANTOS COSTA</t>
  </si>
  <si>
    <t>MARIA JOSE SANTOS DE ALMEIDA</t>
  </si>
  <si>
    <t>TANIA ALMEIDA DA SILVA</t>
  </si>
  <si>
    <t>WIVINA GONZAGA DIAS</t>
  </si>
  <si>
    <t>EMBALADOR</t>
  </si>
  <si>
    <t>REIS FÁBRICA</t>
  </si>
  <si>
    <t>RAINHA HOME</t>
  </si>
  <si>
    <t>REIS MATRIZ</t>
  </si>
  <si>
    <t>GRATIFICAÇÃO</t>
  </si>
  <si>
    <t xml:space="preserve"> 30 K COMERCIAL LTDA</t>
  </si>
  <si>
    <t>30233249000108</t>
  </si>
  <si>
    <t>VENDEDOR</t>
  </si>
  <si>
    <t>JOELSON DE JESUS CONCEICAO</t>
  </si>
  <si>
    <t>I.N.S.S.</t>
  </si>
  <si>
    <t>ENCARREGADO ( A ) FATURAMENTO</t>
  </si>
  <si>
    <t>QUEBRA DE CAIXA 5%</t>
  </si>
  <si>
    <t>GERENTE COMERCIAL</t>
  </si>
  <si>
    <t>ASSISTENTE DE SETOR FISCAL</t>
  </si>
  <si>
    <t>ELIENE PEREIRA</t>
  </si>
  <si>
    <t>ELISEU JESUS DOS SANTOS</t>
  </si>
  <si>
    <t>ROSIMEIRE DAMIAO</t>
  </si>
  <si>
    <t>ERIKA JULYANA AMORIM CORTES</t>
  </si>
  <si>
    <t>ASSISTENTE SETOR FISCAL</t>
  </si>
  <si>
    <t>ASSISTENTE DE RH</t>
  </si>
  <si>
    <t>ANDREA VIRGINIA DO PRADO RAMOS</t>
  </si>
  <si>
    <t>MARCIA FERREIRA DOS SANTOS</t>
  </si>
  <si>
    <t>LIQUIDO RESCISAO</t>
  </si>
  <si>
    <t>Acidente trabalho</t>
  </si>
  <si>
    <t>DESCONTO HORAS AFASTADAS ACID TRABALHO</t>
  </si>
  <si>
    <t>Férias</t>
  </si>
  <si>
    <t>FÊNIX</t>
  </si>
  <si>
    <t>PAULO CRYSTIAN DE MACEDO DA SILVA FERREIRA</t>
  </si>
  <si>
    <t>DARLENE DA SILVA TORRES</t>
  </si>
  <si>
    <t>RAINHA MAISON</t>
  </si>
  <si>
    <t>JOSE CARLOS RIBEIRO DE OLIVEIRA</t>
  </si>
  <si>
    <t>PAULO VINICIUS DO NASCIMENTO BEZERRA</t>
  </si>
  <si>
    <t>HELLEN COSTA CARVALHO SOBRAL</t>
  </si>
  <si>
    <t>YASMIN RAYANA MACHADO RODRIGUES</t>
  </si>
  <si>
    <t>ESTAGIARIO(A)</t>
  </si>
  <si>
    <t>BOLSA AUXILIO DESCONTO ADIANTAMENTO</t>
  </si>
  <si>
    <t>DESCONTO HORAS AFASTADAS</t>
  </si>
  <si>
    <t>ESTOURO MES ANTERIOR</t>
  </si>
  <si>
    <t>TAXA ASSITENCIAL</t>
  </si>
  <si>
    <t>ANALISTA E-COMMERCE</t>
  </si>
  <si>
    <t>ESTAGIARIO (A)</t>
  </si>
  <si>
    <t>JOAO VICTOR DE SOUZA SANTANA</t>
  </si>
  <si>
    <t>TAXA ASSISTENCIAL SINDCARFS</t>
  </si>
  <si>
    <t>IRRF SOBRE RESCISAO</t>
  </si>
  <si>
    <t>CARLA DE SOUZA TEIXEIRA DOS SANTOS</t>
  </si>
  <si>
    <t>LIQUIDO RESCISAO ESTAGIARIO</t>
  </si>
  <si>
    <t>CLAUDIA CAROLINA RIOS BAPTISTA DE OLIVEIRA</t>
  </si>
  <si>
    <t>66:00</t>
  </si>
  <si>
    <t>205:20</t>
  </si>
  <si>
    <t>58:40</t>
  </si>
  <si>
    <t>117:20</t>
  </si>
  <si>
    <t>51:20</t>
  </si>
  <si>
    <t>ESTAGIARIO</t>
  </si>
  <si>
    <t>MARIANA BATISTA DA CRUZ</t>
  </si>
  <si>
    <t>CARLA TAMIRES SANTANA PINTO</t>
  </si>
  <si>
    <t>ELIEGE DOS SANTOS ALMEIDA NOGUEIRA</t>
  </si>
  <si>
    <t>THAYS GUIMARAES DE LIMA</t>
  </si>
  <si>
    <t>ROGERIO CARDOSO DOS SANTOS</t>
  </si>
  <si>
    <t>GERENTE DE RH</t>
  </si>
  <si>
    <t>COSTUREIRA</t>
  </si>
  <si>
    <t>COORDENADOR</t>
  </si>
  <si>
    <t>DORIVALDO SANTOS ARAUJO</t>
  </si>
  <si>
    <t>GINALDO SOARES DOS SANTOS</t>
  </si>
  <si>
    <t>LINCOLN ALVES DOS SANTOS</t>
  </si>
  <si>
    <t>MAIZA TRINDADE ALVEZ</t>
  </si>
  <si>
    <t>ROSICLEIA DOS SANTOS SILVA</t>
  </si>
  <si>
    <t>VINICIUS SILVA DOS SANTOS</t>
  </si>
  <si>
    <t>05K COMERCIAL</t>
  </si>
  <si>
    <t>10 K DECORACOES</t>
  </si>
  <si>
    <t>15K COMERCIAL</t>
  </si>
  <si>
    <t>30K COMERCIAL</t>
  </si>
  <si>
    <t>METANOIA</t>
  </si>
  <si>
    <t>VANUZA SILVA DOS REIS</t>
  </si>
  <si>
    <t>APOIO LOJA</t>
  </si>
  <si>
    <t>REIS FABRICA</t>
  </si>
  <si>
    <t>VALE XEL</t>
  </si>
  <si>
    <t>LAIANE DOS SANTOS MELO</t>
  </si>
  <si>
    <t>LOJAS</t>
  </si>
  <si>
    <t>TOTAL DE QUEBRA</t>
  </si>
  <si>
    <t>TOTAL DE TRIENIO</t>
  </si>
  <si>
    <t>VALE COMPRAS TOTAIS</t>
  </si>
  <si>
    <t>TX ASSIS. TOTAL</t>
  </si>
  <si>
    <t>FAMILIA</t>
  </si>
  <si>
    <t>BENEFICIOS</t>
  </si>
  <si>
    <t>PAGAMENTOS</t>
  </si>
  <si>
    <t xml:space="preserve">SOCIO-GERENTE </t>
  </si>
  <si>
    <t>TOTAL DE C.CHEQUE</t>
  </si>
  <si>
    <t>SALARIO BASE</t>
  </si>
  <si>
    <t>SALARIO BASE 2</t>
  </si>
  <si>
    <t xml:space="preserve"> BENEFICIOS</t>
  </si>
  <si>
    <t xml:space="preserve"> VALE COMPRAS TOTAIS</t>
  </si>
  <si>
    <t>Nome</t>
  </si>
  <si>
    <t>Função</t>
  </si>
  <si>
    <t>Razão Social</t>
  </si>
  <si>
    <t>Alocação</t>
  </si>
  <si>
    <t>IMPOSTOS</t>
  </si>
  <si>
    <t>SALARIO COM  IMPOSTOS</t>
  </si>
  <si>
    <t xml:space="preserve"> SALARIO COM  IMPOSTOS</t>
  </si>
  <si>
    <t>21K DECORAÇÕES</t>
  </si>
  <si>
    <t>SR PASSOS</t>
  </si>
  <si>
    <t>10k DECORAÇÕES</t>
  </si>
  <si>
    <t>5K DECORAÇÕES</t>
  </si>
  <si>
    <t xml:space="preserve">30 K </t>
  </si>
  <si>
    <t>E-COMMERCE</t>
  </si>
  <si>
    <t>21K FILIAL</t>
  </si>
  <si>
    <t>LOJA FÁBRICA</t>
  </si>
  <si>
    <t>ALESSANDRA SILVA DE ARAUJO</t>
  </si>
  <si>
    <t>ESCRITÓRIO</t>
  </si>
  <si>
    <t>COSMINHA PEREIRA COELHO</t>
  </si>
  <si>
    <t>DANIELA MERCURI SANTOS DE JESUS</t>
  </si>
  <si>
    <t>PSG - CD</t>
  </si>
  <si>
    <t>GABRIELLE CRUZ DOS SANTOS</t>
  </si>
  <si>
    <t>GESSICA SOARES DOS SANTOS</t>
  </si>
  <si>
    <t>GINIELMA MARIA DOS SANTOS</t>
  </si>
  <si>
    <t>TAINARA BARBOSA DOS SANTOS</t>
  </si>
  <si>
    <t>MICHELLE JESUS ROCHA ESTRELA</t>
  </si>
  <si>
    <t>ADRIANE AMORIM  RIBEIRO</t>
  </si>
  <si>
    <t>JACIONETE DOS SANTOS  MIRANDA</t>
  </si>
  <si>
    <t>ANDRESA FERNANDES LIMA CRUZ</t>
  </si>
  <si>
    <t>ELLEN QUELLE SANTOS PATROCINIO</t>
  </si>
  <si>
    <t>JANEIDE SANTANA DOS REIS</t>
  </si>
  <si>
    <t>LINDE MELLANY BRAGA AZEVEDO</t>
  </si>
  <si>
    <t>MANUELA ARAUJO LISBOA</t>
  </si>
  <si>
    <t>SIMONE GUIMARAES SANTOS</t>
  </si>
  <si>
    <t>IALA CARDINALLE DA CONCEICAO ALMEIDA</t>
  </si>
  <si>
    <t>DEBORA REGINA SOUSA DA SILVA</t>
  </si>
  <si>
    <t>ANGELICA DE SANTANA ROCHA SILVA</t>
  </si>
  <si>
    <t>DANIELLE CUNHA BORGES</t>
  </si>
  <si>
    <t>ERICA DA SILVA LIMA</t>
  </si>
  <si>
    <t>ADRIANA DE PINHO FRAGA MEIRELES</t>
  </si>
  <si>
    <t>ENCARREGADO DE TI</t>
  </si>
  <si>
    <t>DANILO RIBEIRO SANTANA</t>
  </si>
  <si>
    <t>HELEN CAROLINE BATISTA DOS SANTOS</t>
  </si>
  <si>
    <t>TAIUANA SANTOS SOARES</t>
  </si>
  <si>
    <t xml:space="preserve">CAIXA </t>
  </si>
  <si>
    <t xml:space="preserve">VENDEDOR </t>
  </si>
  <si>
    <t>COSTUREIRA (O)</t>
  </si>
  <si>
    <t xml:space="preserve">SERVICOS GERAIS </t>
  </si>
  <si>
    <t xml:space="preserve">CONFERENTE </t>
  </si>
  <si>
    <t xml:space="preserve">CORTADOR ( A ) </t>
  </si>
  <si>
    <t xml:space="preserve">AUXILIAR ADMINISTRATIVO  </t>
  </si>
  <si>
    <t>(Vários itens)</t>
  </si>
  <si>
    <t>Origem</t>
  </si>
  <si>
    <t>ALINE DE SOUZA SANTOS</t>
  </si>
  <si>
    <t>JEAN SANTOS TORRES</t>
  </si>
  <si>
    <t>RAPHAEL AQUINO BIZIU</t>
  </si>
  <si>
    <t>SUPERVISOR DE VENDAS</t>
  </si>
  <si>
    <t>Soma de Total</t>
  </si>
  <si>
    <t>VENDEDOR (a)</t>
  </si>
  <si>
    <t>10K DECORAÇÕES</t>
  </si>
  <si>
    <t>15K DECORAÇÕES</t>
  </si>
  <si>
    <t>FRANCISCA SELMA SANTOS DE SALES</t>
  </si>
  <si>
    <t>SUPERVISOR</t>
  </si>
  <si>
    <t>ASSISTENTE DO FINANCEIRO</t>
  </si>
  <si>
    <t xml:space="preserve">GERENTE </t>
  </si>
  <si>
    <t>LUCAS RAMOS CATARINO</t>
  </si>
  <si>
    <t>EMBALADOR (A)</t>
  </si>
  <si>
    <t>ENCARREGADA DE FATURAMENTO</t>
  </si>
  <si>
    <t>AUXILIAR  ADMINISTRATIVO</t>
  </si>
  <si>
    <t>Atributo</t>
  </si>
  <si>
    <t>Valor</t>
  </si>
  <si>
    <t>Salário Base</t>
  </si>
  <si>
    <t>Quebra de Caixa   5%</t>
  </si>
  <si>
    <t>Salário Família</t>
  </si>
  <si>
    <t>Vale Transporte</t>
  </si>
  <si>
    <t>VANEUZA REBOUCAS DE JESUS SANTANA</t>
  </si>
  <si>
    <t>HORAS NORMAIS</t>
  </si>
  <si>
    <t>AUXILIO PLANO DE BENEFICIOS DEPENDENTES</t>
  </si>
  <si>
    <t>MENSALIDADE SINDICAL</t>
  </si>
  <si>
    <t>BOLSA AUXILIO</t>
  </si>
  <si>
    <t xml:space="preserve">AUXILIO TRANSPORTE </t>
  </si>
  <si>
    <t xml:space="preserve">TAXA ASSISTENCIAL </t>
  </si>
  <si>
    <t>QUADRIENIO</t>
  </si>
  <si>
    <t>Admissão</t>
  </si>
  <si>
    <t>COM REGISTRO</t>
  </si>
  <si>
    <t xml:space="preserve">CONTRATO </t>
  </si>
  <si>
    <t>SEM REGISTRO</t>
  </si>
  <si>
    <t>Status</t>
  </si>
  <si>
    <t>NOME2</t>
  </si>
  <si>
    <t>"IMPORTOS", each if [Alocação.1] = "REIS FÁBRICA" then 0.5033 else if [Alocação.1] = "REIS MATRIZ" then 0.5033 else if [Alocação.1] = "PSG" then 0.5033 else 0.2 , type number )</t>
  </si>
  <si>
    <t>tx</t>
  </si>
  <si>
    <t xml:space="preserve">DESCONTO </t>
  </si>
  <si>
    <t>BOLSA DE AUXILIO</t>
  </si>
  <si>
    <t>VALE TRANSP</t>
  </si>
  <si>
    <t>PLANO DE SAUDE</t>
  </si>
  <si>
    <t>DESCONTOS</t>
  </si>
  <si>
    <t>Funcionarios</t>
  </si>
  <si>
    <t>Coluna1</t>
  </si>
  <si>
    <t>RAQUEL BONFIM OLIVEIRA DA SILVA</t>
  </si>
  <si>
    <t>MIGUEL NASCIMENTO DE JESUS FILHO</t>
  </si>
  <si>
    <t>CARIANE RODRIGUES ARAUJO</t>
  </si>
  <si>
    <t>GILVANIA LOPES FREITAS</t>
  </si>
  <si>
    <t>IASMIN LUANY PAULINO DE OLIVEIRA</t>
  </si>
  <si>
    <t>PAULO CESAR SILVA COSTA</t>
  </si>
  <si>
    <t>NAIRA COSTA SANTANA</t>
  </si>
  <si>
    <t>MARIVALDA DE LIMA SALES</t>
  </si>
  <si>
    <t>JULIA CAMPOS DE MATOS</t>
  </si>
  <si>
    <t>SUBGERENTE</t>
  </si>
  <si>
    <t>CAROLAINE SANTOS RAMOS</t>
  </si>
  <si>
    <t>QUEBRA DE CAIXA SIND JUAZEIRO</t>
  </si>
  <si>
    <t>LAVINIA REIS DE LIMA</t>
  </si>
  <si>
    <t>PATRICIA XAVIER CARNEIRO</t>
  </si>
  <si>
    <t>AUXILIAR DE TI</t>
  </si>
  <si>
    <t>GRUPO RAINHA</t>
  </si>
  <si>
    <t xml:space="preserve">ESTAGIARIO ( A ) </t>
  </si>
  <si>
    <t>FERNANDA DA SILVA MASCENA</t>
  </si>
  <si>
    <t>FABRICIO SOUZA DOS SANTOS</t>
  </si>
  <si>
    <t>WILMA SILVA DE ALMEIDA</t>
  </si>
  <si>
    <t>CLEIFERSON DE SANTANA DOS SANTOS</t>
  </si>
  <si>
    <t>ELIANE ANDRADE OLIVEIRA DOS SANTOS</t>
  </si>
  <si>
    <t>CLAUDINEA DOS SANTOS BARROS</t>
  </si>
  <si>
    <t>DANIEL SEALIAN RIBEIRO DOS SANTOS</t>
  </si>
  <si>
    <t>LUCIENE ORNELAS DE SANTANA</t>
  </si>
  <si>
    <t>LUCILEIDE LOPES</t>
  </si>
  <si>
    <t>BRENDA SILVA DE BRITO CARNEIRO</t>
  </si>
  <si>
    <t>DANIEL SILVA NUNES</t>
  </si>
  <si>
    <t>ISRAELLE DOS SANTOS COSTA</t>
  </si>
  <si>
    <t>RICARDO TELES SANTANA</t>
  </si>
  <si>
    <t>ARLENE JESUS LIMA</t>
  </si>
  <si>
    <t>MARCOS LEVI SILVA ALVES</t>
  </si>
  <si>
    <t>BEATRIZ DE JESUS CERQUEIRA</t>
  </si>
  <si>
    <t>GISELE LIMA DOS SANTOS</t>
  </si>
  <si>
    <t>CAILA ROBERTA DA COSTA LIMA</t>
  </si>
  <si>
    <t>THALYTA BEATRIZ SANTOS ALCANTARA</t>
  </si>
  <si>
    <t>IVONISE CARVALHO DE JESUS</t>
  </si>
  <si>
    <t>AMANDA TEIXEIRA FREITAS</t>
  </si>
  <si>
    <t>SAMARA RAISSA DA PAIXAO CARDOSO</t>
  </si>
  <si>
    <t>Trienio  5%</t>
  </si>
  <si>
    <t>MARIA ROSILENE DOS SANTOS LIMA</t>
  </si>
  <si>
    <t>CAIXA /  SUBGERENTE</t>
  </si>
  <si>
    <t>MARIA ROSILENE DOS SANTOS LIMA - 24/01/2024</t>
  </si>
  <si>
    <t>SERVIÇOS GERAIS/VENDAS</t>
  </si>
  <si>
    <t>SERVIÇOES GERAIS</t>
  </si>
  <si>
    <t>OLGA DAMASCENO DOS SANTOS MELO</t>
  </si>
  <si>
    <t>AUXILIAR DE DP</t>
  </si>
  <si>
    <t>MARISTELA DALTRO SANTANA BISPO</t>
  </si>
  <si>
    <t xml:space="preserve">VENDEDORA </t>
  </si>
  <si>
    <t>AUX TI</t>
  </si>
  <si>
    <t>Cargo</t>
  </si>
  <si>
    <t>Adm:</t>
  </si>
  <si>
    <t>Situação</t>
  </si>
  <si>
    <t xml:space="preserve">TAXA ASSITENCIAL </t>
  </si>
  <si>
    <t>CAROLAINE SILVA DE ASSIS</t>
  </si>
  <si>
    <t>CAIXA 01</t>
  </si>
  <si>
    <t>SAMARA COSTA PINTO</t>
  </si>
  <si>
    <t>GEOVANA LYSSA BARROS SANTOS</t>
  </si>
  <si>
    <t>GISELE TEIXEIRA DE SOUZA DIAS</t>
  </si>
  <si>
    <t>PSG IMPORTACAO E DISTRIBUICAO TEXTIL LTD</t>
  </si>
  <si>
    <t>RAINHA HOME CENTER LTDA</t>
  </si>
  <si>
    <t>5 K COMERCIAL DE DECORACOES CAMA MESA E</t>
  </si>
  <si>
    <t>REIS DO NORDESTE CAMA MESA E BANHO LTDA</t>
  </si>
  <si>
    <t>GRAND CANYON COMERCIAL DE CAMA MESA E BA</t>
  </si>
  <si>
    <t>RAINHA MAISON COMERCIAL LTDA</t>
  </si>
  <si>
    <t>NOME3</t>
  </si>
  <si>
    <t>SERV.GERAIS</t>
  </si>
  <si>
    <t>VITOR MATEUS CARVALHO ROCHA</t>
  </si>
  <si>
    <t>05 K</t>
  </si>
  <si>
    <t>05K</t>
  </si>
  <si>
    <t>GÊNESIS</t>
  </si>
  <si>
    <t>Alocações</t>
  </si>
  <si>
    <t>10K</t>
  </si>
  <si>
    <t xml:space="preserve">1919 - VALE XEL COMERCIAL DE CAMA MESA E BANHO </t>
  </si>
  <si>
    <t>934 - REIS DO NORDESTE CAMA MESA E BANHO LTDA</t>
  </si>
  <si>
    <t>728 - RAINHA MAISON COMERCIAL LTDA</t>
  </si>
  <si>
    <t>1871 - 30 K COMERCIAL LTDA</t>
  </si>
  <si>
    <t>731 - REIS DO NORDESTE CAMA MESA E BANHO LTDA</t>
  </si>
  <si>
    <t>1818 - 15 K COMERCIAL DE DECORACOES CAMA MESA E</t>
  </si>
  <si>
    <t>1916 - GRAND CANYON COMERCIAL DE CAMA MESA E BA</t>
  </si>
  <si>
    <t>1683 - AVANTE COMERCIAL DE CAMA, MESA E BANHO L</t>
  </si>
  <si>
    <t>1155 - RAINHA HOME CENTER LTDA</t>
  </si>
  <si>
    <t>1373 - METANOIA COMERCIAL LTDA</t>
  </si>
  <si>
    <t>716 - PRATTIKA COMERCIAL DE UTILIDADES DOMESTI</t>
  </si>
  <si>
    <t xml:space="preserve">1628 - 5 K COMERCIAL DE DECORACOES CAMA MESA E </t>
  </si>
  <si>
    <t>IMPOSTO DE RENDA</t>
  </si>
  <si>
    <t>Valor Total</t>
  </si>
  <si>
    <t>COSTUREIRO</t>
  </si>
  <si>
    <t>CORTADOR</t>
  </si>
  <si>
    <t>AUXILIAR CORTE</t>
  </si>
  <si>
    <t>GIZELIA LIMA BARBOSA</t>
  </si>
  <si>
    <t xml:space="preserve">MOTORISTA </t>
  </si>
  <si>
    <t xml:space="preserve"> SALARIO BASE 2</t>
  </si>
  <si>
    <t>ISAC MORENO MENEZES MELO</t>
  </si>
  <si>
    <t>CAMILA DOS SANTOS NASCIMENTO</t>
  </si>
  <si>
    <t>JADIEL DE JESUS MIRANDA</t>
  </si>
  <si>
    <t>MARIA VALERIA NASCIMENTO DE JESUS</t>
  </si>
  <si>
    <t>MARINALVA ALVES DE JESUS</t>
  </si>
  <si>
    <t>RUAN NASCIMENTO PEREIRA SANTOS</t>
  </si>
  <si>
    <t>ANADILZA ALMEIDA SANTOS</t>
  </si>
  <si>
    <t xml:space="preserve">ENCARREGADO DEPARTAMENTO PESSOAL </t>
  </si>
  <si>
    <t>GRAZIELLY SOUZA SANTANA</t>
  </si>
  <si>
    <t>MARIA RAQUEL DOS SANTOS</t>
  </si>
  <si>
    <t>30K</t>
  </si>
  <si>
    <t>VIGIA</t>
  </si>
  <si>
    <t>APRENDIZ</t>
  </si>
  <si>
    <t>GABRIEL FONSECA DOS SANTOS</t>
  </si>
  <si>
    <t>GABRIEL SANTANA DA SILVA</t>
  </si>
  <si>
    <t>MARILENE SANTANA DE AZEVEDO SILVA</t>
  </si>
  <si>
    <t>CASSIANO VITOR SANTOS GUIMARAES</t>
  </si>
  <si>
    <t xml:space="preserve">ENCARREGADO DE TI </t>
  </si>
  <si>
    <t>ESTAGIÁRIO</t>
  </si>
  <si>
    <t>JOSE SOARES DOS SANTOS</t>
  </si>
  <si>
    <t>MARIVELDO EPIFANIO</t>
  </si>
  <si>
    <t>MARTA DE SOUZA AMADO</t>
  </si>
  <si>
    <t>VERONICA JESUS DOS SANTOS</t>
  </si>
  <si>
    <t>PRATIKA</t>
  </si>
  <si>
    <t>REIS MTZ</t>
  </si>
  <si>
    <t>ASSIST FINAN</t>
  </si>
  <si>
    <t>SERV GERAIS</t>
  </si>
  <si>
    <t>HORAS FALTAS PARCIAL</t>
  </si>
  <si>
    <t>Sócio</t>
  </si>
  <si>
    <t>INSS</t>
  </si>
  <si>
    <t>jorge raimundo oliveira da silva</t>
  </si>
  <si>
    <t>Adiantamento Salarial</t>
  </si>
  <si>
    <t>Salario Total</t>
  </si>
  <si>
    <t>IRRF Folha</t>
  </si>
  <si>
    <t>Vale transporte</t>
  </si>
  <si>
    <t>1/3 Férias</t>
  </si>
  <si>
    <t>Plano Odontologico + Dependentes</t>
  </si>
  <si>
    <t>INSS Férias</t>
  </si>
  <si>
    <t>GENESIS COML CAMA MESA E BANHO LTDA</t>
  </si>
  <si>
    <t>DEISIANE OLIVEIRA BISPO</t>
  </si>
  <si>
    <t>ASSIST ADM</t>
  </si>
  <si>
    <t>VALERIA BATISTA DOS SANTOS</t>
  </si>
  <si>
    <t>Valor Pago</t>
  </si>
  <si>
    <t>MARCOS VINICIOS COSTA SOUZA</t>
  </si>
  <si>
    <t>RAYANE MONTEIRO REIS</t>
  </si>
  <si>
    <t>SABRINA DE ARAUJO DOREA</t>
  </si>
  <si>
    <t>Index</t>
  </si>
  <si>
    <t>Column3</t>
  </si>
  <si>
    <t>Column1</t>
  </si>
  <si>
    <t>ADRIANA CLEIDE ALVES FIGUEREDO SANTOS</t>
  </si>
  <si>
    <t>COORDENADOR DE VENDAS</t>
  </si>
  <si>
    <t>Coordenadora de vendas</t>
  </si>
  <si>
    <t>15K</t>
  </si>
  <si>
    <t>BRUNA DOS SANTOS MATOS</t>
  </si>
  <si>
    <t>PSG IMP</t>
  </si>
  <si>
    <t>DE</t>
  </si>
  <si>
    <t>PARA</t>
  </si>
  <si>
    <t>DOMINGOS DE JESUS SANTOS</t>
  </si>
  <si>
    <t>GENIFER SOUZA DO NASCIMENTO</t>
  </si>
  <si>
    <t>JOSEANE OLIVEIRA DA SILVA</t>
  </si>
  <si>
    <t>MARIA ADENILZA DE JESUS SANTOS</t>
  </si>
  <si>
    <t>ENC DE T.I</t>
  </si>
  <si>
    <t>DEBORA TEIXEIRA DOS SANTOS</t>
  </si>
  <si>
    <t>FRANCIELE ALMEIDA SANTOS</t>
  </si>
  <si>
    <t>ASSISTENTE T.I</t>
  </si>
  <si>
    <t>LUCILA VITORIA NASCIMENTO</t>
  </si>
  <si>
    <t>MIRELLA MOTA DOS SANTOS</t>
  </si>
  <si>
    <t xml:space="preserve">AUXILIAR DE ESCRITORIO </t>
  </si>
  <si>
    <t>ESTOURO DO MES</t>
  </si>
  <si>
    <t>GISELLE PEREIRA DOS ANJOS</t>
  </si>
  <si>
    <t>HELIOMARQUES MOREIRA MARTINS</t>
  </si>
  <si>
    <t>JADIANE SILVA SANTOS</t>
  </si>
  <si>
    <t>BEATRIZ DOS SANTOS NUNES</t>
  </si>
  <si>
    <t>ASSIST. ADM</t>
  </si>
  <si>
    <t>1580 - 10 K DECORACOES CAMA MESA BANHO LTDA</t>
  </si>
  <si>
    <t xml:space="preserve">TRIENIO ANUENIO LIMITADO 6% </t>
  </si>
  <si>
    <t>CAMILLY BEATRIZ DE GOES SANTOS</t>
  </si>
  <si>
    <t>MARTA ORTENCIA OLIVEIRA DA SILVA</t>
  </si>
  <si>
    <t>CONTRIBUICAO  ASSISTENCIAL</t>
  </si>
  <si>
    <t xml:space="preserve">SUBGERENTE </t>
  </si>
  <si>
    <t>ICAELLE NASCIMENTO GONZAGA</t>
  </si>
  <si>
    <t>JOSE GABRIEL SANTOS SILVA</t>
  </si>
  <si>
    <t>CCT</t>
  </si>
  <si>
    <t>JOÃO ANTONIO CUZ SANTANA</t>
  </si>
  <si>
    <t>COORD ADM</t>
  </si>
  <si>
    <t>HORAS AFAST. P/DOENCA C/DIR.INTEGRAIS</t>
  </si>
  <si>
    <t>GIOVANNA DOS SANTOS NASCIMENTO</t>
  </si>
  <si>
    <t xml:space="preserve">APRENDIZ EM AUX DE ESCRITORIO </t>
  </si>
  <si>
    <t xml:space="preserve">VENDEDOR (A) SOCIO-GERENTE </t>
  </si>
  <si>
    <t>ANA PAULA JESUS DOS SANTOS</t>
  </si>
  <si>
    <t>VALES COMPRAS</t>
  </si>
  <si>
    <t>JOAO VITOR DOS SANTOS SILVA</t>
  </si>
  <si>
    <t>CAROLINE BERNARDO SILVA</t>
  </si>
  <si>
    <t>TAINA SANTANA DE JESUS</t>
  </si>
  <si>
    <t>15Salario Total</t>
  </si>
  <si>
    <t>OPERADOR (A) DE CAIXA</t>
  </si>
  <si>
    <t xml:space="preserve">RAYANE MONTEIRO REIS </t>
  </si>
  <si>
    <t xml:space="preserve">VERONICA JESUS DOS SANTOS </t>
  </si>
  <si>
    <t xml:space="preserve">LAVINIA REIS DE LIMA </t>
  </si>
  <si>
    <t>EDUARDA RODRIGUES DE JESUS</t>
  </si>
  <si>
    <t>FERNANDA SANTOS BARBOSA</t>
  </si>
  <si>
    <t>JOVEM APRENDIZ</t>
  </si>
  <si>
    <t>COLABORADOR</t>
  </si>
  <si>
    <t>JORGE DE J. NASCIMENTO</t>
  </si>
  <si>
    <t>MOTORISTA  PRO LABORE</t>
  </si>
  <si>
    <t>Licença maternidade</t>
  </si>
  <si>
    <t>CONTRIB ASSISTENCIAL</t>
  </si>
  <si>
    <t>MIGUEL DE JESUS</t>
  </si>
  <si>
    <t>MANOEL DE SOUZA SANTOS</t>
  </si>
  <si>
    <t>RODRIGO MACEDO COSTA</t>
  </si>
  <si>
    <t>SHIRLEY CERQUEIRA PINTO</t>
  </si>
  <si>
    <t>WELLINGTON RIBEIRO</t>
  </si>
  <si>
    <t>ADRIANA CLEIDE ALVES</t>
  </si>
  <si>
    <t>ADRIANE AMORIM RIBEIRO</t>
  </si>
  <si>
    <t>ALDA COITINHO DA SILVA</t>
  </si>
  <si>
    <t>ENC DEPT PESSOAL</t>
  </si>
  <si>
    <t>ANNE KAROLINA NASCIMENTO SANTOS</t>
  </si>
  <si>
    <t>CAMILLY BEATRUZ DE GOES SANTOS</t>
  </si>
  <si>
    <t>CAROLINE BERNARDO DA SILVA</t>
  </si>
  <si>
    <t xml:space="preserve">VENDEDOR (a) </t>
  </si>
  <si>
    <t>CASSIANO VITOR GUIMARÃES</t>
  </si>
  <si>
    <t>CLEIFERSON DE SANTANA DOS STOS</t>
  </si>
  <si>
    <t>CRISTIANE DE SANTANA BRANDAO</t>
  </si>
  <si>
    <t>DANIEL SEALIAN RIBEIRO</t>
  </si>
  <si>
    <t>DENIFER SANTOS DO NASCIMENTO</t>
  </si>
  <si>
    <t>EDINEA SOUZA DA CONCEIÇÃO</t>
  </si>
  <si>
    <t>EDISLEY DA CONCEIÇÃO</t>
  </si>
  <si>
    <t>ELYEIDE COITINHO DA SILVA</t>
  </si>
  <si>
    <t>GABRIELLE SOUZA OLIVEIRA</t>
  </si>
  <si>
    <t>GENIFER DE SOUZA NASCIMENTO</t>
  </si>
  <si>
    <t>GILSON DE JESUS MONTEIRO</t>
  </si>
  <si>
    <t xml:space="preserve">RAINHA MAISON </t>
  </si>
  <si>
    <t>HELIOMARQUES MOREIRA</t>
  </si>
  <si>
    <t>HELLEN CAROLINE BATISTA DOS SANTOS</t>
  </si>
  <si>
    <t>ILCAELLE NASCIMENTO GONZAGA</t>
  </si>
  <si>
    <t>IVONISE CARVALHO</t>
  </si>
  <si>
    <t>JACIONETE DOS SANTOS MIRANDA</t>
  </si>
  <si>
    <t>JENALDO A DO NASCIMENTO</t>
  </si>
  <si>
    <t>JESSICA DA CONCEIÇÃO SANTANA</t>
  </si>
  <si>
    <t>JOSÉ GABRIEL SANTOS SILVA</t>
  </si>
  <si>
    <t>JOÃO ANTONIO CRUZ SANTANA</t>
  </si>
  <si>
    <t>JOÃO VICTOR DE SOUZA SANTANA</t>
  </si>
  <si>
    <t>JOÃO VITOR DOS SANTOS SILVA</t>
  </si>
  <si>
    <t>JULIA VILANOVA</t>
  </si>
  <si>
    <t>LUCAS MAXIMINO DOS SANTOS</t>
  </si>
  <si>
    <t>LUCIANA SILVA DO VALE</t>
  </si>
  <si>
    <t>MABEL CAVALCANTI DA SILVA</t>
  </si>
  <si>
    <t>MANUELA DOS SANTOS</t>
  </si>
  <si>
    <t>MARIA ADENILZA DE JESUS</t>
  </si>
  <si>
    <t>COORD DE VENDAS</t>
  </si>
  <si>
    <t>MARIA JOSÉ SANTOS DE ALMEIDA</t>
  </si>
  <si>
    <t>MARIA ROSILENE DOS SANTOS</t>
  </si>
  <si>
    <t>MARILENE S DE AZEVEDO</t>
  </si>
  <si>
    <t>MARILIA FERREIRA MASCARENHAS</t>
  </si>
  <si>
    <t>AUX DE ESCRITORIO</t>
  </si>
  <si>
    <t>MARTA ORTENCIA OLIVEIRA</t>
  </si>
  <si>
    <t>MICHELLE JESUS ROCHA</t>
  </si>
  <si>
    <t>MIGUEL NASCIMENTO DE JESUS (pai)</t>
  </si>
  <si>
    <t>MIRASMYN SANTOS SOUZA - 19/05</t>
  </si>
  <si>
    <t>RAI DOUGLAS DO NASCIMENTO</t>
  </si>
  <si>
    <t>RAQUEL BONFIM OLIVEIRA</t>
  </si>
  <si>
    <t>RENILSON RAMOS DE JESUS</t>
  </si>
  <si>
    <t>ROSILENE ROCHA DA SILVA</t>
  </si>
  <si>
    <t>RUAN NASCIMENTO PEREIRA</t>
  </si>
  <si>
    <t>SUZENE DE CARVALHO SILVA</t>
  </si>
  <si>
    <t>VALDILENE DOS SANTOS</t>
  </si>
  <si>
    <t>VALERIA BATISTA DOS SANTOS - 26/09</t>
  </si>
  <si>
    <t>WALLAS FERREIRA DE SANTANA</t>
  </si>
  <si>
    <t>WELLINGTON RIBEIRO SANTOS</t>
  </si>
  <si>
    <t>ZILDA DA MOTA LIMA</t>
  </si>
  <si>
    <t>Transferido</t>
  </si>
  <si>
    <t>ESTORNO DESC PROV EMPRESTIMO TRAB ADIANT</t>
  </si>
  <si>
    <t>DESC. EMPREST. CREDITO TRABALHADOR 1</t>
  </si>
  <si>
    <t>HORAS AFAST.INSS (P/DOENC</t>
  </si>
  <si>
    <t>DEVOLUCAO DESCONTO INDEVIDO</t>
  </si>
  <si>
    <t>13 SALARIO LICENCA MATERNIDADE RESCISAO</t>
  </si>
  <si>
    <t xml:space="preserve">FISCAL DE LOJA </t>
  </si>
  <si>
    <t>DIFERENCA DE SALARIO JANEIRO/2024</t>
  </si>
  <si>
    <t>32</t>
  </si>
  <si>
    <t>52</t>
  </si>
  <si>
    <t>86</t>
  </si>
  <si>
    <t>108</t>
  </si>
  <si>
    <t>IRRF Férias</t>
  </si>
  <si>
    <t>143</t>
  </si>
  <si>
    <t>Salario Total0</t>
  </si>
  <si>
    <t>189</t>
  </si>
  <si>
    <t>211</t>
  </si>
  <si>
    <t>222</t>
  </si>
  <si>
    <t>242</t>
  </si>
  <si>
    <t>259</t>
  </si>
  <si>
    <t>Salario Total9</t>
  </si>
  <si>
    <t>FENIX COML DE CAMA MESA E BANHO LTDA</t>
  </si>
  <si>
    <t>Quebra de Caixa</t>
  </si>
  <si>
    <t>JOÃO VICTOR DE SOUZA</t>
  </si>
  <si>
    <t>GHEOMAR DOS SANTOS</t>
  </si>
  <si>
    <t>DENIFER SANTOS DO NASCIMENTO - 15/05</t>
  </si>
  <si>
    <t>EDUARDA RODRIGUES</t>
  </si>
  <si>
    <t>FERNANDA SANTOS</t>
  </si>
  <si>
    <t>JULIA VILANOVA CANDIDO - 23/05</t>
  </si>
  <si>
    <t>LAVINIA REIS</t>
  </si>
  <si>
    <t>LUCAS MAXIMINO DOS SANTOS - 19/05</t>
  </si>
  <si>
    <t>TERCEIRIZADO</t>
  </si>
  <si>
    <t>ROSILENE ROCHA DA SILVA - 16/05</t>
  </si>
  <si>
    <t>VANDERSON LINO SANTOS</t>
  </si>
  <si>
    <t>WALLAS FERREIRA DE SANTANA - 16/05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</si>
</sst>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(&quot;R$ &quot;* #,##0.00_);_(&quot;R$ &quot;* \(#,##0.00\);_(&quot;R$ &quot;* &quot;-&quot;??_);_(@_)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43" fontId="0" fillId="0" borderId="0" xfId="3" applyFon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3" applyNumberFormat="1" applyFont="1"/>
    <xf numFmtId="49" fontId="0" fillId="0" borderId="0" xfId="0" applyNumberFormat="1"/>
    <xf numFmtId="0" fontId="0" fillId="2" borderId="0" xfId="0" applyFill="1"/>
    <xf numFmtId="43" fontId="0" fillId="0" borderId="0" xfId="4" applyNumberFormat="1" applyFont="1"/>
    <xf numFmtId="10" fontId="0" fillId="0" borderId="0" xfId="4" applyNumberFormat="1" applyFont="1"/>
  </cellXfs>
  <cellStyles count="5">
    <cellStyle name="Moeda 2" xfId="1" xr:uid="{F4229E1F-FD59-44AF-9950-5280BC25A0D0}"/>
    <cellStyle name="Normal" xfId="0" builtinId="0"/>
    <cellStyle name="Normal 2" xfId="2" xr:uid="{B9C9F879-D593-4318-B7A3-1367AC356D8C}"/>
    <cellStyle name="Porcentagem" xfId="4" builtinId="5"/>
    <cellStyle name="Vírgula" xfId="3" builtinId="3"/>
  </cellStyles>
  <dxfs count="65"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ill>
        <patternFill patternType="solid">
          <fgColor indexed="64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2A611974-C6C3-46B4-B8CE-BA8B52C747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47" Type="http://schemas.openxmlformats.org/officeDocument/2006/relationships/customXml" Target="../customXml/item29.xml"/><Relationship Id="rId50" Type="http://schemas.openxmlformats.org/officeDocument/2006/relationships/customXml" Target="../customXml/item32.xml"/><Relationship Id="rId55" Type="http://schemas.openxmlformats.org/officeDocument/2006/relationships/customXml" Target="../customXml/item3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1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45" Type="http://schemas.openxmlformats.org/officeDocument/2006/relationships/customXml" Target="../customXml/item27.xml"/><Relationship Id="rId53" Type="http://schemas.openxmlformats.org/officeDocument/2006/relationships/customXml" Target="../customXml/item35.xml"/><Relationship Id="rId58" Type="http://schemas.openxmlformats.org/officeDocument/2006/relationships/customXml" Target="../customXml/item40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43.xml"/><Relationship Id="rId19" Type="http://schemas.openxmlformats.org/officeDocument/2006/relationships/customXml" Target="../customXml/item1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48" Type="http://schemas.openxmlformats.org/officeDocument/2006/relationships/customXml" Target="../customXml/item30.xml"/><Relationship Id="rId56" Type="http://schemas.openxmlformats.org/officeDocument/2006/relationships/customXml" Target="../customXml/item38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3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46" Type="http://schemas.openxmlformats.org/officeDocument/2006/relationships/customXml" Target="../customXml/item28.xml"/><Relationship Id="rId59" Type="http://schemas.openxmlformats.org/officeDocument/2006/relationships/customXml" Target="../customXml/item41.xml"/><Relationship Id="rId20" Type="http://schemas.openxmlformats.org/officeDocument/2006/relationships/customXml" Target="../customXml/item2.xml"/><Relationship Id="rId41" Type="http://schemas.openxmlformats.org/officeDocument/2006/relationships/customXml" Target="../customXml/item23.xml"/><Relationship Id="rId54" Type="http://schemas.openxmlformats.org/officeDocument/2006/relationships/customXml" Target="../customXml/item36.xml"/><Relationship Id="rId62" Type="http://schemas.openxmlformats.org/officeDocument/2006/relationships/customXml" Target="../customXml/item4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49" Type="http://schemas.openxmlformats.org/officeDocument/2006/relationships/customXml" Target="../customXml/item31.xml"/><Relationship Id="rId57" Type="http://schemas.openxmlformats.org/officeDocument/2006/relationships/customXml" Target="../customXml/item39.xml"/><Relationship Id="rId10" Type="http://schemas.openxmlformats.org/officeDocument/2006/relationships/worksheet" Target="worksheets/sheet10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52" Type="http://schemas.openxmlformats.org/officeDocument/2006/relationships/customXml" Target="../customXml/item34.xml"/><Relationship Id="rId60" Type="http://schemas.openxmlformats.org/officeDocument/2006/relationships/customXml" Target="../customXml/item4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 alves" refreshedDate="45728.65770196759" createdVersion="7" refreshedVersion="8" minRefreshableVersion="3" recordCount="673" xr:uid="{10172AC2-56C7-4DBF-956F-C3BAD7152C3E}">
  <cacheSource type="worksheet">
    <worksheetSource name="Folha_Rainha"/>
  </cacheSource>
  <cacheFields count="8">
    <cacheField name="LOJAS" numFmtId="0">
      <sharedItems/>
    </cacheField>
    <cacheField name="Nome" numFmtId="0">
      <sharedItems/>
    </cacheField>
    <cacheField name="Cargo" numFmtId="0">
      <sharedItems/>
    </cacheField>
    <cacheField name="Adm:" numFmtId="14">
      <sharedItems containsNonDate="0" containsDate="1" containsString="0" containsBlank="1" minDate="2003-06-09T00:00:00" maxDate="2025-01-25T00:00:00"/>
    </cacheField>
    <cacheField name="Situação" numFmtId="0">
      <sharedItems containsBlank="1" count="7">
        <s v="Trabalhando"/>
        <s v="Férias"/>
        <s v="Licença maternidade"/>
        <s v="Demitido"/>
        <m/>
        <s v="Acidente trabalho" u="1"/>
        <s v="Doença" u="1"/>
      </sharedItems>
    </cacheField>
    <cacheField name="Atributo" numFmtId="0">
      <sharedItems/>
    </cacheField>
    <cacheField name="Valor" numFmtId="43">
      <sharedItems containsString="0" containsBlank="1" containsNumber="1" minValue="5.39" maxValue="6109.8"/>
    </cacheField>
    <cacheField name="Total" numFmtId="0" formula="#NAME?+#NAME?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 alves" refreshedDate="45797.667676967591" createdVersion="8" refreshedVersion="8" minRefreshableVersion="3" recordCount="174" xr:uid="{79AC371C-B75C-4EDF-89C2-CE41D7149124}">
  <cacheSource type="worksheet">
    <worksheetSource name="BASE_DE_NOMES"/>
  </cacheSource>
  <cacheFields count="31">
    <cacheField name="Nome" numFmtId="0">
      <sharedItems containsBlank="1" count="487">
        <s v="ADRIANA CLEIDE ALVES FIGUEREDO SANTOS"/>
        <s v="ADRIANE AMORIM  RIBEIRO"/>
        <s v="AILTON LUCENA"/>
        <s v="ALBERTO DO NASCIMENTO SANTOS"/>
        <s v="ALDA COUTINHO DA SILVA"/>
        <s v="ALESSANDRO BATISTA DA ROCHA"/>
        <s v="ALINE DE SOUZA SANTOS"/>
        <s v="ANA PAULA JESUS DOS SANTOS"/>
        <s v="ANA PAULA NEVES DA SILVA LEITE"/>
        <s v="ANADILZA ALMEIDA SANTOS"/>
        <s v="ANALIA GUIMARAES MARQUES"/>
        <s v="ANNE KAROLINA NASCIMENTO DOS SANTOS"/>
        <s v="BEATRIZ DOS SANTOS NUNES"/>
        <s v="BRENDA SILVA DE BRITO CARNEIRO"/>
        <s v="BRUNA DOS SANTOS MATOS"/>
        <s v="CAMILA DOS SANTOS NASCIMENTO"/>
        <s v="CAMILLY BEATRIZ DE GOES SANTOS"/>
        <s v="CAROLAINE SILVA DE ASSIS"/>
        <s v="CAROLINE BERNARDO SILVA"/>
        <s v="CASSIANO VITOR SANTOS GUIMARAES"/>
        <s v="CLEIFERSON DE SANTANA DOS SANTOS"/>
        <s v="COSMINHA PEREIRA COELHO"/>
        <s v="CRISTIANE DE SANTANA BRANDAO FARIAS"/>
        <s v="DANIEL SEALIAN RIBEIRO DOS SANTOS"/>
        <s v="DANIELLE CUNHA BORGES"/>
        <s v="DANILO RIBEIRO SANTANA"/>
        <s v="DEBORA TEIXEIRA DOS SANTOS"/>
        <s v="DEISIANE OLIVEIRA BISPO"/>
        <s v="DENISE DOS SANTOS"/>
        <s v="DJENANE DA SILVA SANTANA"/>
        <s v="DOMINGOS DE JESUS SANTOS"/>
        <s v="DORIVALDO SANTOS ARAUJO"/>
        <s v="EDINEA SOUZA DA CONCEICAO DE AZEVEDO"/>
        <s v="EDUARDA RODRIGUES DE JESUS"/>
        <s v="ELAINE DA SILVA NEVES"/>
        <s v="ELIANE DOS SANTOS SILVA"/>
        <s v="ELIENE PEREIRA"/>
        <s v="ELIEYDE COITINHO SILVA"/>
        <s v="ERICA DA SILVA LIMA"/>
        <s v="ESTEPHANE NASCIMENTO -"/>
        <s v="EVELLIN LORENA SILVA DIAS"/>
        <s v="FABRICIO SOUZA DOS SANTOS"/>
        <s v="FAGNER OLIVEIRA DOS SANTOS"/>
        <s v="FERNANDA DA SILVA MASCENA"/>
        <s v="FERNANDA SANTOS BARBOSA"/>
        <s v="FRANCIELE ALMEIDA SANTOS"/>
        <s v="FRANCISCA SELMA SANTOS DE SALES"/>
        <s v="GABRIEL FONSECA DOS SANTOS"/>
        <s v="GABRIEL SANTANA DA SILVA"/>
        <s v="GABRIELE SOUZA OLIVEIRA"/>
        <s v="GEIZA VITORIA DE JESUS"/>
        <s v="GENIFER SOUZA DO NASCIMENTO"/>
        <s v="GESSICA SOARES DOS SANTOS"/>
        <s v="GHEOMAR DOS SANTOS NASCIMENTO"/>
        <s v="GILBERTO DOS SANTOS"/>
        <s v="GILBERTO GALDINO DOS SANTOS"/>
        <s v="GILSOM DE JESUS MONTEIRO"/>
        <s v="GILVAN JOSE DOS SANTOS"/>
        <s v="GILVANIA LOPES FREITAS"/>
        <s v="GINALDO SOARES DOS SANTOS"/>
        <s v="GINIELMA MARIA DOS SANTOS"/>
        <s v="GIOVANNA DOS SANTOS NASCIMENTO"/>
        <s v="GISELLE PEREIRA DOS ANJOS"/>
        <s v="GIZELIA LIMA BARBOSA"/>
        <s v="GRAZIELLY SOUZA SANTANA"/>
        <s v="HELEN CAROLINE BATISTA DOS SANTOS"/>
        <s v="HELIOMARQUES MOREIRA MARTINS"/>
        <s v="HEMILENE SOUZA RIBEIRO"/>
        <s v="IASMIN LUANY PAULINO DE OLIVEIRA"/>
        <s v="ICAELLE NASCIMENTO GONZAGA"/>
        <s v="IOLANDA LIMA DA SILVA SANTOS"/>
        <s v="IRACEMA DE ALMEIDA E SILVA"/>
        <s v="IRANILDO SANTOS DO NASCIMENTO"/>
        <s v="ISAC MORENO MENEZES MELO"/>
        <s v="IVONISE CARVALHO DE JESUS"/>
        <s v="JACIONETE DOS SANTOS  MIRANDA"/>
        <s v="JADIANE SILVA SANTOS"/>
        <s v="JADIEL DE JESUS MIRANDA"/>
        <s v="JEFERSON DOS SANTOS COSTA"/>
        <s v="JEFFERSON NERY OLIVEIRA"/>
        <s v="JENALDO ALVES DO NASCIMENTO"/>
        <s v="JESSICA DA CONCEICAO SANTANA"/>
        <s v="JILMAN DOS SANTOS"/>
        <s v="JOAO VICTOR DE SOUZA SANTANA"/>
        <s v="JOAO VITOR DOS SANTOS SILVA"/>
        <s v="JORGE DE J. NASCIMENTO"/>
        <s v="JORGE DE JESUS NASCIMENTO"/>
        <s v="JOSE CARLOS RIBEIRO DE OLIVEIRA"/>
        <s v="JOSE GABRIEL SANTOS SILVA"/>
        <s v="JOSE SOARES DOS SANTOS"/>
        <s v="JOSEANE OLIVEIRA DA SILVA"/>
        <s v="JOSEFA TANAELLE DIAS DA SILVA"/>
        <s v="JOSIELMA DE SANTANA NEVES"/>
        <s v="JOSIMA BATISTA DE ALMEIDA"/>
        <s v="JOÃO ANTONIO CUZ SANTANA"/>
        <s v="JUCINEIDE DE LIMA SILVA"/>
        <s v="JULIANA SANTANA SANTOS"/>
        <s v="KESSIA DA COSTA SILVA"/>
        <s v="LAVINIA REIS DE LIMA"/>
        <s v="LEILANA FELICIANO SANTANA"/>
        <s v="LINCOLN ALVES DOS SANTOS"/>
        <s v="LUCAS RAMOS CATARINO"/>
        <s v="LUCIANA SILVA DE SOUZA"/>
        <s v="LUCIANA VIANA COSTA"/>
        <s v="LUCIENE ORNELAS DE SANTANA"/>
        <s v="LUCILA VITORIA NASCIMENTO"/>
        <s v="LUCILEIDE LOPES"/>
        <s v="LUIDINEIDE RIBEIRO SANTANA SOARES"/>
        <s v="MABEL CAVALCANTI DA SILVA CONCEICAO"/>
        <s v="MANOEL DE SOUZA SANTOS"/>
        <s v="MANUELA DOS SANTOS DE JESUS"/>
        <s v="MARCIA DOS SANTOS COSTA"/>
        <s v="MARCIA FERREIRA DOS SANTOS"/>
        <s v="MARCOS VINICIOS COSTA SOUZA"/>
        <s v="MARIA ADENILZA DE JESUS SANTOS"/>
        <s v="MARIA JOSE CONI FONSECA"/>
        <s v="MARIA JOSE SANTOS DE ALMEIDA"/>
        <s v="MARIA RAQUEL DOS SANTOS"/>
        <s v="MARIA ROSILENE DOS SANTOS LIMA"/>
        <s v="MARIA VALERIA NASCIMENTO DE JESUS"/>
        <s v="MARIANA BATISTA DA CRUZ"/>
        <s v="MARILENE SANTANA DE AZEVEDO SILVA"/>
        <s v="MARILIA FERREIRA MASCARENHAS PEREIRA"/>
        <s v="MARINALVA ALVES DE JESUS"/>
        <s v="MARIVALDA DE LIMA SALES"/>
        <s v="MARIVELDO EPIFANIO"/>
        <s v="MARTA DE SOUZA AMADO"/>
        <s v="MARTA ORTENCIA OLIVEIRA DA SILVA"/>
        <s v="MAURI SANTOS SANTANA"/>
        <s v="MICHELLE JESUS ROCHA ESTRELA"/>
        <s v="MIGUEL DE JESUS"/>
        <s v="MIGUEL NASCIMENTO DE JESUS FILHO"/>
        <s v="MILLENE NASCIMENTO PEREIRA SANTOS"/>
        <s v="MIRELLA MOTA DOS SANTOS"/>
        <s v="NATERCIO PEREIRA SANTANA"/>
        <s v="NATIELE DE ALMEIDA BASTOS"/>
        <s v="NORMA NEIDE SOUZA DE JESUS"/>
        <s v="OSMAR CORDEIRO ESTRELA"/>
        <s v="PATRICIA DOS SANTOS"/>
        <s v="PAULO CESAR SILVA COSTA"/>
        <s v="RAI DOUGLAS"/>
        <s v="RAQUEL BONFIM OLIVEIRA DA SILVA"/>
        <s v="RAYANE MONTEIRO REIS"/>
        <s v="RENILSON RAMOS"/>
        <s v="ROBERTO SALES NEVES"/>
        <s v="RODRIGO MACEDO COSTA"/>
        <s v="RODRIGO MACEDO DE SANTANA"/>
        <s v="RUAN NASCIMENTO PEREIRA SANTOS"/>
        <s v="SABRINA DE ARAUJO DOREA"/>
        <s v="SANDRA PEREIRA SALES"/>
        <s v="SHIRLEY CERQUEIRA PINTO"/>
        <s v="SIDNEA SOARES PINTO"/>
        <s v="SIMONE GUIMARAES SANTOS"/>
        <s v="SUELLEN LIMA SANTOS"/>
        <s v="SUZENE DE CARVALHO SILVA E SILVA"/>
        <s v="TAINA SANTANA DE JESUS"/>
        <s v="TAINARA BARBOSA DOS SANTOS"/>
        <s v="TAIUANA SANTOS SOARES"/>
        <s v="THAIS SOUZA SIMÕES"/>
        <s v="UELITON DA SILVA DE JESUS"/>
        <s v="VALDICK SANTOS LEAO"/>
        <s v="VALDILENE DOS SANTOS BACELAR"/>
        <s v="VALERIA BATISTA DOS SANTOS"/>
        <s v="VERONICA JESUS DOS SANTOS"/>
        <s v="VITOR MATEUS CARVALHO ROCHA"/>
        <s v="WELLIGTON RIBEIRO SANTOS"/>
        <s v="WELLINGTON RIBEIRO"/>
        <s v="WESLEY SOUZA GAMA"/>
        <s v="WILLAS MATOS DOS SANTOS"/>
        <s v="WILLIAM NASCIMENTO DOS SANTOS"/>
        <s v="WILMA SILVA DE ALMEIDA"/>
        <s v="WILTON RIBEIRO DOS SANTOS"/>
        <s v="ZILDA DA MOTA LIMA SANTOS"/>
        <s v="jorge raimundo oliveira da silva"/>
        <s v="ALESSANDRA SILVA DE ARAUJO" u="1"/>
        <s v="ANA PAULA DE JESUS DOS SANTOS" u="1"/>
        <s v="ANDRESSA DOS SANTOS REIS" u="1"/>
        <s v="ANNA CAROLINE ANDRADE" u="1"/>
        <s v="BEATRIZ GONCALVES COUTINHO DA SILVA" u="1"/>
        <s v="BEZTRIZ DOS SANTOS NUNES" u="1"/>
        <s v="BRUNA DA SILVA SOUZA" u="1"/>
        <s v="CAMILLY BEATRIZ DE GOES" u="1"/>
        <s v="CARIANE RODRIGUES ARAUJO" u="1"/>
        <s v="CARLA DOS SANTOS NASCIMENTO" u="1"/>
        <s v="CAROLAINE SANTOS RAMOS" u="1"/>
        <s v="CELIDALVA DE JESUS SILVA SANTOS" u="1"/>
        <s v="CLAUDINEA DOS SANTOS BARROS" u="1"/>
        <s v="DANIELA MERCURI SANTOS DE JESUS" u="1"/>
        <s v="DEBORA REGINA SOUSA DA SILVA" u="1"/>
        <s v="DORIVALDO SANTOS" u="1"/>
        <s v="EDISLEY DA CONCEICAO" u="1"/>
        <s v="ELIANE ANDRADE OLIVEIRA DOS SANTOS" u="1"/>
        <s v="ELIEGE DOS SANTOS ALMEIDA NOGUEIRA" u="1"/>
        <s v="ESTELA RORIGUES DE ALMEIDA" u="1"/>
        <s v="FLAVIA MARIA SANTOS DE JESUS" u="1"/>
        <s v="FRANCIELE DOS SANTOS ARAUJO" u="1"/>
        <s v="GABRIELLE CRUZ DOS SANTOS" u="1"/>
        <s v="GILBERTO GALDINO SANTOS" u="1"/>
        <s v="GUILHERME ARAUJO DE ANDRADE" u="1"/>
        <s v="HELIO MARQUES MOREIRA" u="1"/>
        <s v="ISABELA DOS SANTOS" u="1"/>
        <s v="ISABELLI DE JESUS OLIVEIRA" u="1"/>
        <s v="IVONETE DE SOUSA NUNES BARBOSA" u="1"/>
        <s v="IVONETE DE SOUZA NUNES" u="1"/>
        <s v="JAKELINE SANTOS DOS SANTOS" u="1"/>
        <s v="JANEIDE SANTANA DOS REIS" u="1"/>
        <s v="JESSICA DA CONCEIÇÃO" u="1"/>
        <s v="JOAO BATISTA SILVA ALMEIDA" u="1"/>
        <s v="JOELMA SILVA SANTOS" u="1"/>
        <s v="JOELSON DE JESUS CONCEICAO" u="1"/>
        <s v="JOSE ACLECIO DOS SANTOS" u="1"/>
        <s v="JOSE CARLOS RIBEIRO" u="1"/>
        <s v="JOSE DOUGLAS DA SILVA SANTOS" u="1"/>
        <s v="JOSÉ ACLECIO DOS SANTOS" u="1"/>
        <s v="JOÃO VICTOR DE SOUZA SANTANA" u="1"/>
        <s v="JOÃO VITOR DOS SANTOS SILVA" u="1"/>
        <s v="JOÃO VITOR SANTOS SILVA" u="1"/>
        <s v="JULIELLE PEREIRA DOS SANTOS" u="1"/>
        <s v="KAIANE DOS SANTOS FERREIRA" u="1"/>
        <s v="MARCOS VINICIUS COSTA SOUZA" u="1"/>
        <s v="MARIA ROSILENE SANTOS" u="1"/>
        <s v="MARILIA FERREIRA MASCARENHAS" u="1"/>
        <s v="MARTA ORTENCIA OLIVEIRA" u="1"/>
        <s v="MIGUEL NASCIMENTO DE JESUS" u="1"/>
        <s v="NADIJANE PEREIRA BARBOSA" u="1"/>
        <s v="NORMA NEIDE SOUZA" u="1"/>
        <s v="PAULO REIS LIMA" u="1"/>
        <s v="RAISSA CARLA RIBEIRO" u="1"/>
        <s v="RAPHAEL AQUINO BIZIU" u="1"/>
        <s v="SAMARA RAISSA DA PAIXAO CARDOSO" u="1"/>
        <s v="SINARIA DE MENEZES PINHEIRO" u="1"/>
        <s v="TAINA  SANTANA DE JESUS" u="1"/>
        <s v="THAYS GUIMARAES DE LIMA" u="1"/>
        <s v="VALDETE DA SILVA AMORIM" u="1"/>
        <s v="VANUZA SILVA DOS REIS" u="1"/>
        <s v="VINICIUS SILVA DOS SANTOS" u="1"/>
        <s v="EDUARDA RODRIGES DE JESUS" u="1"/>
        <s v="ANNA CAROLINE ANDRADE CARVALHO" u="1"/>
        <s v="CAMILLY BEATRUZ DE GOES SANTOS" u="1"/>
        <s v="RAISSA CARLA RIBEIRO BARBOSA" u="1"/>
        <s v="BEATRIZ GONÇALVES COUTINHO" u="1"/>
        <s v="ESTELA RODRIGUES DE ALMEIDA" u="1"/>
        <s v="ADILZA SILVA DE ARAUJO" u="1"/>
        <s v="ADRIANA CLEIDE ALVES" u="1"/>
        <s v="HELIOMARQUES MOREIRA" u="1"/>
        <s v="LINDE MELLANY BRAGA AZEVEDO" u="1"/>
        <s v="ADRIANE AMORIM RIBEIRO" u="1"/>
        <s v="ALDA COITINHO DA SILVA" u="1"/>
        <s v="CASSIANO VITOR S  GUIMARÃES" u="1"/>
        <s v="CLEIFERSON DE SANTANA DOS STOS" u="1"/>
        <s v="CRISTIANE DE SANTANA BRANDAO" u="1"/>
        <s v="DANIEL SEALIAN RIBEIRO" u="1"/>
        <s v="DEBORA REGINA SOUZA DA SILVA" u="1"/>
        <s v="EDINEA SOUZA DA CONCEIÇÃO" u="1"/>
        <s v="EDISLEY DA CONCEIÇÃO" u="1"/>
        <s v="ELIANE ANDRADE OLIVEIRA" u="1"/>
        <s v="ELIEGE DOS SANTOS ALMEIDA" u="1"/>
        <s v="ELYEIDE COITINHO DA SILVA" u="1"/>
        <s v="GABRIELLE SOUZA OLIVEIRA" u="1"/>
        <s v="GILSON DE JESUS MONTEIRO" u="1"/>
        <s v="HELLEN CAROLINE BATISTA DOS SANTOS" u="1"/>
        <s v="ISABELLI DE JESUS" u="1"/>
        <s v="JACIONETE DOS SANTOS MIRANDA" u="1"/>
        <s v="JESSICA DA CONCEIÇÃO SANTANA" u="1"/>
        <s v="JOELSON DE JESUS CONCEIÇÃO" u="1"/>
        <s v="JOÃO BATISTA SILVA ALMEIDA" u="1"/>
        <s v="MABEL CAVALCANTI DA SILVA" u="1"/>
        <s v="MANUELA DOS SANTOS" u="1"/>
        <s v="MARIA JOSÉ SANTOS DE ALMEIDA" u="1"/>
        <s v="MARIA ROSILENE DOS SANTOS" u="1"/>
        <s v="MARILENE S DE AZEVEDO" u="1"/>
        <s v="MICHELLE JESUS ROCHA" u="1"/>
        <s v="RAQUEL BONFIM OLIVEIRA" u="1"/>
        <s v="RUAN NASCIMENTO PEREIRA" u="1"/>
        <s v="SAMARA RAISSA DA PAIXÃO" u="1"/>
        <s v="SUZENE DE CARVALHO SILVA" u="1"/>
        <s v="THAYS GUIMARÃAES DE LIMA" u="1"/>
        <s v="VALDILENE DOS SANTOS" u="1"/>
        <s v="WELLINGTON RIBEIRO SANTOS" u="1"/>
        <s v="ZILDA DA MOTA LIMA" u="1"/>
        <s v="CAUA LIMA CONCEICAO" u="1"/>
        <s v="DADNA NASCIMENTO SILVA" u="1"/>
        <s v="DANIEL ALVES SANTOS" u="1"/>
        <s v="DANIELE SOARES SANTOS" u="1"/>
        <s v="GEOVANA LYSSA BARROS SANTOS" u="1"/>
        <s v="JEAN SANTOS TORRES" u="1"/>
        <s v="JOSE IGOR DE JESUS NASCIMENTO" u="1"/>
        <s v="MARIA JOSE CONI" u="1"/>
        <s v="REBECA DOS SANTOS LIMA SILVA" u="1"/>
        <s v="SABRINA OLIVEIRA MELO" u="1"/>
        <s v="VANEUZA REBOUCAS DE JESUS SANTANA" u="1"/>
        <s v="ANGELICA DE SANTANA ROCHA SILVA" u="1"/>
        <s v="BALBINEIA BIANCK LIMA" u="1"/>
        <s v="BRENDA LORRANE FIGUEREDO" u="1"/>
        <s v="CAILA ROBERTA DA COSTA LIMA" u="1"/>
        <s v="CAUA LIMA CONCEIÇÃO" u="1"/>
        <s v="ISABELE DE JESUS" u="1"/>
        <s v="MONICA KARINE DA CONCEIÇÃO" u="1"/>
        <s v="CASSIANO VITOR GUIMARAES" u="1"/>
        <s v="IALA CARDINALLE DA CONCEICAO ALMEIDA" u="1"/>
        <s v="ISAC MORENO" u="1"/>
        <s v="LAIANE DOS SANTOS MELO" u="1"/>
        <s v="MONICA KARINE" u="1"/>
        <s v="VALDETE" u="1"/>
        <s v="ISABELE DE JESUS " u="1"/>
        <s v="JISE CARLOS RIBEIRO DE OLIVEIRA" u="1"/>
        <s v="MARIVALDA DE LIMA" u="1"/>
        <s v="MARIVELDO EPIFANIO  (PAGAMENTO MENSAL)" u="1"/>
        <m u="1"/>
        <s v="ANADILZA ALMEIDA" u="1"/>
        <s v="EDINEA SOUZA DA CONCEIÇAO DE" u="1"/>
        <s v="VANEUZA REBOUÇAS DE JESUS SANTANA" u="1"/>
        <s v="EDISLEY DA CONCEIÇAO" u="1"/>
        <s v="FRANCISCA SELMA S. DE SALES" u="1"/>
        <s v="IVONETE DE SOUSA NUNES" u="1"/>
        <s v="REBECA DOS SANTOS LIMA" u="1"/>
        <s v="ARLENE JESUS LIMA" u="1"/>
        <s v="ANGÉLICA DE SANTANA ROCHA SILVA" u="1"/>
        <s v="JUCILENE SILVA DOS REIS" u="1"/>
        <s v="ISRAELE DOS SANTOS COSTA" u="1"/>
        <s v="ADAILTON DE JESUS FREIRE JUNIOR" u="1"/>
        <s v="ADRIANA DE PINHO FRAGA MEIRELES" u="1"/>
        <s v="ANDRESA FERNANDES LIMA CRUZ" u="1"/>
        <s v="CARLA TAMIRES SANTANA PINTO" u="1"/>
        <s v="DANIEL SILVA NUNES" u="1"/>
        <s v="ELLEN QUELLE SANTOS PATROCINIO" u="1"/>
        <s v="GISELE LIMA DOS SANTOS" u="1"/>
        <s v="ISRAELLE DOS SANTOS COSTA" u="1"/>
        <s v="JIRLENE DE SOUZA GONCALVES" u="1"/>
        <s v="JOSEANE BATISTA DOS SANTOS" u="1"/>
        <s v="JULIA CAMPOS DE MATOS" u="1"/>
        <s v="MAIZA TRINDADE ALVEZ" u="1"/>
        <s v="MANUELA ARAUJO LISBOA" u="1"/>
        <s v="MARCOS LEVI SILVA ALVES" u="1"/>
        <s v="MARISTELA DALTRO SANTANA BISPO" u="1"/>
        <s v="OLGA DAMASCENO DOS SANTOS MELO" u="1"/>
        <s v="PATRICIA XAVIER CARNEIRO" u="1"/>
        <s v="ROGERIO CARDOSO DOS SANTOS" u="1"/>
        <s v="ROSIMEIRE DAMIAO" u="1"/>
        <s v="TANIA ALMEIDA DA SILVA" u="1"/>
        <s v="THALYTA BEATRIZ SANTOS ALCANTARA" u="1"/>
        <s v="VALCIANA BATISTA DOS SANTOS" u="1"/>
        <s v="DANIEL  ALVES SANTOS" u="1"/>
        <s v="MARILENE S DE AZEVEDO " u="1"/>
        <s v="SILVANIA LIMA DE OLIVEIRA " u="1"/>
        <s v="MIGUEL N. DE JESUS FILHO" u="1"/>
        <s v="GRAZIELLY SOUZA SANTOS" u="1"/>
        <s v="MARIA VALÉRIA NASCIMENTO DE JESUS" u="1"/>
        <s v="SARA YSLEI CONCEIÇÃO NASCIMENTO" u="1"/>
        <s v="SIMONE GUIMARÃES SANTOS" u="1"/>
        <s v="GILVANIA LOPES FREITAS " u="1"/>
        <s v="BALBINEIA BIANCK LIMA " u="1"/>
        <s v="ANADILZA ALMEIDA " u="1"/>
        <s v="JULIA CAMPOS DE MATOS " u="1"/>
        <s v="KESSIA DA COSTA SILVA " u="1"/>
        <s v="FERNANDA DA SILVA MASCENA " u="1"/>
        <s v="ROBERTO SALES NEVES " u="1"/>
        <s v="VALDILENE DOS SANTOS BACELAR " u="1"/>
        <s v="CAROLINE SANTOS RAMOS" u="1"/>
        <s v="CASSIANO VITOR S. GUIMARAES" u="1"/>
        <s v="DANIEL SEALIN RIBEIRO DOS SANTOS" u="1"/>
        <s v="ELIENE PEREIRA LIMA" u="1"/>
        <s v="FERNANDA DA SILVA MACENA" u="1"/>
        <s v="GHEOMAR DOS SANTOS" u="1"/>
        <s v="HELEN CAROLINE BATISTA" u="1"/>
        <s v="IALA CARDINALLE DA CONCEIÇÃO ALMEIDA" u="1"/>
        <s v="IRANILDO SANTOS DO NASC" u="1"/>
        <s v="ISAAC MORENO MENEZES MELO" u="1"/>
        <s v="JEFERSON NERY OLIVEIRA" u="1"/>
        <s v="LINCOLN AVES DOS SANTOS" u="1"/>
        <s v="LUCICLEIDE LOPES" u="1"/>
        <s v="LUIDINEIDE RIBEIRO SANTANA" u="1"/>
        <s v="MARIA ROSILENE DOS SANTOS  LIMA" u="1"/>
        <s v="MARIVALDA DE LIMA SALES SILVA" u="1"/>
        <s v="DANIELE COSTA BARRETTO" u="1"/>
        <s v="EMILLY VILAS BOAS DE JESUS" u="1"/>
        <s v="GRACIELE  SANTOS SOUZA" u="1"/>
        <s v="ARIANA SANTOS DE OLIVEIRA" u="1"/>
        <s v="LUCIENY CRUZ JORGE DOS SANTOS" u="1"/>
        <s v="ANGELICA DE SANTANA ROCHA" u="1"/>
        <s v="EMILLY VICTORIA SANTOS NASCIMENTO" u="1"/>
        <s v="EMILY KAROLINE BRANDÃO NUNES" u="1"/>
        <s v="MICHELE JESUS ROCHA ESTRELA" u="1"/>
        <s v="RENILTON ALVES DO NASCIMENTO FILHO" u="1"/>
        <s v="RODRIGO DA SILVA PEREIRA" u="1"/>
        <s v="QUÉRCIA ARAÚJO FERREIRA OLIVEIRA" u="1"/>
        <s v="RAFAELA DE JESUS MOURA SILVA" u="1"/>
        <s v="RAISSA NAYLANE BARROSO AQUINO" u="1"/>
        <s v="ANNE KAROLINA NASCIMENTO DOS" u="1"/>
        <s v="ERIKA JULYANA A CORTES" u="1"/>
        <s v="SAULO GOMES DA SILVA" u="1"/>
        <s v="CINTIA DE OLIVEIRA FELIX" u="1"/>
        <s v="THAYS GUIMARÃES DE LIMA" u="1"/>
        <s v="EDNA BARBOSA DA SILVA" u="1"/>
        <s v="ANAIVANDA CRISTINA DOS SANTOS FERREIRA" u="1"/>
        <s v="JENIFER SILVA NASCIMENTO" u="1"/>
        <s v="EVANEIDE MATOS DE SOUZA" u="1"/>
        <s v="ELAINE ALMEIDA FERREIRA DOS SANTOS" u="1"/>
        <s v="GENIVALDO ALMEIDA DA HORA" u="1"/>
        <s v="JOSE JADIEL NASCIMENTO" u="1"/>
        <s v="MAISA TRINDADE ALVES" u="1"/>
        <s v="MILLENE NASCIMENTO PEREIRA" u="1"/>
        <s v="ROSICLEIA DOS SANTOS SILVA" u="1"/>
        <s v="TAUANA SANTOS SOARES" u="1"/>
        <s v="VENANCIO BISPO DOS SANTOS" u="1"/>
        <s v="WIVINA GONZAGA DIAS" u="1"/>
        <s v="EDILSON COUTINHO PEREIRA" u="1"/>
        <s v="MICAELLA FLAIZA DE SOUZA" u="1"/>
        <s v="RUBIA MENDES DOS SANTOS" u="1"/>
        <s v="FERNANDA MARQUES DE A BARBOSA" u="1"/>
        <s v="ADRIANA DE PINHO FRAGA QUEIROZ" u="1"/>
        <s v="CAROLINE SANTOS RAMOS - FICAR" u="1"/>
        <s v="NATHELEN DOS SANTOS BARBOSA" u="1"/>
        <s v="TAINA DE JESUS SANTOS" u="1"/>
        <s v="NIVEA PEREIRA" u="1"/>
        <s v="SAMARA RAISSA DA PAIXÃO CARDOSO" u="1"/>
        <s v="ADILA ALMEIDA ALVES" u="1"/>
        <s v="VITOR MATEUS CARVALHO" u="1"/>
        <s v="CAROLAINE SILVA DE ASSIS - 24/01/2024" u="1"/>
        <s v="GEOVANA LYSSA BARROS SANTOS - 24/01/2024" u="1"/>
        <s v="GISELE TEIXEIRA DE SOUZA DIAS - 24/01/2024" u="1"/>
        <s v="JAMILE CONCEIÇÃO" u="1"/>
        <s v="BRENDA SILVA DE BRITO" u="1"/>
        <s v="AMANDA TEIXEIRA FREITAS" u="1"/>
        <s v="MARIA ROSILENE DOS SANTOS LIMA - 24/01/2024" u="1"/>
        <s v="ARIANA SANTOS DE OLIVEIRA MAXIMIANO" u="1"/>
        <s v="BEATRIZ DE JESUS CERQUEIRA" u="1"/>
        <s v="RICARDO TELES SANTANA" u="1"/>
        <s v="SAMARA COSTA PINTO" u="1"/>
        <s v="GISELE TEIXEIRA DE SOUZA DIAS" u="1"/>
        <s v="NAIRA COSTA SANTANA" u="1"/>
        <s v="COSME HUMBERTO DO NASCIMENTO" u="1"/>
        <s v="ELENILDES DA SILVA FONTES" u="1"/>
        <s v="MAILANE BATISTA RODRIGUES" u="1"/>
        <s v="ADELSON DE JESUS MASCARENHAS" u="1"/>
        <s v="ANA LUCIA MOREIRA SANTANA" u="1"/>
        <s v="BEATRIZ MOREIRA LIRA" u="1"/>
        <s v="BRUNA LETICIA SOUSA GOES" u="1"/>
        <s v="BRUNA LIMA CARVALHO" u="1"/>
        <s v="CRISLANE VIEIRA DOS SANTOS" u="1"/>
        <s v="ELAINE SANTOS SILVA" u="1"/>
        <s v="EMANUELLE SANTOS GOES" u="1"/>
        <s v="EMYLE SANTANA FARIAS GOMES FREITAS" u="1"/>
        <s v="FERNANDA MARQUES DE ARAUJO BARBOSA" u="1"/>
        <s v="GEISIANE BRANDAO DE LIMA SANTIAGO" u="1"/>
        <s v="JAMILE CONCEICAO CORREIA" u="1"/>
        <s v="KAILANE DE JESUS LEITE" u="1"/>
        <s v="KEROLAYNE CARNEIRO LOPES" u="1"/>
        <s v="LARA SAMILLY CARNEIRO DOS SANTOS" u="1"/>
        <s v="LARISSA OLIVEIRA PEREIRA" u="1"/>
        <s v="LAYLA BEATRIZ SOUZA BARBOSA DOS SANTOS" u="1"/>
        <s v="MARIA CLARA DOS SANTOS DA SILVA" u="1"/>
        <s v="MARJORIE LORAINE BARBOSA MACEDO" u="1"/>
        <s v="MELISSA DA SILVA CRUZ" u="1"/>
        <s v="NATALIA COUTINHO CONCEICAO" u="1"/>
        <s v="NIVEA PEREIRA DA SILVA" u="1"/>
        <s v="QUESIA DOS SANTOS SILVA DE JESUS" u="1"/>
        <s v="SARA YSLEI CONCEICAO NASCIMENTO" u="1"/>
        <s v="SHEILA VANIA GONCALVES NUNES" u="1"/>
        <s v="TATIANE SANTOS ALVES" u="1"/>
        <s v="VANILSON SANTOS CALDAS" u="1"/>
        <s v="VIVIANE AVELINO ANDRADDE" u="1"/>
        <s v="WILSON SANTOS SOUSA" u="1"/>
        <s v="EMILY KAROLINE BRANDAO NUNES" u="1"/>
        <s v="ERIKA JULYANA AMORIM CORTES" u="1"/>
        <s v="GILVÂNIA LOPES FREITAS" u="1"/>
        <s v="MARCOS ANTONIO F. DE JESUS" u="1"/>
        <s v="ANDREA VIRGINIA DO PRADO RAMOS" u="1"/>
        <s v="CAMILA FERNANDES SACRAMENTO" u="1"/>
        <s v="CARIANE RODRIGUES ARAÚJO" u="1"/>
        <s v="DAVI DE JESUS SANTOS" u="1"/>
        <s v="ELENILDES DA SILVA FONTES CARDOSO" u="1"/>
        <s v="FERNANDA MARQUES DE ARAÚJO" u="1"/>
        <s v="GRACIELE SANTOS SOUZA" u="1"/>
        <s v="IASMIM LUANY PAULINO DE OLIVEIRA" u="1"/>
        <s v="JANDESON DOS REIS PEREIRA LIMA" u="1"/>
        <s v="LAIZA BARBOSA DOS SANTOS" u="1"/>
        <s v="NAILLANE BARBOSA DE MOURA" u="1"/>
        <s v="NATHALIA VIVIAN CARDOSO CARNEIRO" u="1"/>
        <s v="PAULO CRYSTIAN DE MACEDO DA SILVA FERREIRA" u="1"/>
        <s v="PAULO HENRIQUE NASCIMENTO SANTOS" u="1"/>
        <s v="QUERCIA ARAUJO FERREIRA OLIVEIRA" u="1"/>
        <s v="RAIRES DA HORA SANTOS" u="1"/>
        <s v="REBECA FONSECA DOS SANTOS" u="1"/>
        <s v="RILZA DE SOUZA SANTANNA" u="1"/>
        <s v="ROSELI RODRIGUES DA SILVA DE JESUS NEVES" u="1"/>
        <s v="SANDRA ALVES PEDREIRA" u="1"/>
      </sharedItems>
    </cacheField>
    <cacheField name="Função" numFmtId="0">
      <sharedItems containsBlank="1" count="106">
        <s v="CAIXA"/>
        <s v="VENDEDOR"/>
        <s v="GERENTE DE VENDAS"/>
        <s v="EMBALADOR (A)"/>
        <s v="APRENDIZ"/>
        <s v="ENCARREGADA DP"/>
        <s v="GERENTE JUNIOR"/>
        <s v="COSTUREIRO (A)"/>
        <s v="ENC DE T.I"/>
        <s v="SERVIÇOS GERAIS"/>
        <s v="ESTAGIÁRIO"/>
        <s v="CONFERENTE"/>
        <s v="COORDENADOR"/>
        <s v="SUPERVISOR DE VENDAS"/>
        <s v="JOVEM APRENDIZ"/>
        <s v="ASSISTENTE FINANCEIRO"/>
        <s v="OPERADOR DE CAIXA"/>
        <s v="ASSIST ADM"/>
        <s v="SERV GERAIS"/>
        <s v="CORTADOR"/>
        <s v="GERENTE FINANCEIRO"/>
        <s v="GERENTE"/>
        <s v="EMBALADOR"/>
        <s v="VIGIA"/>
        <s v="ASSIST. FIN"/>
        <s v="ASSISTENTE T.I"/>
        <s v="VIGILANTE"/>
        <s v="MOTORISTA"/>
        <s v="COORDENADORA"/>
        <s v="COSTUREIRO"/>
        <s v="AUXILIAR DE CORTE"/>
        <s v="SOCIO"/>
        <s v="FISCAL DE LOJA" u="1"/>
        <s v="ENCARREGADO FAT" u="1"/>
        <s v="ENC FATURAMENTO" u="1"/>
        <s v="COSTUREIRA" u="1"/>
        <s v="CONTROLLER" u="1"/>
        <s v="GERENTE VENDAS" u="1"/>
        <s v="ESTAGIARIO" u="1"/>
        <s v="DIRETOR" u="1"/>
        <m u="1"/>
        <s v="0" u="1"/>
        <s v="ENCARREGADO T.I" u="1"/>
        <s v="ASSISTENTE FINAN" u="1"/>
        <s v="ESTAGIARIA" u="1"/>
        <s v="CONTORLLER" u="1"/>
        <s v="AUXILIAR DE TI" u="1"/>
        <s v="AUXILIAR ADMINISTRATIVO" u="1"/>
        <s v="SERVICOS GERAIS " u="1"/>
        <s v="AUXILIAR ADMINISTRATIVO  " u="1"/>
        <s v="ESTAGIARIO(A) " u="1"/>
        <s v="ASSIST. ADM" u="1"/>
        <s v="EMBALADOR ( A )" u="1"/>
        <s v="VENDEDORA " u="1"/>
        <s v="VENDEDOR(A)" u="1"/>
        <s v="ASSIST. DE DP" u="1"/>
        <s v="ESTAGIARIO(A)" u="1"/>
        <s v="SUPERTE DE TI" u="1"/>
        <s v="SUBGERENTE" u="1"/>
        <s v="ASSIST. FISCAL " u="1"/>
        <s v="SOCIO-GERENTE " u="1"/>
        <s v="VENDEDORA (A)" u="1"/>
        <s v="GER DE VENDAS" u="1"/>
        <s v="VENDEDOR (A)" u="1"/>
        <s v="DP" u="1"/>
        <s v="TI" u="1"/>
        <s v="ESTAGIARIO (A)" u="1"/>
        <s v="VEND / CONF" u="1"/>
        <s v="ADM" u="1"/>
        <s v="SUP. DE VENDAS" u="1"/>
        <s v="ASSIST. FINANc" u="1"/>
        <s v="ENC.DE FATURAMENTO" u="1"/>
        <s v="ASSISTENTE FINANCEIRA" u="1"/>
        <s v="ASSISTENTE TI" u="1"/>
        <s v="AUX. ADM" u="1"/>
        <s v="VEND / CORD" u="1"/>
        <s v="ASSIT. FISCAL" u="1"/>
        <s v="GERENTE JÚNIOR" u="1"/>
        <s v="PRO LABORE" u="1"/>
        <s v="CONFER. / GERENTE" u="1"/>
        <s v="VEND / FÉRIAS" u="1"/>
        <s v="COSTURA" u="1"/>
        <s v="VENDEDORA" u="1"/>
        <s v="COORDENADOR ( A ) " u="1"/>
        <s v="COSTUREIRA (O)" u="1"/>
        <s v="VENDEDOR " u="1"/>
        <s v="SERVICOS GERAIS" u="1"/>
        <s v="AUXILIAR DE SERVICOS GERAIS" u="1"/>
        <s v="COSTUREIRO ( A )" u="1"/>
        <s v="ESTAGIARIO ( A ) " u="1"/>
        <s v="OPERADOR DE CAIXA " u="1"/>
        <s v="ENCARREGADO ( A ) FATURAMENTO" u="1"/>
        <s v="CORTADOR ( A ) " u="1"/>
        <s v="ASSISTENTE DE SETOR FISCAL" u="1"/>
        <s v="ESTAGIARIO(A) ATENDIMENTO" u="1"/>
        <s v="CAIXA " u="1"/>
        <s v="AUXILIAR  DE DP" u="1"/>
        <s v="GERENTE DE RH" u="1"/>
        <s v="ENCARREGADO DE TI" u="1"/>
        <s v="SG" u="1"/>
        <s v="SERVIÇOS GERAIS/VENDAS" u="1"/>
        <s v="ENCARREGADA DE FATURAMENTO" u="1"/>
        <s v="GERENTE " u="1"/>
        <s v="CAIXA /  SUBGERENTE" u="1"/>
        <s v="AUXILIAR DE DP" u="1"/>
        <s v="TERCERIZADO" u="1"/>
      </sharedItems>
    </cacheField>
    <cacheField name="Razão Social" numFmtId="0">
      <sharedItems/>
    </cacheField>
    <cacheField name="Alocações" numFmtId="0">
      <sharedItems/>
    </cacheField>
    <cacheField name="Admissão" numFmtId="14">
      <sharedItems containsSemiMixedTypes="0" containsNonDate="0" containsDate="1" containsString="0" minDate="2005-02-22T00:00:00" maxDate="2025-04-06T00:00:00"/>
    </cacheField>
    <cacheField name="SITUAÇÃO" numFmtId="0">
      <sharedItems containsMixedTypes="1" containsNumber="1" containsInteger="1" minValue="0" maxValue="0" count="5">
        <s v="Trabalhando"/>
        <s v="Férias"/>
        <s v="Demitido"/>
        <s v="Licença maternidade"/>
        <n v="0" u="1"/>
      </sharedItems>
    </cacheField>
    <cacheField name="C.CHEQUE" numFmtId="43">
      <sharedItems containsSemiMixedTypes="0" containsString="0" containsNumber="1" minValue="0" maxValue="6109.8"/>
    </cacheField>
    <cacheField name="FALTAS" numFmtId="43">
      <sharedItems containsSemiMixedTypes="0" containsString="0" containsNumber="1" minValue="0" maxValue="1660"/>
    </cacheField>
    <cacheField name="DESCONTO " numFmtId="43">
      <sharedItems containsSemiMixedTypes="0" containsString="0" containsNumber="1" minValue="0" maxValue="1756.58"/>
    </cacheField>
    <cacheField name="TOTAL DE C.CHEQUE" numFmtId="43">
      <sharedItems containsSemiMixedTypes="0" containsString="0" containsNumber="1" minValue="0" maxValue="6109.8"/>
    </cacheField>
    <cacheField name="GRATIFICAÇÃO" numFmtId="0">
      <sharedItems containsSemiMixedTypes="0" containsString="0" containsNumber="1" containsInteger="1" minValue="0" maxValue="700"/>
    </cacheField>
    <cacheField name="PAGAMENTOS" numFmtId="0">
      <sharedItems containsSemiMixedTypes="0" containsString="0" containsNumber="1" minValue="0" maxValue="5275"/>
    </cacheField>
    <cacheField name="TOTAL DE QUEBRA" numFmtId="0">
      <sharedItems containsSemiMixedTypes="0" containsString="0" containsNumber="1" minValue="0" maxValue="192"/>
    </cacheField>
    <cacheField name="ADC. ANTIGUIDADE" numFmtId="0">
      <sharedItems containsSemiMixedTypes="0" containsString="0" containsNumber="1" containsInteger="1" minValue="0" maxValue="0"/>
    </cacheField>
    <cacheField name="TOTAL DE TRIENIO" numFmtId="0">
      <sharedItems containsSemiMixedTypes="0" containsString="0" containsNumber="1" minValue="0" maxValue="871.25"/>
    </cacheField>
    <cacheField name="TX ASSIS. TOTAL" numFmtId="0">
      <sharedItems containsSemiMixedTypes="0" containsString="0" containsNumber="1" minValue="0" maxValue="64.400000000000006"/>
    </cacheField>
    <cacheField name="FAMILIA" numFmtId="43">
      <sharedItems containsSemiMixedTypes="0" containsString="0" containsNumber="1" minValue="0" maxValue="130"/>
    </cacheField>
    <cacheField name="BOLSA DE AUXILIO" numFmtId="43">
      <sharedItems containsSemiMixedTypes="0" containsString="0" containsNumber="1" containsInteger="1" minValue="0" maxValue="600"/>
    </cacheField>
    <cacheField name="VALE TRANSP" numFmtId="43">
      <sharedItems containsSemiMixedTypes="0" containsString="0" containsNumber="1" minValue="0" maxValue="139.26"/>
    </cacheField>
    <cacheField name="PLANO DE SAUDE" numFmtId="43">
      <sharedItems containsSemiMixedTypes="0" containsString="0" containsNumber="1" containsInteger="1" minValue="0" maxValue="0"/>
    </cacheField>
    <cacheField name="DESCONTOS" numFmtId="43">
      <sharedItems containsSemiMixedTypes="0" containsString="0" containsNumber="1" minValue="0" maxValue="240"/>
    </cacheField>
    <cacheField name="BENEFICIOS" numFmtId="0">
      <sharedItems containsSemiMixedTypes="0" containsString="0" containsNumber="1" minValue="-64.400000000000006" maxValue="460"/>
    </cacheField>
    <cacheField name="VALE COMPRAS TOTAIS" numFmtId="43">
      <sharedItems containsSemiMixedTypes="0" containsString="0" containsNumber="1" minValue="0" maxValue="300"/>
    </cacheField>
    <cacheField name="CCT" numFmtId="43">
      <sharedItems containsSemiMixedTypes="0" containsString="0" containsNumber="1" minValue="0" maxValue="220"/>
    </cacheField>
    <cacheField name="SALARIO BASE" numFmtId="43">
      <sharedItems containsSemiMixedTypes="0" containsString="0" containsNumber="1" minValue="0" maxValue="6679.62"/>
    </cacheField>
    <cacheField name="SALARIO BASE 2" numFmtId="0">
      <sharedItems containsSemiMixedTypes="0" containsString="0" containsNumber="1" minValue="0" maxValue="5275"/>
    </cacheField>
    <cacheField name="IMPOSTOS" numFmtId="43">
      <sharedItems containsSemiMixedTypes="0" containsString="0" containsNumber="1" minValue="0" maxValue="1454.109195"/>
    </cacheField>
    <cacheField name="SALARIO COM  IMPOSTOS" numFmtId="43">
      <sharedItems containsSemiMixedTypes="0" containsString="0" containsNumber="1" minValue="0" maxValue="8015.5439999999999"/>
    </cacheField>
    <cacheField name="NOME2" numFmtId="0">
      <sharedItems/>
    </cacheField>
    <cacheField name="NOME3" numFmtId="0">
      <sharedItems containsMixedTypes="1" containsNumber="1" containsInteger="1" minValue="0" maxValue="0" count="14">
        <s v="10k DECORAÇÕES"/>
        <s v="SR PASSOS"/>
        <s v="GENESIS"/>
        <s v="FABRICA"/>
        <s v="30 K "/>
        <s v="ESCRITORIO"/>
        <s v="15 K COMERCIAL"/>
        <s v="GRAND CANYON"/>
        <s v="AVANTE"/>
        <s v="MAISON"/>
        <s v="HOME CENTER"/>
        <s v="METANÓIA"/>
        <s v="5K DECORAÇÕES"/>
        <n v="0" u="1"/>
      </sharedItems>
    </cacheField>
    <cacheField name="Total" numFmtId="0" formula="'SALARIO BASE 2'+'SALARIO COM  IMPOSTO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3">
  <r>
    <s v="716 - PRATTIKA COMERCIAL DE UTILIDADES DOMESTI"/>
    <s v="FRANCISCA SELMA SANTOS DE SALES"/>
    <s v="VENDEDOR (A)"/>
    <d v="2022-11-09T00:00:00"/>
    <x v="0"/>
    <s v="HORAS NORMAIS"/>
    <n v="1660"/>
  </r>
  <r>
    <s v="716 - PRATTIKA COMERCIAL DE UTILIDADES DOMESTI"/>
    <s v="FRANCISCA SELMA SANTOS DE SALES"/>
    <s v="VENDEDOR (A)"/>
    <d v="2022-11-09T00:00:00"/>
    <x v="0"/>
    <s v="SALARIO FAMILIA"/>
    <n v="65"/>
  </r>
  <r>
    <s v="716 - PRATTIKA COMERCIAL DE UTILIDADES DOMESTI"/>
    <s v="FRANCISCA SELMA SANTOS DE SALES"/>
    <s v="VENDEDOR (A)"/>
    <d v="2022-11-09T00:00:00"/>
    <x v="0"/>
    <s v="VALES"/>
    <n v="50.96"/>
  </r>
  <r>
    <s v="716 - PRATTIKA COMERCIAL DE UTILIDADES DOMESTI"/>
    <s v="FRANCISCA SELMA SANTOS DE SALES"/>
    <s v="VENDEDOR (A)"/>
    <d v="2022-11-09T00:00:00"/>
    <x v="0"/>
    <s v="DESC.ADIANT.SALARIAL"/>
    <n v="664"/>
  </r>
  <r>
    <s v="716 - PRATTIKA COMERCIAL DE UTILIDADES DOMESTI"/>
    <s v="FRANCISCA SELMA SANTOS DE SALES"/>
    <s v="VENDEDOR (A)"/>
    <d v="2022-11-09T00:00:00"/>
    <x v="0"/>
    <s v="VALE TRANSPORTE 6%"/>
    <n v="99.6"/>
  </r>
  <r>
    <s v="716 - PRATTIKA COMERCIAL DE UTILIDADES DOMESTI"/>
    <s v="FRANCISCA SELMA SANTOS DE SALES"/>
    <s v="VENDEDOR (A)"/>
    <d v="2022-11-09T00:00:00"/>
    <x v="0"/>
    <s v="Salário:"/>
    <n v="1660"/>
  </r>
  <r>
    <s v="716 - PRATTIKA COMERCIAL DE UTILIDADES DOMESTI"/>
    <s v="JOAO VICTOR DE SOUZA SANTANA"/>
    <s v="SERVICOS GERAIS "/>
    <d v="2022-11-01T00:00:00"/>
    <x v="0"/>
    <s v="HORAS NORMAIS"/>
    <n v="1660"/>
  </r>
  <r>
    <s v="716 - PRATTIKA COMERCIAL DE UTILIDADES DOMESTI"/>
    <s v="JOAO VICTOR DE SOUZA SANTANA"/>
    <s v="SERVICOS GERAIS "/>
    <d v="2022-11-01T00:00:00"/>
    <x v="0"/>
    <s v="DESC.ADIANT.SALARIAL"/>
    <n v="664"/>
  </r>
  <r>
    <s v="716 - PRATTIKA COMERCIAL DE UTILIDADES DOMESTI"/>
    <s v="JOAO VICTOR DE SOUZA SANTANA"/>
    <s v="SERVICOS GERAIS "/>
    <d v="2022-11-01T00:00:00"/>
    <x v="0"/>
    <s v="Salário:"/>
    <n v="1660"/>
  </r>
  <r>
    <s v="716 - PRATTIKA COMERCIAL DE UTILIDADES DOMESTI"/>
    <s v="LUCAS RAMOS CATARINO"/>
    <s v="AUXILIAR DE TI"/>
    <d v="2022-10-10T00:00:00"/>
    <x v="0"/>
    <s v="HORAS NORMAIS"/>
    <n v="2110"/>
  </r>
  <r>
    <s v="716 - PRATTIKA COMERCIAL DE UTILIDADES DOMESTI"/>
    <s v="LUCAS RAMOS CATARINO"/>
    <s v="AUXILIAR DE TI"/>
    <d v="2022-10-10T00:00:00"/>
    <x v="0"/>
    <s v="VALES"/>
    <n v="103.4"/>
  </r>
  <r>
    <s v="716 - PRATTIKA COMERCIAL DE UTILIDADES DOMESTI"/>
    <s v="LUCAS RAMOS CATARINO"/>
    <s v="AUXILIAR DE TI"/>
    <d v="2022-10-10T00:00:00"/>
    <x v="0"/>
    <s v="DESC.ADIANT.SALARIAL"/>
    <n v="844"/>
  </r>
  <r>
    <s v="716 - PRATTIKA COMERCIAL DE UTILIDADES DOMESTI"/>
    <s v="LUCAS RAMOS CATARINO"/>
    <s v="AUXILIAR DE TI"/>
    <d v="2022-10-10T00:00:00"/>
    <x v="0"/>
    <s v="Salário:"/>
    <n v="2110"/>
  </r>
  <r>
    <s v="728 - RAINHA MAISON COMERCIAL LTDA"/>
    <s v="ANA PAULA NEVES DA SILVA LEITE"/>
    <s v="VENDEDOR (A)"/>
    <d v="2022-10-10T00:00:00"/>
    <x v="0"/>
    <s v="HORAS NORMAIS"/>
    <n v="1660"/>
  </r>
  <r>
    <s v="728 - RAINHA MAISON COMERCIAL LTDA"/>
    <s v="ANA PAULA NEVES DA SILVA LEITE"/>
    <s v="VENDEDOR (A)"/>
    <d v="2022-10-10T00:00:00"/>
    <x v="0"/>
    <s v="DESC.ADIANT.SALARIAL"/>
    <n v="664"/>
  </r>
  <r>
    <s v="728 - RAINHA MAISON COMERCIAL LTDA"/>
    <s v="ANA PAULA NEVES DA SILVA LEITE"/>
    <s v="VENDEDOR (A)"/>
    <d v="2022-10-10T00:00:00"/>
    <x v="0"/>
    <s v="VALE TRANSPORTE 6%"/>
    <n v="99.6"/>
  </r>
  <r>
    <s v="728 - RAINHA MAISON COMERCIAL LTDA"/>
    <s v="ANA PAULA NEVES DA SILVA LEITE"/>
    <s v="VENDEDOR (A)"/>
    <d v="2022-10-10T00:00:00"/>
    <x v="0"/>
    <s v="AUXILIO PLANO DE BENEFICIOS DEPENDENTES"/>
    <n v="16.899999999999999"/>
  </r>
  <r>
    <s v="728 - RAINHA MAISON COMERCIAL LTDA"/>
    <s v="ANA PAULA NEVES DA SILVA LEITE"/>
    <s v="VENDEDOR (A)"/>
    <d v="2022-10-10T00:00:00"/>
    <x v="0"/>
    <s v="Salário:"/>
    <n v="1660"/>
  </r>
  <r>
    <s v="728 - RAINHA MAISON COMERCIAL LTDA"/>
    <s v="CASSIANO VITOR SANTOS GUIMARAES"/>
    <s v="ENCARREGADO DE TI "/>
    <d v="2024-07-22T00:00:00"/>
    <x v="0"/>
    <s v="HORAS NORMAIS"/>
    <n v="6109.8"/>
  </r>
  <r>
    <s v="728 - RAINHA MAISON COMERCIAL LTDA"/>
    <s v="CASSIANO VITOR SANTOS GUIMARAES"/>
    <s v="ENCARREGADO DE TI "/>
    <d v="2024-07-22T00:00:00"/>
    <x v="0"/>
    <s v="IMPOSTO DE RENDA"/>
    <n v="68.7"/>
  </r>
  <r>
    <s v="728 - RAINHA MAISON COMERCIAL LTDA"/>
    <s v="CASSIANO VITOR SANTOS GUIMARAES"/>
    <s v="ENCARREGADO DE TI "/>
    <d v="2024-07-22T00:00:00"/>
    <x v="0"/>
    <s v="DESC.ADIANT.SALARIAL"/>
    <n v="2443.92"/>
  </r>
  <r>
    <s v="728 - RAINHA MAISON COMERCIAL LTDA"/>
    <s v="CASSIANO VITOR SANTOS GUIMARAES"/>
    <s v="ENCARREGADO DE TI "/>
    <d v="2024-07-22T00:00:00"/>
    <x v="0"/>
    <s v="Salário:"/>
    <n v="6109.8"/>
  </r>
  <r>
    <s v="728 - RAINHA MAISON COMERCIAL LTDA"/>
    <s v="DJENANE DA SILVA SANTANA"/>
    <s v="VENDEDOR (A)"/>
    <d v="2012-07-03T00:00:00"/>
    <x v="0"/>
    <s v="HORAS NORMAIS"/>
    <n v="1660"/>
  </r>
  <r>
    <s v="728 - RAINHA MAISON COMERCIAL LTDA"/>
    <s v="DJENANE DA SILVA SANTANA"/>
    <s v="VENDEDOR (A)"/>
    <d v="2012-07-03T00:00:00"/>
    <x v="0"/>
    <s v="TRIENIO COMERCIO"/>
    <n v="249"/>
  </r>
  <r>
    <s v="728 - RAINHA MAISON COMERCIAL LTDA"/>
    <s v="DJENANE DA SILVA SANTANA"/>
    <s v="VENDEDOR (A)"/>
    <d v="2012-07-03T00:00:00"/>
    <x v="0"/>
    <s v="VALES"/>
    <n v="106.27"/>
  </r>
  <r>
    <s v="728 - RAINHA MAISON COMERCIAL LTDA"/>
    <s v="DJENANE DA SILVA SANTANA"/>
    <s v="VENDEDOR (A)"/>
    <d v="2012-07-03T00:00:00"/>
    <x v="0"/>
    <s v="DESC.ADIANT.SALARIAL"/>
    <n v="664"/>
  </r>
  <r>
    <s v="728 - RAINHA MAISON COMERCIAL LTDA"/>
    <s v="DJENANE DA SILVA SANTANA"/>
    <s v="VENDEDOR (A)"/>
    <d v="2012-07-03T00:00:00"/>
    <x v="0"/>
    <s v="Salário:"/>
    <n v="1660"/>
  </r>
  <r>
    <s v="728 - RAINHA MAISON COMERCIAL LTDA"/>
    <s v="MABEL CAVALCANTI DA SILVA CONCEICAO"/>
    <s v="GERENTE DE VENDAS"/>
    <d v="2012-11-01T00:00:00"/>
    <x v="1"/>
    <s v="DIFERENCA DE FERIAS"/>
    <n v="192.25"/>
  </r>
  <r>
    <s v="728 - RAINHA MAISON COMERCIAL LTDA"/>
    <s v="MABEL CAVALCANTI DA SILVA CONCEICAO"/>
    <s v="GERENTE DE VENDAS"/>
    <d v="2012-11-01T00:00:00"/>
    <x v="1"/>
    <s v="DIFERENCA DE 1/3 DE FERIAS"/>
    <n v="73.7"/>
  </r>
  <r>
    <s v="728 - RAINHA MAISON COMERCIAL LTDA"/>
    <s v="MABEL CAVALCANTI DA SILVA CONCEICAO"/>
    <s v="GERENTE DE VENDAS"/>
    <d v="2012-11-01T00:00:00"/>
    <x v="1"/>
    <s v="DIFERENCA ADICIONAL FERIAS"/>
    <n v="28.84"/>
  </r>
  <r>
    <s v="728 - RAINHA MAISON COMERCIAL LTDA"/>
    <s v="MABEL CAVALCANTI DA SILVA CONCEICAO"/>
    <s v="GERENTE DE VENDAS"/>
    <d v="2012-11-01T00:00:00"/>
    <x v="1"/>
    <s v="HORAS FERIAS"/>
    <n v="3495.4"/>
  </r>
  <r>
    <s v="728 - RAINHA MAISON COMERCIAL LTDA"/>
    <s v="MABEL CAVALCANTI DA SILVA CONCEICAO"/>
    <s v="GERENTE DE VENDAS"/>
    <d v="2012-11-01T00:00:00"/>
    <x v="1"/>
    <s v="VANTAGENS FERIAS"/>
    <n v="524.30999999999995"/>
  </r>
  <r>
    <s v="728 - RAINHA MAISON COMERCIAL LTDA"/>
    <s v="MABEL CAVALCANTI DA SILVA CONCEICAO"/>
    <s v="GERENTE DE VENDAS"/>
    <d v="2012-11-01T00:00:00"/>
    <x v="1"/>
    <s v="AUXILIO PLANO DE BENEFICIOS DEPENDENTES"/>
    <n v="33.799999999999997"/>
  </r>
  <r>
    <s v="728 - RAINHA MAISON COMERCIAL LTDA"/>
    <s v="MABEL CAVALCANTI DA SILVA CONCEICAO"/>
    <s v="GERENTE DE VENDAS"/>
    <d v="2012-11-01T00:00:00"/>
    <x v="1"/>
    <s v="Salário:"/>
    <n v="3687.65"/>
  </r>
  <r>
    <s v="728 - RAINHA MAISON COMERCIAL LTDA"/>
    <s v="VALDICK SANTOS LEAO"/>
    <s v="MOTORISTA "/>
    <d v="2012-02-01T00:00:00"/>
    <x v="0"/>
    <s v="HORAS NORMAIS"/>
    <n v="2231.89"/>
  </r>
  <r>
    <s v="728 - RAINHA MAISON COMERCIAL LTDA"/>
    <s v="VALDICK SANTOS LEAO"/>
    <s v="MOTORISTA "/>
    <d v="2012-02-01T00:00:00"/>
    <x v="0"/>
    <s v="TRIENIO COMERCIO"/>
    <n v="334.78"/>
  </r>
  <r>
    <s v="728 - RAINHA MAISON COMERCIAL LTDA"/>
    <s v="VALDICK SANTOS LEAO"/>
    <s v="MOTORISTA "/>
    <d v="2012-02-01T00:00:00"/>
    <x v="0"/>
    <s v="DESC.ADIANT.SALARIAL"/>
    <n v="1115.94"/>
  </r>
  <r>
    <s v="728 - RAINHA MAISON COMERCIAL LTDA"/>
    <s v="VALDICK SANTOS LEAO"/>
    <s v="MOTORISTA "/>
    <d v="2012-02-01T00:00:00"/>
    <x v="0"/>
    <s v="Salário:"/>
    <n v="2231.89"/>
  </r>
  <r>
    <s v="728 - RAINHA MAISON COMERCIAL LTDA"/>
    <s v="SINARIA DE MENEZES PINHEIRO"/>
    <s v="PRO LABORE"/>
    <d v="2011-09-13T00:00:00"/>
    <x v="0"/>
    <s v="PRO-LABORE"/>
    <n v="2364"/>
  </r>
  <r>
    <s v="728 - RAINHA MAISON COMERCIAL LTDA"/>
    <s v="SINARIA DE MENEZES PINHEIRO"/>
    <s v="PRO LABORE"/>
    <d v="2011-09-13T00:00:00"/>
    <x v="0"/>
    <s v="Salário:"/>
    <n v="2364"/>
  </r>
  <r>
    <s v="731 - REIS DO NORDESTE CAMA MESA E BANHO LTDA"/>
    <s v="BRENDA SILVA DE BRITO CARNEIRO"/>
    <s v="VENDEDOR (A)"/>
    <d v="2023-11-09T00:00:00"/>
    <x v="0"/>
    <s v="HORAS NORMAIS"/>
    <n v="1660"/>
  </r>
  <r>
    <s v="731 - REIS DO NORDESTE CAMA MESA E BANHO LTDA"/>
    <s v="BRENDA SILVA DE BRITO CARNEIRO"/>
    <s v="VENDEDOR (A)"/>
    <d v="2023-11-09T00:00:00"/>
    <x v="0"/>
    <s v="DESC.ADIANT.SALARIAL"/>
    <n v="664"/>
  </r>
  <r>
    <s v="731 - REIS DO NORDESTE CAMA MESA E BANHO LTDA"/>
    <s v="BRENDA SILVA DE BRITO CARNEIRO"/>
    <s v="VENDEDOR (A)"/>
    <d v="2023-11-09T00:00:00"/>
    <x v="0"/>
    <s v="VALE TRANSPORTE 6%"/>
    <n v="99.6"/>
  </r>
  <r>
    <s v="731 - REIS DO NORDESTE CAMA MESA E BANHO LTDA"/>
    <s v="BRENDA SILVA DE BRITO CARNEIRO"/>
    <s v="VENDEDOR (A)"/>
    <d v="2023-11-09T00:00:00"/>
    <x v="0"/>
    <s v="Salário:"/>
    <n v="1660"/>
  </r>
  <r>
    <s v="731 - REIS DO NORDESTE CAMA MESA E BANHO LTDA"/>
    <s v="CAROLAINE SILVA DE ASSIS"/>
    <s v="CAIXA"/>
    <d v="2024-02-08T00:00:00"/>
    <x v="0"/>
    <s v="HORAS NORMAIS"/>
    <n v="1660"/>
  </r>
  <r>
    <s v="731 - REIS DO NORDESTE CAMA MESA E BANHO LTDA"/>
    <s v="CAROLAINE SILVA DE ASSIS"/>
    <s v="CAIXA"/>
    <d v="2024-02-08T00:00:00"/>
    <x v="0"/>
    <s v="QUEBRA DE CAIXA 5%"/>
    <n v="83"/>
  </r>
  <r>
    <s v="731 - REIS DO NORDESTE CAMA MESA E BANHO LTDA"/>
    <s v="CAROLAINE SILVA DE ASSIS"/>
    <s v="CAIXA"/>
    <d v="2024-02-08T00:00:00"/>
    <x v="0"/>
    <s v="SALARIO FAMILIA"/>
    <n v="65"/>
  </r>
  <r>
    <s v="731 - REIS DO NORDESTE CAMA MESA E BANHO LTDA"/>
    <s v="CAROLAINE SILVA DE ASSIS"/>
    <s v="CAIXA"/>
    <d v="2024-02-08T00:00:00"/>
    <x v="0"/>
    <s v="DESC.ADIANT.SALARIAL"/>
    <n v="664"/>
  </r>
  <r>
    <s v="731 - REIS DO NORDESTE CAMA MESA E BANHO LTDA"/>
    <s v="CAROLAINE SILVA DE ASSIS"/>
    <s v="CAIXA"/>
    <d v="2024-02-08T00:00:00"/>
    <x v="0"/>
    <s v="VALE TRANSPORTE 6%"/>
    <n v="99.6"/>
  </r>
  <r>
    <s v="731 - REIS DO NORDESTE CAMA MESA E BANHO LTDA"/>
    <s v="CAROLAINE SILVA DE ASSIS"/>
    <s v="CAIXA"/>
    <d v="2024-02-08T00:00:00"/>
    <x v="0"/>
    <s v="AUXILIO PLANO DE BENEFICIOS DEPENDENTES"/>
    <n v="33.799999999999997"/>
  </r>
  <r>
    <s v="731 - REIS DO NORDESTE CAMA MESA E BANHO LTDA"/>
    <s v="CAROLAINE SILVA DE ASSIS"/>
    <s v="CAIXA"/>
    <d v="2024-02-08T00:00:00"/>
    <x v="0"/>
    <s v="Salário:"/>
    <n v="1660"/>
  </r>
  <r>
    <s v="731 - REIS DO NORDESTE CAMA MESA E BANHO LTDA"/>
    <s v="DANILO RIBEIRO SANTANA"/>
    <s v="SERVICOS GERAIS "/>
    <d v="2023-02-01T00:00:00"/>
    <x v="0"/>
    <s v="HORAS NORMAIS"/>
    <n v="885.33"/>
  </r>
  <r>
    <s v="731 - REIS DO NORDESTE CAMA MESA E BANHO LTDA"/>
    <s v="DANILO RIBEIRO SANTANA"/>
    <s v="SERVICOS GERAIS "/>
    <d v="2023-02-01T00:00:00"/>
    <x v="0"/>
    <s v="DIFERENCA DE FERIAS"/>
    <n v="44.34"/>
  </r>
  <r>
    <s v="731 - REIS DO NORDESTE CAMA MESA E BANHO LTDA"/>
    <s v="DANILO RIBEIRO SANTANA"/>
    <s v="SERVICOS GERAIS "/>
    <d v="2023-02-01T00:00:00"/>
    <x v="0"/>
    <s v="DIFERENCA DE 1/3 DE FERIAS"/>
    <n v="14.77"/>
  </r>
  <r>
    <s v="731 - REIS DO NORDESTE CAMA MESA E BANHO LTDA"/>
    <s v="DANILO RIBEIRO SANTANA"/>
    <s v="SERVICOS GERAIS "/>
    <d v="2023-02-01T00:00:00"/>
    <x v="0"/>
    <s v="HORAS FERIAS"/>
    <n v="730.33"/>
  </r>
  <r>
    <s v="731 - REIS DO NORDESTE CAMA MESA E BANHO LTDA"/>
    <s v="DANILO RIBEIRO SANTANA"/>
    <s v="SERVICOS GERAIS "/>
    <d v="2023-02-01T00:00:00"/>
    <x v="0"/>
    <s v="DESC.ADIANT.SALARIAL"/>
    <n v="354.13"/>
  </r>
  <r>
    <s v="731 - REIS DO NORDESTE CAMA MESA E BANHO LTDA"/>
    <s v="DANILO RIBEIRO SANTANA"/>
    <s v="SERVICOS GERAIS "/>
    <d v="2023-02-01T00:00:00"/>
    <x v="0"/>
    <s v="Salário:"/>
    <n v="1660"/>
  </r>
  <r>
    <s v="731 - REIS DO NORDESTE CAMA MESA E BANHO LTDA"/>
    <s v="DEBORA TEIXEIRA DOS SANTOS"/>
    <s v="ESTAGIARIO(A)"/>
    <d v="2024-11-21T00:00:00"/>
    <x v="0"/>
    <s v="BOLSA AUXILIO"/>
    <n v="600"/>
  </r>
  <r>
    <s v="731 - REIS DO NORDESTE CAMA MESA E BANHO LTDA"/>
    <s v="DEBORA TEIXEIRA DOS SANTOS"/>
    <s v="ESTAGIARIO(A)"/>
    <d v="2024-11-21T00:00:00"/>
    <x v="0"/>
    <s v="AUXILIO TRANSPORTE "/>
    <n v="100"/>
  </r>
  <r>
    <s v="731 - REIS DO NORDESTE CAMA MESA E BANHO LTDA"/>
    <s v="DEBORA TEIXEIRA DOS SANTOS"/>
    <s v="ESTAGIARIO(A)"/>
    <d v="2024-11-21T00:00:00"/>
    <x v="0"/>
    <s v="BOLSA AUXILIO DESCONTO ADIANTAMENTO"/>
    <n v="240"/>
  </r>
  <r>
    <s v="731 - REIS DO NORDESTE CAMA MESA E BANHO LTDA"/>
    <s v="DEBORA TEIXEIRA DOS SANTOS"/>
    <s v="ESTAGIARIO(A)"/>
    <d v="2024-11-21T00:00:00"/>
    <x v="0"/>
    <s v="Salário:"/>
    <n v="600"/>
  </r>
  <r>
    <s v="731 - REIS DO NORDESTE CAMA MESA E BANHO LTDA"/>
    <s v="ELIANE DOS SANTOS SILVA"/>
    <s v="VENDEDOR (A)"/>
    <d v="2020-10-13T00:00:00"/>
    <x v="0"/>
    <s v="HORAS NORMAIS"/>
    <n v="1660"/>
  </r>
  <r>
    <s v="731 - REIS DO NORDESTE CAMA MESA E BANHO LTDA"/>
    <s v="ELIANE DOS SANTOS SILVA"/>
    <s v="VENDEDOR (A)"/>
    <d v="2020-10-13T00:00:00"/>
    <x v="0"/>
    <s v="TRIENIO SECOFS"/>
    <n v="83"/>
  </r>
  <r>
    <s v="731 - REIS DO NORDESTE CAMA MESA E BANHO LTDA"/>
    <s v="ELIANE DOS SANTOS SILVA"/>
    <s v="VENDEDOR (A)"/>
    <d v="2020-10-13T00:00:00"/>
    <x v="0"/>
    <s v="SALARIO FAMILIA"/>
    <n v="65"/>
  </r>
  <r>
    <s v="731 - REIS DO NORDESTE CAMA MESA E BANHO LTDA"/>
    <s v="ELIANE DOS SANTOS SILVA"/>
    <s v="VENDEDOR (A)"/>
    <d v="2020-10-13T00:00:00"/>
    <x v="0"/>
    <s v="DESC.ADIANT.SALARIAL"/>
    <n v="664"/>
  </r>
  <r>
    <s v="731 - REIS DO NORDESTE CAMA MESA E BANHO LTDA"/>
    <s v="ELIANE DOS SANTOS SILVA"/>
    <s v="VENDEDOR (A)"/>
    <d v="2020-10-13T00:00:00"/>
    <x v="0"/>
    <s v="VALE TRANSPORTE 6%"/>
    <n v="99.6"/>
  </r>
  <r>
    <s v="731 - REIS DO NORDESTE CAMA MESA E BANHO LTDA"/>
    <s v="ELIANE DOS SANTOS SILVA"/>
    <s v="VENDEDOR (A)"/>
    <d v="2020-10-13T00:00:00"/>
    <x v="0"/>
    <s v="Salário:"/>
    <n v="1660"/>
  </r>
  <r>
    <s v="731 - REIS DO NORDESTE CAMA MESA E BANHO LTDA"/>
    <s v="HEMILENE SOUZA RIBEIRO"/>
    <s v="ASSISTENTE FINANCEIRO"/>
    <d v="2010-02-01T00:00:00"/>
    <x v="0"/>
    <s v="HORAS NORMAIS"/>
    <n v="2092.21"/>
  </r>
  <r>
    <s v="731 - REIS DO NORDESTE CAMA MESA E BANHO LTDA"/>
    <s v="HEMILENE SOUZA RIBEIRO"/>
    <s v="ASSISTENTE FINANCEIRO"/>
    <d v="2010-02-01T00:00:00"/>
    <x v="0"/>
    <s v="TRIENIO SECOFS"/>
    <n v="313.83"/>
  </r>
  <r>
    <s v="731 - REIS DO NORDESTE CAMA MESA E BANHO LTDA"/>
    <s v="HEMILENE SOUZA RIBEIRO"/>
    <s v="ASSISTENTE FINANCEIRO"/>
    <d v="2010-02-01T00:00:00"/>
    <x v="0"/>
    <s v="VALES"/>
    <n v="78.78"/>
  </r>
  <r>
    <s v="731 - REIS DO NORDESTE CAMA MESA E BANHO LTDA"/>
    <s v="HEMILENE SOUZA RIBEIRO"/>
    <s v="ASSISTENTE FINANCEIRO"/>
    <d v="2010-02-01T00:00:00"/>
    <x v="0"/>
    <s v="DESC.ADIANT.SALARIAL"/>
    <n v="836.88"/>
  </r>
  <r>
    <s v="731 - REIS DO NORDESTE CAMA MESA E BANHO LTDA"/>
    <s v="HEMILENE SOUZA RIBEIRO"/>
    <s v="ASSISTENTE FINANCEIRO"/>
    <d v="2010-02-01T00:00:00"/>
    <x v="0"/>
    <s v="Salário:"/>
    <n v="2092.21"/>
  </r>
  <r>
    <s v="731 - REIS DO NORDESTE CAMA MESA E BANHO LTDA"/>
    <s v="MARIA JOSE CONI FONSECA"/>
    <s v="COORDENADOR DE VENDAS"/>
    <d v="2010-02-01T00:00:00"/>
    <x v="0"/>
    <s v="HORAS NORMAIS"/>
    <n v="2321"/>
  </r>
  <r>
    <s v="731 - REIS DO NORDESTE CAMA MESA E BANHO LTDA"/>
    <s v="MARIA JOSE CONI FONSECA"/>
    <s v="COORDENADOR DE VENDAS"/>
    <d v="2010-02-01T00:00:00"/>
    <x v="0"/>
    <s v="TRIENIO SECOFS"/>
    <n v="348.15"/>
  </r>
  <r>
    <s v="731 - REIS DO NORDESTE CAMA MESA E BANHO LTDA"/>
    <s v="MARIA JOSE CONI FONSECA"/>
    <s v="COORDENADOR DE VENDAS"/>
    <d v="2010-02-01T00:00:00"/>
    <x v="0"/>
    <s v="DESC.ADIANT.SALARIAL"/>
    <n v="928.4"/>
  </r>
  <r>
    <s v="731 - REIS DO NORDESTE CAMA MESA E BANHO LTDA"/>
    <s v="MARIA JOSE CONI FONSECA"/>
    <s v="COORDENADOR DE VENDAS"/>
    <d v="2010-02-01T00:00:00"/>
    <x v="0"/>
    <s v="VALE TRANSPORTE 6%"/>
    <n v="139.26"/>
  </r>
  <r>
    <s v="731 - REIS DO NORDESTE CAMA MESA E BANHO LTDA"/>
    <s v="MARIA JOSE CONI FONSECA"/>
    <s v="COORDENADOR DE VENDAS"/>
    <d v="2010-02-01T00:00:00"/>
    <x v="0"/>
    <s v="Salário:"/>
    <n v="2321"/>
  </r>
  <r>
    <s v="731 - REIS DO NORDESTE CAMA MESA E BANHO LTDA"/>
    <s v="NATERCIO PEREIRA SANTANA"/>
    <s v="MOTORISTA "/>
    <d v="2022-07-20T00:00:00"/>
    <x v="0"/>
    <s v="HORAS NORMAIS"/>
    <n v="2596.36"/>
  </r>
  <r>
    <s v="731 - REIS DO NORDESTE CAMA MESA E BANHO LTDA"/>
    <s v="NATERCIO PEREIRA SANTANA"/>
    <s v="MOTORISTA "/>
    <d v="2022-07-20T00:00:00"/>
    <x v="0"/>
    <s v="DESC.ADIANT.SALARIAL"/>
    <n v="1038.54"/>
  </r>
  <r>
    <s v="731 - REIS DO NORDESTE CAMA MESA E BANHO LTDA"/>
    <s v="NATERCIO PEREIRA SANTANA"/>
    <s v="MOTORISTA "/>
    <d v="2022-07-20T00:00:00"/>
    <x v="0"/>
    <s v="Salário:"/>
    <n v="2596.36"/>
  </r>
  <r>
    <s v="731 - REIS DO NORDESTE CAMA MESA E BANHO LTDA"/>
    <s v="NATIELE DE ALMEIDA BASTOS"/>
    <s v="VENDEDOR (A)"/>
    <d v="2014-12-01T00:00:00"/>
    <x v="0"/>
    <s v="HORAS NORMAIS"/>
    <n v="885.33"/>
  </r>
  <r>
    <s v="731 - REIS DO NORDESTE CAMA MESA E BANHO LTDA"/>
    <s v="NATIELE DE ALMEIDA BASTOS"/>
    <s v="VENDEDOR (A)"/>
    <d v="2014-12-01T00:00:00"/>
    <x v="0"/>
    <s v="TRIENIO SECOFS"/>
    <n v="132.80000000000001"/>
  </r>
  <r>
    <s v="731 - REIS DO NORDESTE CAMA MESA E BANHO LTDA"/>
    <s v="NATIELE DE ALMEIDA BASTOS"/>
    <s v="VENDEDOR (A)"/>
    <d v="2014-12-01T00:00:00"/>
    <x v="0"/>
    <s v="DIFERENCA DE FERIAS"/>
    <n v="44.34"/>
  </r>
  <r>
    <s v="731 - REIS DO NORDESTE CAMA MESA E BANHO LTDA"/>
    <s v="NATIELE DE ALMEIDA BASTOS"/>
    <s v="VENDEDOR (A)"/>
    <d v="2014-12-01T00:00:00"/>
    <x v="0"/>
    <s v="DIFERENCA DE 1/3 DE FERIAS"/>
    <n v="16.989999999999998"/>
  </r>
  <r>
    <s v="731 - REIS DO NORDESTE CAMA MESA E BANHO LTDA"/>
    <s v="NATIELE DE ALMEIDA BASTOS"/>
    <s v="VENDEDOR (A)"/>
    <d v="2014-12-01T00:00:00"/>
    <x v="0"/>
    <s v="DIFERENCA ADICIONAL FERIAS"/>
    <n v="6.65"/>
  </r>
  <r>
    <s v="731 - REIS DO NORDESTE CAMA MESA E BANHO LTDA"/>
    <s v="NATIELE DE ALMEIDA BASTOS"/>
    <s v="VENDEDOR (A)"/>
    <d v="2014-12-01T00:00:00"/>
    <x v="0"/>
    <s v="HORAS FERIAS"/>
    <n v="730.33"/>
  </r>
  <r>
    <s v="731 - REIS DO NORDESTE CAMA MESA E BANHO LTDA"/>
    <s v="NATIELE DE ALMEIDA BASTOS"/>
    <s v="VENDEDOR (A)"/>
    <d v="2014-12-01T00:00:00"/>
    <x v="0"/>
    <s v="VANTAGENS FERIAS"/>
    <n v="109.55"/>
  </r>
  <r>
    <s v="731 - REIS DO NORDESTE CAMA MESA E BANHO LTDA"/>
    <s v="NATIELE DE ALMEIDA BASTOS"/>
    <s v="VENDEDOR (A)"/>
    <d v="2014-12-01T00:00:00"/>
    <x v="0"/>
    <s v="DESC.ADIANT.SALARIAL"/>
    <n v="354.13"/>
  </r>
  <r>
    <s v="731 - REIS DO NORDESTE CAMA MESA E BANHO LTDA"/>
    <s v="NATIELE DE ALMEIDA BASTOS"/>
    <s v="VENDEDOR (A)"/>
    <d v="2014-12-01T00:00:00"/>
    <x v="0"/>
    <s v="VALE TRANSPORTE 6%"/>
    <n v="53.12"/>
  </r>
  <r>
    <s v="731 - REIS DO NORDESTE CAMA MESA E BANHO LTDA"/>
    <s v="NATIELE DE ALMEIDA BASTOS"/>
    <s v="VENDEDOR (A)"/>
    <d v="2014-12-01T00:00:00"/>
    <x v="0"/>
    <s v="AUXILIO PLANO DE BENEFICIOS DEPENDENTES"/>
    <n v="16.899999999999999"/>
  </r>
  <r>
    <s v="731 - REIS DO NORDESTE CAMA MESA E BANHO LTDA"/>
    <s v="NATIELE DE ALMEIDA BASTOS"/>
    <s v="VENDEDOR (A)"/>
    <d v="2014-12-01T00:00:00"/>
    <x v="0"/>
    <s v="Salário:"/>
    <n v="1660"/>
  </r>
  <r>
    <s v="731 - REIS DO NORDESTE CAMA MESA E BANHO LTDA"/>
    <s v="RAQUEL BONFIM OLIVEIRA DA SILVA"/>
    <s v="CAIXA 01"/>
    <d v="2023-09-20T00:00:00"/>
    <x v="0"/>
    <s v="HORAS NORMAIS"/>
    <n v="1756.58"/>
  </r>
  <r>
    <s v="731 - REIS DO NORDESTE CAMA MESA E BANHO LTDA"/>
    <s v="RAQUEL BONFIM OLIVEIRA DA SILVA"/>
    <s v="CAIXA 01"/>
    <d v="2023-09-20T00:00:00"/>
    <x v="0"/>
    <s v="QUEBRA DE CAIXA 5%"/>
    <n v="87.83"/>
  </r>
  <r>
    <s v="731 - REIS DO NORDESTE CAMA MESA E BANHO LTDA"/>
    <s v="RAQUEL BONFIM OLIVEIRA DA SILVA"/>
    <s v="CAIXA 01"/>
    <d v="2023-09-20T00:00:00"/>
    <x v="0"/>
    <s v="DESC.ADIANT.SALARIAL"/>
    <n v="702.63"/>
  </r>
  <r>
    <s v="731 - REIS DO NORDESTE CAMA MESA E BANHO LTDA"/>
    <s v="RAQUEL BONFIM OLIVEIRA DA SILVA"/>
    <s v="CAIXA 01"/>
    <d v="2023-09-20T00:00:00"/>
    <x v="0"/>
    <s v="Salário:"/>
    <n v="1756.58"/>
  </r>
  <r>
    <s v="731 - REIS DO NORDESTE CAMA MESA E BANHO LTDA"/>
    <s v="SANDRA PEREIRA SALES"/>
    <s v="VENDEDOR (A)"/>
    <d v="2010-02-01T00:00:00"/>
    <x v="0"/>
    <s v="HORAS NORMAIS"/>
    <n v="1660"/>
  </r>
  <r>
    <s v="731 - REIS DO NORDESTE CAMA MESA E BANHO LTDA"/>
    <s v="SANDRA PEREIRA SALES"/>
    <s v="VENDEDOR (A)"/>
    <d v="2010-02-01T00:00:00"/>
    <x v="0"/>
    <s v="TRIENIO SECOFS"/>
    <n v="249"/>
  </r>
  <r>
    <s v="731 - REIS DO NORDESTE CAMA MESA E BANHO LTDA"/>
    <s v="SANDRA PEREIRA SALES"/>
    <s v="VENDEDOR (A)"/>
    <d v="2010-02-01T00:00:00"/>
    <x v="0"/>
    <s v="DESC.ADIANT.SALARIAL"/>
    <n v="664"/>
  </r>
  <r>
    <s v="731 - REIS DO NORDESTE CAMA MESA E BANHO LTDA"/>
    <s v="SANDRA PEREIRA SALES"/>
    <s v="VENDEDOR (A)"/>
    <d v="2010-02-01T00:00:00"/>
    <x v="0"/>
    <s v="VALE TRANSPORTE 6%"/>
    <n v="99.6"/>
  </r>
  <r>
    <s v="731 - REIS DO NORDESTE CAMA MESA E BANHO LTDA"/>
    <s v="SANDRA PEREIRA SALES"/>
    <s v="VENDEDOR (A)"/>
    <d v="2010-02-01T00:00:00"/>
    <x v="0"/>
    <s v="Salário:"/>
    <n v="1660"/>
  </r>
  <r>
    <s v="731 - REIS DO NORDESTE CAMA MESA E BANHO LTDA"/>
    <s v="UELITON DA SILVA DE JESUS"/>
    <s v="SERVICOS GERAIS "/>
    <d v="2018-12-03T00:00:00"/>
    <x v="0"/>
    <s v="HORAS NORMAIS"/>
    <n v="719.33"/>
  </r>
  <r>
    <s v="731 - REIS DO NORDESTE CAMA MESA E BANHO LTDA"/>
    <s v="UELITON DA SILVA DE JESUS"/>
    <s v="SERVICOS GERAIS "/>
    <d v="2018-12-03T00:00:00"/>
    <x v="0"/>
    <s v="TRIENIO SECOFS"/>
    <n v="71.930000000000007"/>
  </r>
  <r>
    <s v="731 - REIS DO NORDESTE CAMA MESA E BANHO LTDA"/>
    <s v="UELITON DA SILVA DE JESUS"/>
    <s v="SERVICOS GERAIS "/>
    <d v="2018-12-03T00:00:00"/>
    <x v="0"/>
    <s v="DIFERENCA DE FERIAS"/>
    <n v="53.84"/>
  </r>
  <r>
    <s v="731 - REIS DO NORDESTE CAMA MESA E BANHO LTDA"/>
    <s v="UELITON DA SILVA DE JESUS"/>
    <s v="SERVICOS GERAIS "/>
    <d v="2018-12-03T00:00:00"/>
    <x v="0"/>
    <s v="SALARIO FAMILIA"/>
    <n v="130"/>
  </r>
  <r>
    <s v="731 - REIS DO NORDESTE CAMA MESA E BANHO LTDA"/>
    <s v="UELITON DA SILVA DE JESUS"/>
    <s v="SERVICOS GERAIS "/>
    <d v="2018-12-03T00:00:00"/>
    <x v="0"/>
    <s v="DIFERENCA DE 1/3 DE FERIAS"/>
    <n v="19.739999999999998"/>
  </r>
  <r>
    <s v="731 - REIS DO NORDESTE CAMA MESA E BANHO LTDA"/>
    <s v="UELITON DA SILVA DE JESUS"/>
    <s v="SERVICOS GERAIS "/>
    <d v="2018-12-03T00:00:00"/>
    <x v="0"/>
    <s v="DIFERENCA ADICIONAL FERIAS"/>
    <n v="5.39"/>
  </r>
  <r>
    <s v="731 - REIS DO NORDESTE CAMA MESA E BANHO LTDA"/>
    <s v="UELITON DA SILVA DE JESUS"/>
    <s v="SERVICOS GERAIS "/>
    <d v="2018-12-03T00:00:00"/>
    <x v="0"/>
    <s v="HORAS FERIAS"/>
    <n v="886.83"/>
  </r>
  <r>
    <s v="731 - REIS DO NORDESTE CAMA MESA E BANHO LTDA"/>
    <s v="UELITON DA SILVA DE JESUS"/>
    <s v="SERVICOS GERAIS "/>
    <d v="2018-12-03T00:00:00"/>
    <x v="0"/>
    <s v="VANTAGENS FERIAS"/>
    <n v="88.68"/>
  </r>
  <r>
    <s v="731 - REIS DO NORDESTE CAMA MESA E BANHO LTDA"/>
    <s v="UELITON DA SILVA DE JESUS"/>
    <s v="SERVICOS GERAIS "/>
    <d v="2018-12-03T00:00:00"/>
    <x v="0"/>
    <s v="VALE TRANSPORTE 6%"/>
    <n v="43.16"/>
  </r>
  <r>
    <s v="731 - REIS DO NORDESTE CAMA MESA E BANHO LTDA"/>
    <s v="UELITON DA SILVA DE JESUS"/>
    <s v="SERVICOS GERAIS "/>
    <d v="2018-12-03T00:00:00"/>
    <x v="0"/>
    <s v="Salário:"/>
    <n v="1660"/>
  </r>
  <r>
    <s v="731 - REIS DO NORDESTE CAMA MESA E BANHO LTDA"/>
    <s v="VALDILENE DOS SANTOS BACELAR"/>
    <s v="VENDEDOR (A)"/>
    <d v="2014-05-16T00:00:00"/>
    <x v="0"/>
    <s v="HORAS NORMAIS"/>
    <n v="1660"/>
  </r>
  <r>
    <s v="731 - REIS DO NORDESTE CAMA MESA E BANHO LTDA"/>
    <s v="VALDILENE DOS SANTOS BACELAR"/>
    <s v="VENDEDOR (A)"/>
    <d v="2014-05-16T00:00:00"/>
    <x v="0"/>
    <s v="TRIENIO SECOFS"/>
    <n v="249"/>
  </r>
  <r>
    <s v="731 - REIS DO NORDESTE CAMA MESA E BANHO LTDA"/>
    <s v="VALDILENE DOS SANTOS BACELAR"/>
    <s v="VENDEDOR (A)"/>
    <d v="2014-05-16T00:00:00"/>
    <x v="0"/>
    <s v="DESC.ADIANT.SALARIAL"/>
    <n v="664"/>
  </r>
  <r>
    <s v="731 - REIS DO NORDESTE CAMA MESA E BANHO LTDA"/>
    <s v="VALDILENE DOS SANTOS BACELAR"/>
    <s v="VENDEDOR (A)"/>
    <d v="2014-05-16T00:00:00"/>
    <x v="0"/>
    <s v="VALE TRANSPORTE 6%"/>
    <n v="99.6"/>
  </r>
  <r>
    <s v="731 - REIS DO NORDESTE CAMA MESA E BANHO LTDA"/>
    <s v="VALDILENE DOS SANTOS BACELAR"/>
    <s v="VENDEDOR (A)"/>
    <d v="2014-05-16T00:00:00"/>
    <x v="0"/>
    <s v="Salário:"/>
    <n v="1660"/>
  </r>
  <r>
    <s v="731 - REIS DO NORDESTE CAMA MESA E BANHO LTDA"/>
    <s v="PAULO REIS LIMA"/>
    <s v="SOCIO-GERENTE "/>
    <d v="2003-06-09T00:00:00"/>
    <x v="0"/>
    <s v="PRO-LABORE"/>
    <n v="5559"/>
  </r>
  <r>
    <s v="731 - REIS DO NORDESTE CAMA MESA E BANHO LTDA"/>
    <s v="PAULO REIS LIMA"/>
    <s v="SOCIO-GERENTE "/>
    <d v="2003-06-09T00:00:00"/>
    <x v="0"/>
    <s v="Salário:"/>
    <n v="5559"/>
  </r>
  <r>
    <s v="934 - REIS DO NORDESTE CAMA MESA E BANHO LTDA"/>
    <s v="ALBERTO DO NASCIMENTO SANTOS"/>
    <s v="EMBALADOR ( A )"/>
    <d v="2018-05-02T00:00:00"/>
    <x v="0"/>
    <s v="HORAS NORMAIS"/>
    <n v="1518"/>
  </r>
  <r>
    <s v="934 - REIS DO NORDESTE CAMA MESA E BANHO LTDA"/>
    <s v="ALBERTO DO NASCIMENTO SANTOS"/>
    <s v="EMBALADOR ( A )"/>
    <d v="2018-05-02T00:00:00"/>
    <x v="0"/>
    <s v="HORAS FALTAS DSR"/>
    <n v="50.58"/>
  </r>
  <r>
    <s v="934 - REIS DO NORDESTE CAMA MESA E BANHO LTDA"/>
    <s v="ALBERTO DO NASCIMENTO SANTOS"/>
    <s v="EMBALADOR ( A )"/>
    <d v="2018-05-02T00:00:00"/>
    <x v="0"/>
    <s v="DESC.ADIANT.SALARIAL"/>
    <n v="607.20000000000005"/>
  </r>
  <r>
    <s v="934 - REIS DO NORDESTE CAMA MESA E BANHO LTDA"/>
    <s v="ALBERTO DO NASCIMENTO SANTOS"/>
    <s v="EMBALADOR ( A )"/>
    <d v="2018-05-02T00:00:00"/>
    <x v="0"/>
    <s v="HORAS FALTAS"/>
    <n v="50.58"/>
  </r>
  <r>
    <s v="934 - REIS DO NORDESTE CAMA MESA E BANHO LTDA"/>
    <s v="ALBERTO DO NASCIMENTO SANTOS"/>
    <s v="EMBALADOR ( A )"/>
    <d v="2018-05-02T00:00:00"/>
    <x v="0"/>
    <s v="Salário:"/>
    <n v="1518"/>
  </r>
  <r>
    <s v="934 - REIS DO NORDESTE CAMA MESA E BANHO LTDA"/>
    <s v="ALESSANDRO BATISTA DA ROCHA"/>
    <s v="EMBALADOR ( A )"/>
    <d v="2022-03-17T00:00:00"/>
    <x v="0"/>
    <s v="HORAS NORMAIS"/>
    <n v="1518"/>
  </r>
  <r>
    <s v="934 - REIS DO NORDESTE CAMA MESA E BANHO LTDA"/>
    <s v="ALESSANDRO BATISTA DA ROCHA"/>
    <s v="EMBALADOR ( A )"/>
    <d v="2022-03-17T00:00:00"/>
    <x v="0"/>
    <s v="SALARIO FAMILIA"/>
    <n v="65"/>
  </r>
  <r>
    <s v="934 - REIS DO NORDESTE CAMA MESA E BANHO LTDA"/>
    <s v="ALESSANDRO BATISTA DA ROCHA"/>
    <s v="EMBALADOR ( A )"/>
    <d v="2022-03-17T00:00:00"/>
    <x v="0"/>
    <s v="DESC.ADIANT.SALARIAL"/>
    <n v="607.20000000000005"/>
  </r>
  <r>
    <s v="934 - REIS DO NORDESTE CAMA MESA E BANHO LTDA"/>
    <s v="ALESSANDRO BATISTA DA ROCHA"/>
    <s v="EMBALADOR ( A )"/>
    <d v="2022-03-17T00:00:00"/>
    <x v="0"/>
    <s v="Salário:"/>
    <n v="1518"/>
  </r>
  <r>
    <s v="934 - REIS DO NORDESTE CAMA MESA E BANHO LTDA"/>
    <s v="CAMILA DOS SANTOS NASCIMENTO"/>
    <s v="COSTUREIRO ( A )"/>
    <d v="2024-04-08T00:00:00"/>
    <x v="0"/>
    <s v="HORAS NORMAIS"/>
    <n v="1518"/>
  </r>
  <r>
    <s v="934 - REIS DO NORDESTE CAMA MESA E BANHO LTDA"/>
    <s v="CAMILA DOS SANTOS NASCIMENTO"/>
    <s v="COSTUREIRO ( A )"/>
    <d v="2024-04-08T00:00:00"/>
    <x v="0"/>
    <s v="DESC.ADIANT.SALARIAL"/>
    <n v="607.20000000000005"/>
  </r>
  <r>
    <s v="934 - REIS DO NORDESTE CAMA MESA E BANHO LTDA"/>
    <s v="CAMILA DOS SANTOS NASCIMENTO"/>
    <s v="COSTUREIRO ( A )"/>
    <d v="2024-04-08T00:00:00"/>
    <x v="0"/>
    <s v="Salário:"/>
    <n v="1518"/>
  </r>
  <r>
    <s v="934 - REIS DO NORDESTE CAMA MESA E BANHO LTDA"/>
    <s v="CAMILLY BEATRIZ DE GOES SANTOS"/>
    <s v="COSTUREIRO ( A )"/>
    <d v="2025-01-17T00:00:00"/>
    <x v="0"/>
    <s v="HORAS NORMAIS"/>
    <n v="759"/>
  </r>
  <r>
    <s v="934 - REIS DO NORDESTE CAMA MESA E BANHO LTDA"/>
    <s v="CAMILLY BEATRIZ DE GOES SANTOS"/>
    <s v="COSTUREIRO ( A )"/>
    <d v="2025-01-17T00:00:00"/>
    <x v="0"/>
    <s v="Salário:"/>
    <n v="1518"/>
  </r>
  <r>
    <s v="934 - REIS DO NORDESTE CAMA MESA E BANHO LTDA"/>
    <s v="GEIZA VITORIA DE JESUS"/>
    <s v="EMBALADOR ( A )"/>
    <d v="2022-02-21T00:00:00"/>
    <x v="1"/>
    <s v="DIFERENCA DE FERIAS"/>
    <n v="106"/>
  </r>
  <r>
    <s v="934 - REIS DO NORDESTE CAMA MESA E BANHO LTDA"/>
    <s v="GEIZA VITORIA DE JESUS"/>
    <s v="EMBALADOR ( A )"/>
    <d v="2022-02-21T00:00:00"/>
    <x v="1"/>
    <s v="SALARIO FAMILIA"/>
    <n v="65"/>
  </r>
  <r>
    <s v="934 - REIS DO NORDESTE CAMA MESA E BANHO LTDA"/>
    <s v="GEIZA VITORIA DE JESUS"/>
    <s v="EMBALADOR ( A )"/>
    <d v="2022-02-21T00:00:00"/>
    <x v="1"/>
    <s v="DIFERENCA DE 1/3 DE FERIAS"/>
    <n v="35.33"/>
  </r>
  <r>
    <s v="934 - REIS DO NORDESTE CAMA MESA E BANHO LTDA"/>
    <s v="GEIZA VITORIA DE JESUS"/>
    <s v="EMBALADOR ( A )"/>
    <d v="2022-02-21T00:00:00"/>
    <x v="1"/>
    <s v="HORAS FERIAS"/>
    <n v="1412"/>
  </r>
  <r>
    <s v="934 - REIS DO NORDESTE CAMA MESA E BANHO LTDA"/>
    <s v="GEIZA VITORIA DE JESUS"/>
    <s v="EMBALADOR ( A )"/>
    <d v="2022-02-21T00:00:00"/>
    <x v="1"/>
    <s v="Salário:"/>
    <n v="1518"/>
  </r>
  <r>
    <s v="934 - REIS DO NORDESTE CAMA MESA E BANHO LTDA"/>
    <s v="GHEOMAR DOS SANTOS NASCIMENTO"/>
    <s v="COSTUREIRO ( A )"/>
    <d v="2018-06-01T00:00:00"/>
    <x v="0"/>
    <s v="HORAS NORMAIS"/>
    <n v="1518"/>
  </r>
  <r>
    <s v="934 - REIS DO NORDESTE CAMA MESA E BANHO LTDA"/>
    <s v="GHEOMAR DOS SANTOS NASCIMENTO"/>
    <s v="COSTUREIRO ( A )"/>
    <d v="2018-06-01T00:00:00"/>
    <x v="0"/>
    <s v="SALARIO FAMILIA"/>
    <n v="65"/>
  </r>
  <r>
    <s v="934 - REIS DO NORDESTE CAMA MESA E BANHO LTDA"/>
    <s v="GHEOMAR DOS SANTOS NASCIMENTO"/>
    <s v="COSTUREIRO ( A )"/>
    <d v="2018-06-01T00:00:00"/>
    <x v="0"/>
    <s v="DESC.ADIANT.SALARIAL"/>
    <n v="607.20000000000005"/>
  </r>
  <r>
    <s v="934 - REIS DO NORDESTE CAMA MESA E BANHO LTDA"/>
    <s v="GHEOMAR DOS SANTOS NASCIMENTO"/>
    <s v="COSTUREIRO ( A )"/>
    <d v="2018-06-01T00:00:00"/>
    <x v="0"/>
    <s v="Salário:"/>
    <n v="1518"/>
  </r>
  <r>
    <s v="934 - REIS DO NORDESTE CAMA MESA E BANHO LTDA"/>
    <s v="GILSOM DE JESUS MONTEIRO"/>
    <s v="EMBALADOR ( A )"/>
    <d v="2021-01-20T00:00:00"/>
    <x v="0"/>
    <s v="HORAS NORMAIS"/>
    <n v="1518"/>
  </r>
  <r>
    <s v="934 - REIS DO NORDESTE CAMA MESA E BANHO LTDA"/>
    <s v="GILSOM DE JESUS MONTEIRO"/>
    <s v="EMBALADOR ( A )"/>
    <d v="2021-01-20T00:00:00"/>
    <x v="0"/>
    <s v="SALARIO FAMILIA"/>
    <n v="130"/>
  </r>
  <r>
    <s v="934 - REIS DO NORDESTE CAMA MESA E BANHO LTDA"/>
    <s v="GILSOM DE JESUS MONTEIRO"/>
    <s v="EMBALADOR ( A )"/>
    <d v="2021-01-20T00:00:00"/>
    <x v="0"/>
    <s v="DESC.ADIANT.SALARIAL"/>
    <n v="607.20000000000005"/>
  </r>
  <r>
    <s v="934 - REIS DO NORDESTE CAMA MESA E BANHO LTDA"/>
    <s v="GILSOM DE JESUS MONTEIRO"/>
    <s v="EMBALADOR ( A )"/>
    <d v="2021-01-20T00:00:00"/>
    <x v="0"/>
    <s v="Salário:"/>
    <n v="1518"/>
  </r>
  <r>
    <s v="934 - REIS DO NORDESTE CAMA MESA E BANHO LTDA"/>
    <s v="GILVAN JOSE DOS SANTOS"/>
    <s v="EMBALADOR ( A )"/>
    <d v="2007-07-03T00:00:00"/>
    <x v="0"/>
    <s v="HORAS NORMAIS"/>
    <n v="1518"/>
  </r>
  <r>
    <s v="934 - REIS DO NORDESTE CAMA MESA E BANHO LTDA"/>
    <s v="GILVAN JOSE DOS SANTOS"/>
    <s v="EMBALADOR ( A )"/>
    <d v="2007-07-03T00:00:00"/>
    <x v="0"/>
    <s v="TRIENIO 3%"/>
    <n v="45.54"/>
  </r>
  <r>
    <s v="934 - REIS DO NORDESTE CAMA MESA E BANHO LTDA"/>
    <s v="GILVAN JOSE DOS SANTOS"/>
    <s v="EMBALADOR ( A )"/>
    <d v="2007-07-03T00:00:00"/>
    <x v="0"/>
    <s v="DESC.ADIANT.SALARIAL"/>
    <n v="607.20000000000005"/>
  </r>
  <r>
    <s v="934 - REIS DO NORDESTE CAMA MESA E BANHO LTDA"/>
    <s v="GILVAN JOSE DOS SANTOS"/>
    <s v="EMBALADOR ( A )"/>
    <d v="2007-07-03T00:00:00"/>
    <x v="0"/>
    <s v="Salário:"/>
    <n v="1518"/>
  </r>
  <r>
    <s v="934 - REIS DO NORDESTE CAMA MESA E BANHO LTDA"/>
    <s v="GRAZIELLY SOUZA SANTANA"/>
    <s v="COSTUREIRO ( A )"/>
    <d v="2024-06-01T00:00:00"/>
    <x v="0"/>
    <s v="HORAS NORMAIS"/>
    <n v="1518"/>
  </r>
  <r>
    <s v="934 - REIS DO NORDESTE CAMA MESA E BANHO LTDA"/>
    <s v="GRAZIELLY SOUZA SANTANA"/>
    <s v="COSTUREIRO ( A )"/>
    <d v="2024-06-01T00:00:00"/>
    <x v="0"/>
    <s v="DESC.ADIANT.SALARIAL"/>
    <n v="607.20000000000005"/>
  </r>
  <r>
    <s v="934 - REIS DO NORDESTE CAMA MESA E BANHO LTDA"/>
    <s v="GRAZIELLY SOUZA SANTANA"/>
    <s v="COSTUREIRO ( A )"/>
    <d v="2024-06-01T00:00:00"/>
    <x v="0"/>
    <s v="Salário:"/>
    <n v="1518"/>
  </r>
  <r>
    <s v="934 - REIS DO NORDESTE CAMA MESA E BANHO LTDA"/>
    <s v="HELIOMARQUES MOREIRA MARTINS"/>
    <s v="EMBALADOR ( A )"/>
    <d v="2025-01-17T00:00:00"/>
    <x v="0"/>
    <s v="HORAS NORMAIS"/>
    <n v="759"/>
  </r>
  <r>
    <s v="934 - REIS DO NORDESTE CAMA MESA E BANHO LTDA"/>
    <s v="HELIOMARQUES MOREIRA MARTINS"/>
    <s v="EMBALADOR ( A )"/>
    <d v="2025-01-17T00:00:00"/>
    <x v="0"/>
    <s v="HORAS FALTAS DSR"/>
    <n v="27.6"/>
  </r>
  <r>
    <s v="934 - REIS DO NORDESTE CAMA MESA E BANHO LTDA"/>
    <s v="HELIOMARQUES MOREIRA MARTINS"/>
    <s v="EMBALADOR ( A )"/>
    <d v="2025-01-17T00:00:00"/>
    <x v="0"/>
    <s v="HORAS FALTAS PARCIAL"/>
    <n v="27.6"/>
  </r>
  <r>
    <s v="934 - REIS DO NORDESTE CAMA MESA E BANHO LTDA"/>
    <s v="HELIOMARQUES MOREIRA MARTINS"/>
    <s v="EMBALADOR ( A )"/>
    <d v="2025-01-17T00:00:00"/>
    <x v="0"/>
    <s v="Salário:"/>
    <n v="1518"/>
  </r>
  <r>
    <s v="934 - REIS DO NORDESTE CAMA MESA E BANHO LTDA"/>
    <s v="IRANILDO SANTOS DO NASCIMENTO"/>
    <s v="EMBALADOR ( A )"/>
    <d v="2021-01-20T00:00:00"/>
    <x v="0"/>
    <s v="HORAS NORMAIS"/>
    <n v="1518"/>
  </r>
  <r>
    <s v="934 - REIS DO NORDESTE CAMA MESA E BANHO LTDA"/>
    <s v="IRANILDO SANTOS DO NASCIMENTO"/>
    <s v="EMBALADOR ( A )"/>
    <d v="2021-01-20T00:00:00"/>
    <x v="0"/>
    <s v="DESC.ADIANT.SALARIAL"/>
    <n v="607.20000000000005"/>
  </r>
  <r>
    <s v="934 - REIS DO NORDESTE CAMA MESA E BANHO LTDA"/>
    <s v="IRANILDO SANTOS DO NASCIMENTO"/>
    <s v="EMBALADOR ( A )"/>
    <d v="2021-01-20T00:00:00"/>
    <x v="0"/>
    <s v="Salário:"/>
    <n v="1518"/>
  </r>
  <r>
    <s v="934 - REIS DO NORDESTE CAMA MESA E BANHO LTDA"/>
    <s v="JEFERSON DOS SANTOS COSTA"/>
    <s v="CORTADOR ( A ) "/>
    <d v="2014-08-01T00:00:00"/>
    <x v="0"/>
    <s v="HORAS NORMAIS"/>
    <n v="1518"/>
  </r>
  <r>
    <s v="934 - REIS DO NORDESTE CAMA MESA E BANHO LTDA"/>
    <s v="JEFERSON DOS SANTOS COSTA"/>
    <s v="CORTADOR ( A ) "/>
    <d v="2014-08-01T00:00:00"/>
    <x v="0"/>
    <s v="DESC.ADIANT.SALARIAL"/>
    <n v="607.20000000000005"/>
  </r>
  <r>
    <s v="934 - REIS DO NORDESTE CAMA MESA E BANHO LTDA"/>
    <s v="JEFERSON DOS SANTOS COSTA"/>
    <s v="CORTADOR ( A ) "/>
    <d v="2014-08-01T00:00:00"/>
    <x v="0"/>
    <s v="Salário:"/>
    <n v="1518"/>
  </r>
  <r>
    <s v="934 - REIS DO NORDESTE CAMA MESA E BANHO LTDA"/>
    <s v="JEFFERSON NERY OLIVEIRA"/>
    <s v="EMBALADOR ( A )"/>
    <d v="2021-01-20T00:00:00"/>
    <x v="0"/>
    <s v="HORAS NORMAIS"/>
    <n v="1518"/>
  </r>
  <r>
    <s v="934 - REIS DO NORDESTE CAMA MESA E BANHO LTDA"/>
    <s v="JEFFERSON NERY OLIVEIRA"/>
    <s v="EMBALADOR ( A )"/>
    <d v="2021-01-20T00:00:00"/>
    <x v="0"/>
    <s v="DESC.ADIANT.SALARIAL"/>
    <n v="607.20000000000005"/>
  </r>
  <r>
    <s v="934 - REIS DO NORDESTE CAMA MESA E BANHO LTDA"/>
    <s v="JEFFERSON NERY OLIVEIRA"/>
    <s v="EMBALADOR ( A )"/>
    <d v="2021-01-20T00:00:00"/>
    <x v="0"/>
    <s v="Salário:"/>
    <n v="1518"/>
  </r>
  <r>
    <s v="934 - REIS DO NORDESTE CAMA MESA E BANHO LTDA"/>
    <s v="JESSICA DA CONCEICAO SANTANA"/>
    <s v="COSTUREIRO ( A )"/>
    <d v="2020-12-08T00:00:00"/>
    <x v="0"/>
    <s v="HORAS NORMAIS"/>
    <n v="1518"/>
  </r>
  <r>
    <s v="934 - REIS DO NORDESTE CAMA MESA E BANHO LTDA"/>
    <s v="JESSICA DA CONCEICAO SANTANA"/>
    <s v="COSTUREIRO ( A )"/>
    <d v="2020-12-08T00:00:00"/>
    <x v="0"/>
    <s v="DESC.ADIANT.SALARIAL"/>
    <n v="607.20000000000005"/>
  </r>
  <r>
    <s v="934 - REIS DO NORDESTE CAMA MESA E BANHO LTDA"/>
    <s v="JESSICA DA CONCEICAO SANTANA"/>
    <s v="COSTUREIRO ( A )"/>
    <d v="2020-12-08T00:00:00"/>
    <x v="0"/>
    <s v="Salário:"/>
    <n v="1518"/>
  </r>
  <r>
    <s v="934 - REIS DO NORDESTE CAMA MESA E BANHO LTDA"/>
    <s v="JILMAN DOS SANTOS"/>
    <s v="GERENTE"/>
    <d v="2010-08-02T00:00:00"/>
    <x v="0"/>
    <s v="HORAS NORMAIS"/>
    <n v="2300"/>
  </r>
  <r>
    <s v="934 - REIS DO NORDESTE CAMA MESA E BANHO LTDA"/>
    <s v="JILMAN DOS SANTOS"/>
    <s v="GERENTE"/>
    <d v="2010-08-02T00:00:00"/>
    <x v="0"/>
    <s v="TRIENIO 3%"/>
    <n v="69"/>
  </r>
  <r>
    <s v="934 - REIS DO NORDESTE CAMA MESA E BANHO LTDA"/>
    <s v="JILMAN DOS SANTOS"/>
    <s v="GERENTE"/>
    <d v="2010-08-02T00:00:00"/>
    <x v="0"/>
    <s v="DESC.ADIANT.SALARIAL"/>
    <n v="1000"/>
  </r>
  <r>
    <s v="934 - REIS DO NORDESTE CAMA MESA E BANHO LTDA"/>
    <s v="JILMAN DOS SANTOS"/>
    <s v="GERENTE"/>
    <d v="2010-08-02T00:00:00"/>
    <x v="0"/>
    <s v="Salário:"/>
    <n v="2300"/>
  </r>
  <r>
    <s v="934 - REIS DO NORDESTE CAMA MESA E BANHO LTDA"/>
    <s v="JORGE DE JESUS NASCIMENTO"/>
    <s v="EMBALADOR ( A )"/>
    <d v="2007-06-01T00:00:00"/>
    <x v="0"/>
    <s v="HORAS NORMAIS"/>
    <n v="1518"/>
  </r>
  <r>
    <s v="934 - REIS DO NORDESTE CAMA MESA E BANHO LTDA"/>
    <s v="JORGE DE JESUS NASCIMENTO"/>
    <s v="EMBALADOR ( A )"/>
    <d v="2007-06-01T00:00:00"/>
    <x v="0"/>
    <s v="TRIENIO 3%"/>
    <n v="43.47"/>
  </r>
  <r>
    <s v="934 - REIS DO NORDESTE CAMA MESA E BANHO LTDA"/>
    <s v="JORGE DE JESUS NASCIMENTO"/>
    <s v="EMBALADOR ( A )"/>
    <d v="2007-06-01T00:00:00"/>
    <x v="0"/>
    <s v="SALARIO FAMILIA"/>
    <n v="65"/>
  </r>
  <r>
    <s v="934 - REIS DO NORDESTE CAMA MESA E BANHO LTDA"/>
    <s v="JORGE DE JESUS NASCIMENTO"/>
    <s v="EMBALADOR ( A )"/>
    <d v="2007-06-01T00:00:00"/>
    <x v="0"/>
    <s v="HORAS FALTAS DSR"/>
    <n v="34.5"/>
  </r>
  <r>
    <s v="934 - REIS DO NORDESTE CAMA MESA E BANHO LTDA"/>
    <s v="JORGE DE JESUS NASCIMENTO"/>
    <s v="EMBALADOR ( A )"/>
    <d v="2007-06-01T00:00:00"/>
    <x v="0"/>
    <s v="DESC.ADIANT.SALARIAL"/>
    <n v="607.20000000000005"/>
  </r>
  <r>
    <s v="934 - REIS DO NORDESTE CAMA MESA E BANHO LTDA"/>
    <s v="JORGE DE JESUS NASCIMENTO"/>
    <s v="EMBALADOR ( A )"/>
    <d v="2007-06-01T00:00:00"/>
    <x v="0"/>
    <s v="HORAS FALTAS PARCIAL"/>
    <n v="34.5"/>
  </r>
  <r>
    <s v="934 - REIS DO NORDESTE CAMA MESA E BANHO LTDA"/>
    <s v="JORGE DE JESUS NASCIMENTO"/>
    <s v="EMBALADOR ( A )"/>
    <d v="2007-06-01T00:00:00"/>
    <x v="0"/>
    <s v="Salário:"/>
    <n v="1518"/>
  </r>
  <r>
    <s v="934 - REIS DO NORDESTE CAMA MESA E BANHO LTDA"/>
    <s v="JOSEFA TANAELLE DIAS DA SILVA"/>
    <s v="COSTUREIRO ( A )"/>
    <d v="2007-10-01T00:00:00"/>
    <x v="0"/>
    <s v="HORAS NORMAIS"/>
    <n v="1518"/>
  </r>
  <r>
    <s v="934 - REIS DO NORDESTE CAMA MESA E BANHO LTDA"/>
    <s v="JOSEFA TANAELLE DIAS DA SILVA"/>
    <s v="COSTUREIRO ( A )"/>
    <d v="2007-10-01T00:00:00"/>
    <x v="0"/>
    <s v="TRIENIO 3%"/>
    <n v="45.54"/>
  </r>
  <r>
    <s v="934 - REIS DO NORDESTE CAMA MESA E BANHO LTDA"/>
    <s v="JOSEFA TANAELLE DIAS DA SILVA"/>
    <s v="COSTUREIRO ( A )"/>
    <d v="2007-10-01T00:00:00"/>
    <x v="0"/>
    <s v="DESC.ADIANT.SALARIAL"/>
    <n v="607.20000000000005"/>
  </r>
  <r>
    <s v="934 - REIS DO NORDESTE CAMA MESA E BANHO LTDA"/>
    <s v="JOSEFA TANAELLE DIAS DA SILVA"/>
    <s v="COSTUREIRO ( A )"/>
    <d v="2007-10-01T00:00:00"/>
    <x v="0"/>
    <s v="Salário:"/>
    <n v="1518"/>
  </r>
  <r>
    <s v="934 - REIS DO NORDESTE CAMA MESA E BANHO LTDA"/>
    <s v="JOSIMA BATISTA DE ALMEIDA"/>
    <s v="EMBALADOR ( A )"/>
    <d v="2014-01-11T00:00:00"/>
    <x v="0"/>
    <s v="HORAS NORMAIS"/>
    <n v="1518"/>
  </r>
  <r>
    <s v="934 - REIS DO NORDESTE CAMA MESA E BANHO LTDA"/>
    <s v="JOSIMA BATISTA DE ALMEIDA"/>
    <s v="EMBALADOR ( A )"/>
    <d v="2014-01-11T00:00:00"/>
    <x v="0"/>
    <s v="DESC.ADIANT.SALARIAL"/>
    <n v="607.20000000000005"/>
  </r>
  <r>
    <s v="934 - REIS DO NORDESTE CAMA MESA E BANHO LTDA"/>
    <s v="JOSIMA BATISTA DE ALMEIDA"/>
    <s v="EMBALADOR ( A )"/>
    <d v="2014-01-11T00:00:00"/>
    <x v="0"/>
    <s v="Salário:"/>
    <n v="1518"/>
  </r>
  <r>
    <s v="934 - REIS DO NORDESTE CAMA MESA E BANHO LTDA"/>
    <s v="MARIA RAQUEL DOS SANTOS"/>
    <s v="COSTUREIRO ( A )"/>
    <d v="2024-06-01T00:00:00"/>
    <x v="0"/>
    <s v="HORAS NORMAIS"/>
    <n v="1518"/>
  </r>
  <r>
    <s v="934 - REIS DO NORDESTE CAMA MESA E BANHO LTDA"/>
    <s v="MARIA RAQUEL DOS SANTOS"/>
    <s v="COSTUREIRO ( A )"/>
    <d v="2024-06-01T00:00:00"/>
    <x v="0"/>
    <s v="HORAS FALTAS DSR"/>
    <n v="55.2"/>
  </r>
  <r>
    <s v="934 - REIS DO NORDESTE CAMA MESA E BANHO LTDA"/>
    <s v="MARIA RAQUEL DOS SANTOS"/>
    <s v="COSTUREIRO ( A )"/>
    <d v="2024-06-01T00:00:00"/>
    <x v="0"/>
    <s v="DESC.ADIANT.SALARIAL"/>
    <n v="607.20000000000005"/>
  </r>
  <r>
    <s v="934 - REIS DO NORDESTE CAMA MESA E BANHO LTDA"/>
    <s v="MARIA RAQUEL DOS SANTOS"/>
    <s v="COSTUREIRO ( A )"/>
    <d v="2024-06-01T00:00:00"/>
    <x v="0"/>
    <s v="HORAS FALTAS PARCIAL"/>
    <n v="55.2"/>
  </r>
  <r>
    <s v="934 - REIS DO NORDESTE CAMA MESA E BANHO LTDA"/>
    <s v="MARIA RAQUEL DOS SANTOS"/>
    <s v="COSTUREIRO ( A )"/>
    <d v="2024-06-01T00:00:00"/>
    <x v="0"/>
    <s v="Salário:"/>
    <n v="1518"/>
  </r>
  <r>
    <s v="934 - REIS DO NORDESTE CAMA MESA E BANHO LTDA"/>
    <s v="MARIA VALERIA NASCIMENTO DE JESUS"/>
    <s v="COSTUREIRO ( A )"/>
    <d v="2024-04-08T00:00:00"/>
    <x v="0"/>
    <s v="HORAS NORMAIS"/>
    <n v="1518"/>
  </r>
  <r>
    <s v="934 - REIS DO NORDESTE CAMA MESA E BANHO LTDA"/>
    <s v="MARIA VALERIA NASCIMENTO DE JESUS"/>
    <s v="COSTUREIRO ( A )"/>
    <d v="2024-04-08T00:00:00"/>
    <x v="0"/>
    <s v="SALARIO FAMILIA"/>
    <n v="65"/>
  </r>
  <r>
    <s v="934 - REIS DO NORDESTE CAMA MESA E BANHO LTDA"/>
    <s v="MARIA VALERIA NASCIMENTO DE JESUS"/>
    <s v="COSTUREIRO ( A )"/>
    <d v="2024-04-08T00:00:00"/>
    <x v="0"/>
    <s v="DESC.ADIANT.SALARIAL"/>
    <n v="607.20000000000005"/>
  </r>
  <r>
    <s v="934 - REIS DO NORDESTE CAMA MESA E BANHO LTDA"/>
    <s v="MARIA VALERIA NASCIMENTO DE JESUS"/>
    <s v="COSTUREIRO ( A )"/>
    <d v="2024-04-08T00:00:00"/>
    <x v="0"/>
    <s v="Salário:"/>
    <n v="1518"/>
  </r>
  <r>
    <s v="934 - REIS DO NORDESTE CAMA MESA E BANHO LTDA"/>
    <s v="MARINALVA ALVES DE JESUS"/>
    <s v="COSTUREIRO ( A )"/>
    <d v="2024-04-08T00:00:00"/>
    <x v="0"/>
    <s v="HORAS NORMAIS"/>
    <n v="1518"/>
  </r>
  <r>
    <s v="934 - REIS DO NORDESTE CAMA MESA E BANHO LTDA"/>
    <s v="MARINALVA ALVES DE JESUS"/>
    <s v="COSTUREIRO ( A )"/>
    <d v="2024-04-08T00:00:00"/>
    <x v="0"/>
    <s v="DESC.ADIANT.SALARIAL"/>
    <n v="607.20000000000005"/>
  </r>
  <r>
    <s v="934 - REIS DO NORDESTE CAMA MESA E BANHO LTDA"/>
    <s v="MARINALVA ALVES DE JESUS"/>
    <s v="COSTUREIRO ( A )"/>
    <d v="2024-04-08T00:00:00"/>
    <x v="0"/>
    <s v="Salário:"/>
    <n v="1518"/>
  </r>
  <r>
    <s v="934 - REIS DO NORDESTE CAMA MESA E BANHO LTDA"/>
    <s v="MARTA DE SOUZA AMADO"/>
    <s v="AUXILIAR DE ESCRITORIO "/>
    <d v="2024-11-01T00:00:00"/>
    <x v="0"/>
    <s v="HORAS NORMAIS"/>
    <n v="1518"/>
  </r>
  <r>
    <s v="934 - REIS DO NORDESTE CAMA MESA E BANHO LTDA"/>
    <s v="MARTA DE SOUZA AMADO"/>
    <s v="AUXILIAR DE ESCRITORIO "/>
    <d v="2024-11-01T00:00:00"/>
    <x v="0"/>
    <s v="DESC.ADIANT.SALARIAL"/>
    <n v="607.20000000000005"/>
  </r>
  <r>
    <s v="934 - REIS DO NORDESTE CAMA MESA E BANHO LTDA"/>
    <s v="MARTA DE SOUZA AMADO"/>
    <s v="AUXILIAR DE ESCRITORIO "/>
    <d v="2024-11-01T00:00:00"/>
    <x v="0"/>
    <s v="Salário:"/>
    <n v="1518"/>
  </r>
  <r>
    <s v="934 - REIS DO NORDESTE CAMA MESA E BANHO LTDA"/>
    <s v="MARTA ORTENCIA OLIVEIRA DA SILVA"/>
    <s v="COSTUREIRO ( A )"/>
    <d v="2025-01-17T00:00:00"/>
    <x v="0"/>
    <s v="HORAS NORMAIS"/>
    <n v="759"/>
  </r>
  <r>
    <s v="934 - REIS DO NORDESTE CAMA MESA E BANHO LTDA"/>
    <s v="MARTA ORTENCIA OLIVEIRA DA SILVA"/>
    <s v="COSTUREIRO ( A )"/>
    <d v="2025-01-17T00:00:00"/>
    <x v="0"/>
    <s v="Salário:"/>
    <n v="1518"/>
  </r>
  <r>
    <s v="934 - REIS DO NORDESTE CAMA MESA E BANHO LTDA"/>
    <s v="MAURI SANTOS SANTANA"/>
    <s v="EMBALADOR ( A )"/>
    <d v="2021-01-20T00:00:00"/>
    <x v="0"/>
    <s v="HORAS NORMAIS"/>
    <n v="1518"/>
  </r>
  <r>
    <s v="934 - REIS DO NORDESTE CAMA MESA E BANHO LTDA"/>
    <s v="MAURI SANTOS SANTANA"/>
    <s v="EMBALADOR ( A )"/>
    <d v="2021-01-20T00:00:00"/>
    <x v="0"/>
    <s v="DESC.ADIANT.SALARIAL"/>
    <n v="607.20000000000005"/>
  </r>
  <r>
    <s v="934 - REIS DO NORDESTE CAMA MESA E BANHO LTDA"/>
    <s v="MAURI SANTOS SANTANA"/>
    <s v="EMBALADOR ( A )"/>
    <d v="2021-01-20T00:00:00"/>
    <x v="0"/>
    <s v="Salário:"/>
    <n v="1518"/>
  </r>
  <r>
    <s v="934 - REIS DO NORDESTE CAMA MESA E BANHO LTDA"/>
    <s v="MILLENE NASCIMENTO PEREIRA SANTOS"/>
    <s v="COSTUREIRO ( A )"/>
    <d v="2021-04-01T00:00:00"/>
    <x v="0"/>
    <s v="HORAS NORMAIS"/>
    <n v="1518"/>
  </r>
  <r>
    <s v="934 - REIS DO NORDESTE CAMA MESA E BANHO LTDA"/>
    <s v="MILLENE NASCIMENTO PEREIRA SANTOS"/>
    <s v="COSTUREIRO ( A )"/>
    <d v="2021-04-01T00:00:00"/>
    <x v="0"/>
    <s v="SALARIO FAMILIA"/>
    <n v="65"/>
  </r>
  <r>
    <s v="934 - REIS DO NORDESTE CAMA MESA E BANHO LTDA"/>
    <s v="MILLENE NASCIMENTO PEREIRA SANTOS"/>
    <s v="COSTUREIRO ( A )"/>
    <d v="2021-04-01T00:00:00"/>
    <x v="0"/>
    <s v="HORAS FALTAS DSR"/>
    <n v="27.6"/>
  </r>
  <r>
    <s v="934 - REIS DO NORDESTE CAMA MESA E BANHO LTDA"/>
    <s v="MILLENE NASCIMENTO PEREIRA SANTOS"/>
    <s v="COSTUREIRO ( A )"/>
    <d v="2021-04-01T00:00:00"/>
    <x v="0"/>
    <s v="DESC.ADIANT.SALARIAL"/>
    <n v="607.20000000000005"/>
  </r>
  <r>
    <s v="934 - REIS DO NORDESTE CAMA MESA E BANHO LTDA"/>
    <s v="MILLENE NASCIMENTO PEREIRA SANTOS"/>
    <s v="COSTUREIRO ( A )"/>
    <d v="2021-04-01T00:00:00"/>
    <x v="0"/>
    <s v="HORAS FALTAS PARCIAL"/>
    <n v="27.6"/>
  </r>
  <r>
    <s v="934 - REIS DO NORDESTE CAMA MESA E BANHO LTDA"/>
    <s v="MILLENE NASCIMENTO PEREIRA SANTOS"/>
    <s v="COSTUREIRO ( A )"/>
    <d v="2021-04-01T00:00:00"/>
    <x v="0"/>
    <s v="Salário:"/>
    <n v="1518"/>
  </r>
  <r>
    <s v="934 - REIS DO NORDESTE CAMA MESA E BANHO LTDA"/>
    <s v="PATRICIA DOS SANTOS"/>
    <s v="COSTUREIRO ( A )"/>
    <d v="2021-10-13T00:00:00"/>
    <x v="0"/>
    <s v="HORAS NORMAIS"/>
    <n v="1518"/>
  </r>
  <r>
    <s v="934 - REIS DO NORDESTE CAMA MESA E BANHO LTDA"/>
    <s v="PATRICIA DOS SANTOS"/>
    <s v="COSTUREIRO ( A )"/>
    <d v="2021-10-13T00:00:00"/>
    <x v="0"/>
    <s v="DESC.ADIANT.SALARIAL"/>
    <n v="607.20000000000005"/>
  </r>
  <r>
    <s v="934 - REIS DO NORDESTE CAMA MESA E BANHO LTDA"/>
    <s v="PATRICIA DOS SANTOS"/>
    <s v="COSTUREIRO ( A )"/>
    <d v="2021-10-13T00:00:00"/>
    <x v="0"/>
    <s v="Salário:"/>
    <n v="1518"/>
  </r>
  <r>
    <s v="934 - REIS DO NORDESTE CAMA MESA E BANHO LTDA"/>
    <s v="RAYANE MONTEIRO REIS"/>
    <s v="COSTUREIRO ( A )"/>
    <d v="2025-01-24T00:00:00"/>
    <x v="0"/>
    <s v="HORAS NORMAIS"/>
    <n v="404.8"/>
  </r>
  <r>
    <s v="934 - REIS DO NORDESTE CAMA MESA E BANHO LTDA"/>
    <s v="RAYANE MONTEIRO REIS"/>
    <s v="COSTUREIRO ( A )"/>
    <d v="2025-01-24T00:00:00"/>
    <x v="0"/>
    <s v="HORAS FALTAS DSR"/>
    <n v="50.58"/>
  </r>
  <r>
    <s v="934 - REIS DO NORDESTE CAMA MESA E BANHO LTDA"/>
    <s v="RAYANE MONTEIRO REIS"/>
    <s v="COSTUREIRO ( A )"/>
    <d v="2025-01-24T00:00:00"/>
    <x v="0"/>
    <s v="HORAS FALTAS"/>
    <n v="50.58"/>
  </r>
  <r>
    <s v="934 - REIS DO NORDESTE CAMA MESA E BANHO LTDA"/>
    <s v="RAYANE MONTEIRO REIS"/>
    <s v="COSTUREIRO ( A )"/>
    <d v="2025-01-24T00:00:00"/>
    <x v="0"/>
    <s v="Salário:"/>
    <n v="1518"/>
  </r>
  <r>
    <s v="934 - REIS DO NORDESTE CAMA MESA E BANHO LTDA"/>
    <s v="RODRIGO MACEDO DE SANTANA"/>
    <s v="EMBALADOR ( A )"/>
    <d v="2018-05-02T00:00:00"/>
    <x v="0"/>
    <s v="HORAS NORMAIS"/>
    <n v="1518"/>
  </r>
  <r>
    <s v="934 - REIS DO NORDESTE CAMA MESA E BANHO LTDA"/>
    <s v="RODRIGO MACEDO DE SANTANA"/>
    <s v="EMBALADOR ( A )"/>
    <d v="2018-05-02T00:00:00"/>
    <x v="0"/>
    <s v="SALARIO FAMILIA"/>
    <n v="130"/>
  </r>
  <r>
    <s v="934 - REIS DO NORDESTE CAMA MESA E BANHO LTDA"/>
    <s v="RODRIGO MACEDO DE SANTANA"/>
    <s v="EMBALADOR ( A )"/>
    <d v="2018-05-02T00:00:00"/>
    <x v="0"/>
    <s v="HORAS FALTAS DSR"/>
    <n v="34.5"/>
  </r>
  <r>
    <s v="934 - REIS DO NORDESTE CAMA MESA E BANHO LTDA"/>
    <s v="RODRIGO MACEDO DE SANTANA"/>
    <s v="EMBALADOR ( A )"/>
    <d v="2018-05-02T00:00:00"/>
    <x v="0"/>
    <s v="DESC.ADIANT.SALARIAL"/>
    <n v="607.20000000000005"/>
  </r>
  <r>
    <s v="934 - REIS DO NORDESTE CAMA MESA E BANHO LTDA"/>
    <s v="RODRIGO MACEDO DE SANTANA"/>
    <s v="EMBALADOR ( A )"/>
    <d v="2018-05-02T00:00:00"/>
    <x v="0"/>
    <s v="HORAS FALTAS PARCIAL"/>
    <n v="34.5"/>
  </r>
  <r>
    <s v="934 - REIS DO NORDESTE CAMA MESA E BANHO LTDA"/>
    <s v="RODRIGO MACEDO DE SANTANA"/>
    <s v="EMBALADOR ( A )"/>
    <d v="2018-05-02T00:00:00"/>
    <x v="0"/>
    <s v="Salário:"/>
    <n v="1518"/>
  </r>
  <r>
    <s v="934 - REIS DO NORDESTE CAMA MESA E BANHO LTDA"/>
    <s v="VERONICA JESUS DOS SANTOS"/>
    <s v="COSTUREIRO ( A )"/>
    <d v="2025-01-16T00:00:00"/>
    <x v="0"/>
    <s v="HORAS NORMAIS"/>
    <n v="809.6"/>
  </r>
  <r>
    <s v="934 - REIS DO NORDESTE CAMA MESA E BANHO LTDA"/>
    <s v="VERONICA JESUS DOS SANTOS"/>
    <s v="COSTUREIRO ( A )"/>
    <d v="2025-01-16T00:00:00"/>
    <x v="0"/>
    <s v="Salário:"/>
    <n v="1518"/>
  </r>
  <r>
    <s v="934 - REIS DO NORDESTE CAMA MESA E BANHO LTDA"/>
    <s v="WELLIGTON RIBEIRO SANTOS"/>
    <s v="COSTUREIRO ( A )"/>
    <d v="2014-03-01T00:00:00"/>
    <x v="0"/>
    <s v="HORAS NORMAIS"/>
    <n v="1518"/>
  </r>
  <r>
    <s v="934 - REIS DO NORDESTE CAMA MESA E BANHO LTDA"/>
    <s v="WELLIGTON RIBEIRO SANTOS"/>
    <s v="COSTUREIRO ( A )"/>
    <d v="2014-03-01T00:00:00"/>
    <x v="0"/>
    <s v="HORAS FALTAS DSR"/>
    <n v="50.58"/>
  </r>
  <r>
    <s v="934 - REIS DO NORDESTE CAMA MESA E BANHO LTDA"/>
    <s v="WELLIGTON RIBEIRO SANTOS"/>
    <s v="COSTUREIRO ( A )"/>
    <d v="2014-03-01T00:00:00"/>
    <x v="0"/>
    <s v="DESC.ADIANT.SALARIAL"/>
    <n v="607.20000000000005"/>
  </r>
  <r>
    <s v="934 - REIS DO NORDESTE CAMA MESA E BANHO LTDA"/>
    <s v="WELLIGTON RIBEIRO SANTOS"/>
    <s v="COSTUREIRO ( A )"/>
    <d v="2014-03-01T00:00:00"/>
    <x v="0"/>
    <s v="HORAS FALTAS"/>
    <n v="50.58"/>
  </r>
  <r>
    <s v="934 - REIS DO NORDESTE CAMA MESA E BANHO LTDA"/>
    <s v="WELLIGTON RIBEIRO SANTOS"/>
    <s v="COSTUREIRO ( A )"/>
    <d v="2014-03-01T00:00:00"/>
    <x v="0"/>
    <s v="Salário:"/>
    <n v="1518"/>
  </r>
  <r>
    <s v="934 - REIS DO NORDESTE CAMA MESA E BANHO LTDA"/>
    <s v="WESLEY SOUZA GAMA"/>
    <s v="EMBALADOR ( A )"/>
    <d v="2014-08-01T00:00:00"/>
    <x v="0"/>
    <s v="HORAS NORMAIS"/>
    <n v="1518"/>
  </r>
  <r>
    <s v="934 - REIS DO NORDESTE CAMA MESA E BANHO LTDA"/>
    <s v="WESLEY SOUZA GAMA"/>
    <s v="EMBALADOR ( A )"/>
    <d v="2014-08-01T00:00:00"/>
    <x v="0"/>
    <s v="DESC.ADIANT.SALARIAL"/>
    <n v="607.20000000000005"/>
  </r>
  <r>
    <s v="934 - REIS DO NORDESTE CAMA MESA E BANHO LTDA"/>
    <s v="WESLEY SOUZA GAMA"/>
    <s v="EMBALADOR ( A )"/>
    <d v="2014-08-01T00:00:00"/>
    <x v="0"/>
    <s v="Salário:"/>
    <n v="1518"/>
  </r>
  <r>
    <s v="934 - REIS DO NORDESTE CAMA MESA E BANHO LTDA"/>
    <s v="WILLAS MATOS DOS SANTOS"/>
    <s v="AUXILIAR DE CORTE"/>
    <d v="2014-11-03T00:00:00"/>
    <x v="0"/>
    <s v="HORAS NORMAIS"/>
    <n v="1518"/>
  </r>
  <r>
    <s v="934 - REIS DO NORDESTE CAMA MESA E BANHO LTDA"/>
    <s v="WILLAS MATOS DOS SANTOS"/>
    <s v="AUXILIAR DE CORTE"/>
    <d v="2014-11-03T00:00:00"/>
    <x v="0"/>
    <s v="SALARIO FAMILIA"/>
    <n v="65"/>
  </r>
  <r>
    <s v="934 - REIS DO NORDESTE CAMA MESA E BANHO LTDA"/>
    <s v="WILLAS MATOS DOS SANTOS"/>
    <s v="AUXILIAR DE CORTE"/>
    <d v="2014-11-03T00:00:00"/>
    <x v="0"/>
    <s v="VALES"/>
    <n v="50"/>
  </r>
  <r>
    <s v="934 - REIS DO NORDESTE CAMA MESA E BANHO LTDA"/>
    <s v="WILLAS MATOS DOS SANTOS"/>
    <s v="AUXILIAR DE CORTE"/>
    <d v="2014-11-03T00:00:00"/>
    <x v="0"/>
    <s v="DESC.ADIANT.SALARIAL"/>
    <n v="607.20000000000005"/>
  </r>
  <r>
    <s v="934 - REIS DO NORDESTE CAMA MESA E BANHO LTDA"/>
    <s v="WILLAS MATOS DOS SANTOS"/>
    <s v="AUXILIAR DE CORTE"/>
    <d v="2014-11-03T00:00:00"/>
    <x v="0"/>
    <s v="Salário:"/>
    <n v="1518"/>
  </r>
  <r>
    <s v="934 - REIS DO NORDESTE CAMA MESA E BANHO LTDA"/>
    <s v="WILLIAM NASCIMENTO DOS SANTOS"/>
    <s v="COSTUREIRO ( A )"/>
    <d v="2024-07-01T00:00:00"/>
    <x v="0"/>
    <s v="HORAS NORMAIS"/>
    <n v="1518"/>
  </r>
  <r>
    <s v="934 - REIS DO NORDESTE CAMA MESA E BANHO LTDA"/>
    <s v="WILLIAM NASCIMENTO DOS SANTOS"/>
    <s v="COSTUREIRO ( A )"/>
    <d v="2024-07-01T00:00:00"/>
    <x v="0"/>
    <s v="DESC.ADIANT.SALARIAL"/>
    <n v="607.20000000000005"/>
  </r>
  <r>
    <s v="934 - REIS DO NORDESTE CAMA MESA E BANHO LTDA"/>
    <s v="WILLIAM NASCIMENTO DOS SANTOS"/>
    <s v="COSTUREIRO ( A )"/>
    <d v="2024-07-01T00:00:00"/>
    <x v="0"/>
    <s v="Salário:"/>
    <n v="1518"/>
  </r>
  <r>
    <s v="934 - REIS DO NORDESTE CAMA MESA E BANHO LTDA"/>
    <s v="WILTON RIBEIRO DOS SANTOS"/>
    <s v="EMBALADOR ( A )"/>
    <d v="2014-01-16T00:00:00"/>
    <x v="0"/>
    <s v="HORAS NORMAIS"/>
    <n v="1518"/>
  </r>
  <r>
    <s v="934 - REIS DO NORDESTE CAMA MESA E BANHO LTDA"/>
    <s v="WILTON RIBEIRO DOS SANTOS"/>
    <s v="EMBALADOR ( A )"/>
    <d v="2014-01-16T00:00:00"/>
    <x v="0"/>
    <s v="SALARIO FAMILIA"/>
    <n v="65"/>
  </r>
  <r>
    <s v="934 - REIS DO NORDESTE CAMA MESA E BANHO LTDA"/>
    <s v="WILTON RIBEIRO DOS SANTOS"/>
    <s v="EMBALADOR ( A )"/>
    <d v="2014-01-16T00:00:00"/>
    <x v="0"/>
    <s v="DESC.ADIANT.SALARIAL"/>
    <n v="607.20000000000005"/>
  </r>
  <r>
    <s v="934 - REIS DO NORDESTE CAMA MESA E BANHO LTDA"/>
    <s v="WILTON RIBEIRO DOS SANTOS"/>
    <s v="EMBALADOR ( A )"/>
    <d v="2014-01-16T00:00:00"/>
    <x v="0"/>
    <s v="Salário:"/>
    <n v="1518"/>
  </r>
  <r>
    <s v="1155 - RAINHA HOME CENTER LTDA"/>
    <s v="DORIVALDO SANTOS ARAUJO"/>
    <s v="CONFERENTE "/>
    <d v="2022-08-01T00:00:00"/>
    <x v="0"/>
    <s v="HORAS NORMAIS"/>
    <n v="1819.55"/>
  </r>
  <r>
    <s v="1155 - RAINHA HOME CENTER LTDA"/>
    <s v="DORIVALDO SANTOS ARAUJO"/>
    <s v="CONFERENTE "/>
    <d v="2022-08-01T00:00:00"/>
    <x v="0"/>
    <s v="VALES"/>
    <n v="300"/>
  </r>
  <r>
    <s v="1155 - RAINHA HOME CENTER LTDA"/>
    <s v="DORIVALDO SANTOS ARAUJO"/>
    <s v="CONFERENTE "/>
    <d v="2022-08-01T00:00:00"/>
    <x v="0"/>
    <s v="Salário:"/>
    <n v="1819.55"/>
  </r>
  <r>
    <s v="1155 - RAINHA HOME CENTER LTDA"/>
    <s v="ERICA DA SILVA LIMA"/>
    <s v="VENDEDOR (A)"/>
    <d v="2023-02-01T00:00:00"/>
    <x v="1"/>
    <s v="DIFERENCA DE FERIAS"/>
    <n v="95"/>
  </r>
  <r>
    <s v="1155 - RAINHA HOME CENTER LTDA"/>
    <s v="ERICA DA SILVA LIMA"/>
    <s v="VENDEDOR (A)"/>
    <d v="2023-02-01T00:00:00"/>
    <x v="1"/>
    <s v="SALARIO FAMILIA"/>
    <n v="65"/>
  </r>
  <r>
    <s v="1155 - RAINHA HOME CENTER LTDA"/>
    <s v="ERICA DA SILVA LIMA"/>
    <s v="VENDEDOR (A)"/>
    <d v="2023-02-01T00:00:00"/>
    <x v="1"/>
    <s v="DIFERENCA DE 1/3 DE FERIAS"/>
    <n v="31.66"/>
  </r>
  <r>
    <s v="1155 - RAINHA HOME CENTER LTDA"/>
    <s v="ERICA DA SILVA LIMA"/>
    <s v="VENDEDOR (A)"/>
    <d v="2023-02-01T00:00:00"/>
    <x v="1"/>
    <s v="HORAS FERIAS"/>
    <n v="1565"/>
  </r>
  <r>
    <s v="1155 - RAINHA HOME CENTER LTDA"/>
    <s v="ERICA DA SILVA LIMA"/>
    <s v="VENDEDOR (A)"/>
    <d v="2023-02-01T00:00:00"/>
    <x v="1"/>
    <s v="Salário:"/>
    <n v="1660"/>
  </r>
  <r>
    <s v="1155 - RAINHA HOME CENTER LTDA"/>
    <s v="FERNANDA DA SILVA MASCENA"/>
    <s v="VENDEDOR (A)"/>
    <d v="2025-01-07T00:00:00"/>
    <x v="0"/>
    <s v="HORAS NORMAIS"/>
    <n v="1383.33"/>
  </r>
  <r>
    <s v="1155 - RAINHA HOME CENTER LTDA"/>
    <s v="FERNANDA DA SILVA MASCENA"/>
    <s v="VENDEDOR (A)"/>
    <d v="2025-01-07T00:00:00"/>
    <x v="0"/>
    <s v="SALARIO FAMILIA"/>
    <n v="54.17"/>
  </r>
  <r>
    <s v="1155 - RAINHA HOME CENTER LTDA"/>
    <s v="FERNANDA DA SILVA MASCENA"/>
    <s v="VENDEDOR (A)"/>
    <d v="2025-01-07T00:00:00"/>
    <x v="0"/>
    <s v="DESC.ADIANT.SALARIAL"/>
    <n v="553.33000000000004"/>
  </r>
  <r>
    <s v="1155 - RAINHA HOME CENTER LTDA"/>
    <s v="FERNANDA DA SILVA MASCENA"/>
    <s v="VENDEDOR (A)"/>
    <d v="2025-01-07T00:00:00"/>
    <x v="0"/>
    <s v="VALE TRANSPORTE"/>
    <n v="99.6"/>
  </r>
  <r>
    <s v="1155 - RAINHA HOME CENTER LTDA"/>
    <s v="FERNANDA DA SILVA MASCENA"/>
    <s v="VENDEDOR (A)"/>
    <d v="2025-01-07T00:00:00"/>
    <x v="0"/>
    <s v="Salário:"/>
    <n v="1660"/>
  </r>
  <r>
    <s v="1155 - RAINHA HOME CENTER LTDA"/>
    <s v="LUCIANA SILVA DE SOUZA"/>
    <s v="VENDEDOR (A)"/>
    <d v="2017-11-17T00:00:00"/>
    <x v="0"/>
    <s v="HORAS NORMAIS"/>
    <n v="1660"/>
  </r>
  <r>
    <s v="1155 - RAINHA HOME CENTER LTDA"/>
    <s v="LUCIANA SILVA DE SOUZA"/>
    <s v="VENDEDOR (A)"/>
    <d v="2017-11-17T00:00:00"/>
    <x v="0"/>
    <s v="TRIENIO"/>
    <n v="166"/>
  </r>
  <r>
    <s v="1155 - RAINHA HOME CENTER LTDA"/>
    <s v="LUCIANA SILVA DE SOUZA"/>
    <s v="VENDEDOR (A)"/>
    <d v="2017-11-17T00:00:00"/>
    <x v="0"/>
    <s v="DESC.ADIANT.SALARIAL"/>
    <n v="664"/>
  </r>
  <r>
    <s v="1155 - RAINHA HOME CENTER LTDA"/>
    <s v="LUCIANA SILVA DE SOUZA"/>
    <s v="VENDEDOR (A)"/>
    <d v="2017-11-17T00:00:00"/>
    <x v="0"/>
    <s v="VALE TRANSPORTE"/>
    <n v="99.6"/>
  </r>
  <r>
    <s v="1155 - RAINHA HOME CENTER LTDA"/>
    <s v="LUCIANA SILVA DE SOUZA"/>
    <s v="VENDEDOR (A)"/>
    <d v="2017-11-17T00:00:00"/>
    <x v="0"/>
    <s v="Salário:"/>
    <n v="1660"/>
  </r>
  <r>
    <s v="1155 - RAINHA HOME CENTER LTDA"/>
    <s v="LUCIANA VIANA COSTA"/>
    <s v="AUXILIAR ADMINISTRATIVO  "/>
    <d v="2017-04-26T00:00:00"/>
    <x v="0"/>
    <s v="HORAS NORMAIS"/>
    <n v="2092.21"/>
  </r>
  <r>
    <s v="1155 - RAINHA HOME CENTER LTDA"/>
    <s v="LUCIANA VIANA COSTA"/>
    <s v="AUXILIAR ADMINISTRATIVO  "/>
    <d v="2017-04-26T00:00:00"/>
    <x v="0"/>
    <s v="TRIENIO"/>
    <n v="209.22"/>
  </r>
  <r>
    <s v="1155 - RAINHA HOME CENTER LTDA"/>
    <s v="LUCIANA VIANA COSTA"/>
    <s v="AUXILIAR ADMINISTRATIVO  "/>
    <d v="2017-04-26T00:00:00"/>
    <x v="0"/>
    <s v="DESC.ADIANT.SALARIAL"/>
    <n v="836.88"/>
  </r>
  <r>
    <s v="1155 - RAINHA HOME CENTER LTDA"/>
    <s v="LUCIANA VIANA COSTA"/>
    <s v="AUXILIAR ADMINISTRATIVO  "/>
    <d v="2017-04-26T00:00:00"/>
    <x v="0"/>
    <s v="Salário:"/>
    <n v="2092.21"/>
  </r>
  <r>
    <s v="1155 - RAINHA HOME CENTER LTDA"/>
    <s v="MIGUEL NASCIMENTO DE JESUS FILHO"/>
    <s v="SERVICOS GERAIS "/>
    <d v="2024-03-04T00:00:00"/>
    <x v="0"/>
    <s v="HORAS NORMAIS"/>
    <n v="1660"/>
  </r>
  <r>
    <s v="1155 - RAINHA HOME CENTER LTDA"/>
    <s v="MIGUEL NASCIMENTO DE JESUS FILHO"/>
    <s v="SERVICOS GERAIS "/>
    <d v="2024-03-04T00:00:00"/>
    <x v="0"/>
    <s v="DESC.ADIANT.SALARIAL"/>
    <n v="664"/>
  </r>
  <r>
    <s v="1155 - RAINHA HOME CENTER LTDA"/>
    <s v="MIGUEL NASCIMENTO DE JESUS FILHO"/>
    <s v="SERVICOS GERAIS "/>
    <d v="2024-03-04T00:00:00"/>
    <x v="0"/>
    <s v="Salário:"/>
    <n v="1660"/>
  </r>
  <r>
    <s v="1155 - RAINHA HOME CENTER LTDA"/>
    <s v="OSMAR CORDEIRO ESTRELA"/>
    <s v="SERVICOS GERAIS "/>
    <d v="2018-06-04T00:00:00"/>
    <x v="0"/>
    <s v="HORAS NORMAIS"/>
    <n v="1660"/>
  </r>
  <r>
    <s v="1155 - RAINHA HOME CENTER LTDA"/>
    <s v="OSMAR CORDEIRO ESTRELA"/>
    <s v="SERVICOS GERAIS "/>
    <d v="2018-06-04T00:00:00"/>
    <x v="0"/>
    <s v="ESTOURO DO MES"/>
    <n v="92.27"/>
  </r>
  <r>
    <s v="1155 - RAINHA HOME CENTER LTDA"/>
    <s v="OSMAR CORDEIRO ESTRELA"/>
    <s v="SERVICOS GERAIS "/>
    <d v="2018-06-04T00:00:00"/>
    <x v="0"/>
    <s v="ESTOURO MES ANTERIOR"/>
    <n v="92.27"/>
  </r>
  <r>
    <s v="1155 - RAINHA HOME CENTER LTDA"/>
    <s v="OSMAR CORDEIRO ESTRELA"/>
    <s v="SERVICOS GERAIS "/>
    <d v="2018-06-04T00:00:00"/>
    <x v="0"/>
    <s v="HORAS FALTAS PARCIAL"/>
    <n v="1660"/>
  </r>
  <r>
    <s v="1155 - RAINHA HOME CENTER LTDA"/>
    <s v="OSMAR CORDEIRO ESTRELA"/>
    <s v="SERVICOS GERAIS "/>
    <d v="2018-06-04T00:00:00"/>
    <x v="0"/>
    <s v="Salário:"/>
    <n v="1660"/>
  </r>
  <r>
    <s v="1155 - RAINHA HOME CENTER LTDA"/>
    <s v="ROBERTO SALES NEVES"/>
    <s v="GERENTE DE VENDAS"/>
    <d v="2016-11-01T00:00:00"/>
    <x v="0"/>
    <s v="HORAS NORMAIS"/>
    <n v="3041.4"/>
  </r>
  <r>
    <s v="1155 - RAINHA HOME CENTER LTDA"/>
    <s v="ROBERTO SALES NEVES"/>
    <s v="GERENTE DE VENDAS"/>
    <d v="2016-11-01T00:00:00"/>
    <x v="0"/>
    <s v="TRIENIO"/>
    <n v="304.14"/>
  </r>
  <r>
    <s v="1155 - RAINHA HOME CENTER LTDA"/>
    <s v="ROBERTO SALES NEVES"/>
    <s v="GERENTE DE VENDAS"/>
    <d v="2016-11-01T00:00:00"/>
    <x v="0"/>
    <s v="DESC.ADIANT.SALARIAL"/>
    <n v="1216.56"/>
  </r>
  <r>
    <s v="1155 - RAINHA HOME CENTER LTDA"/>
    <s v="ROBERTO SALES NEVES"/>
    <s v="GERENTE DE VENDAS"/>
    <d v="2016-11-01T00:00:00"/>
    <x v="0"/>
    <s v="PENSAO ALIMENTICIA"/>
    <n v="910.8"/>
  </r>
  <r>
    <s v="1155 - RAINHA HOME CENTER LTDA"/>
    <s v="ROBERTO SALES NEVES"/>
    <s v="GERENTE DE VENDAS"/>
    <d v="2016-11-01T00:00:00"/>
    <x v="0"/>
    <s v="AUXILIO PLANO DE BENEFICIOS DEPENDENTES"/>
    <n v="16.899999999999999"/>
  </r>
  <r>
    <s v="1155 - RAINHA HOME CENTER LTDA"/>
    <s v="ROBERTO SALES NEVES"/>
    <s v="GERENTE DE VENDAS"/>
    <d v="2016-11-01T00:00:00"/>
    <x v="0"/>
    <s v="Salário:"/>
    <n v="3041.4"/>
  </r>
  <r>
    <s v="1155 - RAINHA HOME CENTER LTDA"/>
    <s v="SUELLEN LIMA SANTOS"/>
    <s v="VENDEDOR (A)"/>
    <d v="2017-07-11T00:00:00"/>
    <x v="0"/>
    <s v="HORAS NORMAIS"/>
    <n v="1660"/>
  </r>
  <r>
    <s v="1155 - RAINHA HOME CENTER LTDA"/>
    <s v="SUELLEN LIMA SANTOS"/>
    <s v="VENDEDOR (A)"/>
    <d v="2017-07-11T00:00:00"/>
    <x v="0"/>
    <s v="TRIENIO"/>
    <n v="166"/>
  </r>
  <r>
    <s v="1155 - RAINHA HOME CENTER LTDA"/>
    <s v="SUELLEN LIMA SANTOS"/>
    <s v="VENDEDOR (A)"/>
    <d v="2017-07-11T00:00:00"/>
    <x v="0"/>
    <s v="SALARIO FAMILIA"/>
    <n v="65"/>
  </r>
  <r>
    <s v="1155 - RAINHA HOME CENTER LTDA"/>
    <s v="SUELLEN LIMA SANTOS"/>
    <s v="VENDEDOR (A)"/>
    <d v="2017-07-11T00:00:00"/>
    <x v="0"/>
    <s v="DESC.ADIANT.SALARIAL"/>
    <n v="664"/>
  </r>
  <r>
    <s v="1155 - RAINHA HOME CENTER LTDA"/>
    <s v="SUELLEN LIMA SANTOS"/>
    <s v="VENDEDOR (A)"/>
    <d v="2017-07-11T00:00:00"/>
    <x v="0"/>
    <s v="Salário:"/>
    <n v="1660"/>
  </r>
  <r>
    <s v="1373 - METANOIA COMERCIAL LTDA"/>
    <s v="FABRICIO SOUZA DOS SANTOS"/>
    <s v="VENDEDOR (A)"/>
    <d v="2023-11-06T00:00:00"/>
    <x v="0"/>
    <s v="HORAS NORMAIS"/>
    <n v="1576.14"/>
  </r>
  <r>
    <s v="1373 - METANOIA COMERCIAL LTDA"/>
    <s v="FABRICIO SOUZA DOS SANTOS"/>
    <s v="VENDEDOR (A)"/>
    <d v="2023-11-06T00:00:00"/>
    <x v="0"/>
    <s v="DESC.ADIANT.SALARIAL"/>
    <n v="630.46"/>
  </r>
  <r>
    <s v="1373 - METANOIA COMERCIAL LTDA"/>
    <s v="FABRICIO SOUZA DOS SANTOS"/>
    <s v="VENDEDOR (A)"/>
    <d v="2023-11-06T00:00:00"/>
    <x v="0"/>
    <s v="Salário:"/>
    <n v="1576.14"/>
  </r>
  <r>
    <s v="1373 - METANOIA COMERCIAL LTDA"/>
    <s v="IOLANDA LIMA DA SILVA SANTOS"/>
    <s v="CAIXA"/>
    <d v="2018-04-09T00:00:00"/>
    <x v="0"/>
    <s v="HORAS NORMAIS"/>
    <n v="1576.14"/>
  </r>
  <r>
    <s v="1373 - METANOIA COMERCIAL LTDA"/>
    <s v="IOLANDA LIMA DA SILVA SANTOS"/>
    <s v="CAIXA"/>
    <d v="2018-04-09T00:00:00"/>
    <x v="0"/>
    <s v="TRIENIO SERRINHA 3%"/>
    <n v="94.57"/>
  </r>
  <r>
    <s v="1373 - METANOIA COMERCIAL LTDA"/>
    <s v="IOLANDA LIMA DA SILVA SANTOS"/>
    <s v="CAIXA"/>
    <d v="2018-04-09T00:00:00"/>
    <x v="0"/>
    <s v="QUEBRA DE CAIXA"/>
    <n v="157.61000000000001"/>
  </r>
  <r>
    <s v="1373 - METANOIA COMERCIAL LTDA"/>
    <s v="IOLANDA LIMA DA SILVA SANTOS"/>
    <s v="CAIXA"/>
    <d v="2018-04-09T00:00:00"/>
    <x v="0"/>
    <s v="DESC.ADIANT.SALARIAL"/>
    <n v="630.46"/>
  </r>
  <r>
    <s v="1373 - METANOIA COMERCIAL LTDA"/>
    <s v="IOLANDA LIMA DA SILVA SANTOS"/>
    <s v="CAIXA"/>
    <d v="2018-04-09T00:00:00"/>
    <x v="0"/>
    <s v="Salário:"/>
    <n v="1576.14"/>
  </r>
  <r>
    <s v="1373 - METANOIA COMERCIAL LTDA"/>
    <s v="PAULO CESAR SILVA COSTA"/>
    <s v="GERENTE"/>
    <d v="2023-12-11T00:00:00"/>
    <x v="0"/>
    <s v="HORAS NORMAIS"/>
    <n v="2674.25"/>
  </r>
  <r>
    <s v="1373 - METANOIA COMERCIAL LTDA"/>
    <s v="PAULO CESAR SILVA COSTA"/>
    <s v="GERENTE"/>
    <d v="2023-12-11T00:00:00"/>
    <x v="0"/>
    <s v="DESC.ADIANT.SALARIAL"/>
    <n v="1069.7"/>
  </r>
  <r>
    <s v="1373 - METANOIA COMERCIAL LTDA"/>
    <s v="PAULO CESAR SILVA COSTA"/>
    <s v="GERENTE"/>
    <d v="2023-12-11T00:00:00"/>
    <x v="0"/>
    <s v="Salário:"/>
    <n v="2674.25"/>
  </r>
  <r>
    <s v="1373 - METANOIA COMERCIAL LTDA"/>
    <s v="WILMA SILVA DE ALMEIDA"/>
    <s v="VENDEDOR (A)"/>
    <d v="2023-11-06T00:00:00"/>
    <x v="2"/>
    <s v="SALARIO MATERNIDADE"/>
    <n v="1576.14"/>
  </r>
  <r>
    <s v="1373 - METANOIA COMERCIAL LTDA"/>
    <s v="WILMA SILVA DE ALMEIDA"/>
    <s v="VENDEDOR (A)"/>
    <d v="2023-11-06T00:00:00"/>
    <x v="2"/>
    <s v="SALARIO FAMILIA"/>
    <n v="65"/>
  </r>
  <r>
    <s v="1373 - METANOIA COMERCIAL LTDA"/>
    <s v="WILMA SILVA DE ALMEIDA"/>
    <s v="VENDEDOR (A)"/>
    <d v="2023-11-06T00:00:00"/>
    <x v="2"/>
    <s v="DESC.ADIANT.SALARIAL"/>
    <n v="630.46"/>
  </r>
  <r>
    <s v="1373 - METANOIA COMERCIAL LTDA"/>
    <s v="WILMA SILVA DE ALMEIDA"/>
    <s v="VENDEDOR (A)"/>
    <d v="2023-11-06T00:00:00"/>
    <x v="2"/>
    <s v="Salário:"/>
    <n v="1576.14"/>
  </r>
  <r>
    <s v="1373 - METANOIA COMERCIAL LTDA"/>
    <s v="ZILDA DA MOTA LIMA SANTOS"/>
    <s v="VENDEDOR (A)"/>
    <d v="2015-09-16T00:00:00"/>
    <x v="0"/>
    <s v="HORAS NORMAIS"/>
    <n v="1576.14"/>
  </r>
  <r>
    <s v="1373 - METANOIA COMERCIAL LTDA"/>
    <s v="ZILDA DA MOTA LIMA SANTOS"/>
    <s v="VENDEDOR (A)"/>
    <d v="2015-09-16T00:00:00"/>
    <x v="0"/>
    <s v="TRIENIO SERRINHA 3%"/>
    <n v="141.85"/>
  </r>
  <r>
    <s v="1373 - METANOIA COMERCIAL LTDA"/>
    <s v="ZILDA DA MOTA LIMA SANTOS"/>
    <s v="VENDEDOR (A)"/>
    <d v="2015-09-16T00:00:00"/>
    <x v="0"/>
    <s v="DESC.ADIANT.SALARIAL"/>
    <n v="630.46"/>
  </r>
  <r>
    <s v="1373 - METANOIA COMERCIAL LTDA"/>
    <s v="ZILDA DA MOTA LIMA SANTOS"/>
    <s v="VENDEDOR (A)"/>
    <d v="2015-09-16T00:00:00"/>
    <x v="0"/>
    <s v="Salário:"/>
    <n v="1576.14"/>
  </r>
  <r>
    <s v="1580 - 10 K DECORACOES CAMA MESA BANHO LTDA"/>
    <s v="ADRIANA CLEIDE ALVES FIGUEREDO SANTOS"/>
    <s v="CAIXA"/>
    <d v="2024-10-05T00:00:00"/>
    <x v="0"/>
    <s v="HORAS NORMAIS"/>
    <n v="1518"/>
  </r>
  <r>
    <s v="1580 - 10 K DECORACOES CAMA MESA BANHO LTDA"/>
    <s v="ADRIANA CLEIDE ALVES FIGUEREDO SANTOS"/>
    <s v="CAIXA"/>
    <d v="2024-10-05T00:00:00"/>
    <x v="0"/>
    <s v="SALARIO FAMILIA"/>
    <n v="65"/>
  </r>
  <r>
    <s v="1580 - 10 K DECORACOES CAMA MESA BANHO LTDA"/>
    <s v="ADRIANA CLEIDE ALVES FIGUEREDO SANTOS"/>
    <s v="CAIXA"/>
    <d v="2024-10-05T00:00:00"/>
    <x v="0"/>
    <s v="QUEBRA DE CAIXA"/>
    <n v="106.26"/>
  </r>
  <r>
    <s v="1580 - 10 K DECORACOES CAMA MESA BANHO LTDA"/>
    <s v="ADRIANA CLEIDE ALVES FIGUEREDO SANTOS"/>
    <s v="CAIXA"/>
    <d v="2024-10-05T00:00:00"/>
    <x v="0"/>
    <s v="DESC.ADIANT.SALARIAL"/>
    <n v="607.20000000000005"/>
  </r>
  <r>
    <s v="1580 - 10 K DECORACOES CAMA MESA BANHO LTDA"/>
    <s v="ADRIANA CLEIDE ALVES FIGUEREDO SANTOS"/>
    <s v="CAIXA"/>
    <d v="2024-10-05T00:00:00"/>
    <x v="0"/>
    <s v="Salário:"/>
    <n v="1518"/>
  </r>
  <r>
    <s v="1580 - 10 K DECORACOES CAMA MESA BANHO LTDA"/>
    <s v="DEISIANE OLIVEIRA BISPO"/>
    <s v="VENDEDOR (A)"/>
    <d v="2024-10-05T00:00:00"/>
    <x v="0"/>
    <s v="HORAS NORMAIS"/>
    <n v="1518"/>
  </r>
  <r>
    <s v="1580 - 10 K DECORACOES CAMA MESA BANHO LTDA"/>
    <s v="DEISIANE OLIVEIRA BISPO"/>
    <s v="VENDEDOR (A)"/>
    <d v="2024-10-05T00:00:00"/>
    <x v="0"/>
    <s v="DESC.ADIANT.SALARIAL"/>
    <n v="607.20000000000005"/>
  </r>
  <r>
    <s v="1580 - 10 K DECORACOES CAMA MESA BANHO LTDA"/>
    <s v="DEISIANE OLIVEIRA BISPO"/>
    <s v="VENDEDOR (A)"/>
    <d v="2024-10-05T00:00:00"/>
    <x v="0"/>
    <s v="Salário:"/>
    <n v="1518"/>
  </r>
  <r>
    <s v="1580 - 10 K DECORACOES CAMA MESA BANHO LTDA"/>
    <s v="ELIEYDE COITINHO SILVA"/>
    <s v="VENDEDOR (A)"/>
    <d v="2021-06-14T00:00:00"/>
    <x v="0"/>
    <s v="HORAS NORMAIS"/>
    <n v="1518"/>
  </r>
  <r>
    <s v="1580 - 10 K DECORACOES CAMA MESA BANHO LTDA"/>
    <s v="ELIEYDE COITINHO SILVA"/>
    <s v="VENDEDOR (A)"/>
    <d v="2021-06-14T00:00:00"/>
    <x v="0"/>
    <s v="TRIENIO ANUENIO LIMITADO 6% "/>
    <n v="45.54"/>
  </r>
  <r>
    <s v="1580 - 10 K DECORACOES CAMA MESA BANHO LTDA"/>
    <s v="ELIEYDE COITINHO SILVA"/>
    <s v="VENDEDOR (A)"/>
    <d v="2021-06-14T00:00:00"/>
    <x v="0"/>
    <s v="MENSALIDADE SINDICAL"/>
    <n v="45.54"/>
  </r>
  <r>
    <s v="1580 - 10 K DECORACOES CAMA MESA BANHO LTDA"/>
    <s v="ELIEYDE COITINHO SILVA"/>
    <s v="VENDEDOR (A)"/>
    <d v="2021-06-14T00:00:00"/>
    <x v="0"/>
    <s v="DESC.ADIANT.SALARIAL"/>
    <n v="607.20000000000005"/>
  </r>
  <r>
    <s v="1580 - 10 K DECORACOES CAMA MESA BANHO LTDA"/>
    <s v="ELIEYDE COITINHO SILVA"/>
    <s v="VENDEDOR (A)"/>
    <d v="2021-06-14T00:00:00"/>
    <x v="0"/>
    <s v="Salário:"/>
    <n v="1518"/>
  </r>
  <r>
    <s v="1580 - 10 K DECORACOES CAMA MESA BANHO LTDA"/>
    <s v="GILBERTO GALDINO DOS SANTOS"/>
    <s v="SERVICOS GERAIS"/>
    <d v="2016-05-03T00:00:00"/>
    <x v="0"/>
    <s v="HORAS NORMAIS"/>
    <n v="1518"/>
  </r>
  <r>
    <s v="1580 - 10 K DECORACOES CAMA MESA BANHO LTDA"/>
    <s v="GILBERTO GALDINO DOS SANTOS"/>
    <s v="SERVICOS GERAIS"/>
    <d v="2016-05-03T00:00:00"/>
    <x v="0"/>
    <s v="TRIENIO ANUENIO LIMITADO 6% "/>
    <n v="91.08"/>
  </r>
  <r>
    <s v="1580 - 10 K DECORACOES CAMA MESA BANHO LTDA"/>
    <s v="GILBERTO GALDINO DOS SANTOS"/>
    <s v="SERVICOS GERAIS"/>
    <d v="2016-05-03T00:00:00"/>
    <x v="0"/>
    <s v="SALARIO FAMILIA"/>
    <n v="65"/>
  </r>
  <r>
    <s v="1580 - 10 K DECORACOES CAMA MESA BANHO LTDA"/>
    <s v="GILBERTO GALDINO DOS SANTOS"/>
    <s v="SERVICOS GERAIS"/>
    <d v="2016-05-03T00:00:00"/>
    <x v="0"/>
    <s v="DESC.ADIANT.SALARIAL"/>
    <n v="607.20000000000005"/>
  </r>
  <r>
    <s v="1580 - 10 K DECORACOES CAMA MESA BANHO LTDA"/>
    <s v="GILBERTO GALDINO DOS SANTOS"/>
    <s v="SERVICOS GERAIS"/>
    <d v="2016-05-03T00:00:00"/>
    <x v="0"/>
    <s v="Salário:"/>
    <n v="1518"/>
  </r>
  <r>
    <s v="1580 - 10 K DECORACOES CAMA MESA BANHO LTDA"/>
    <s v="MARIANA BATISTA DA CRUZ"/>
    <s v="CAIXA"/>
    <d v="2022-07-26T00:00:00"/>
    <x v="0"/>
    <s v="HORAS NORMAIS"/>
    <n v="1518"/>
  </r>
  <r>
    <s v="1580 - 10 K DECORACOES CAMA MESA BANHO LTDA"/>
    <s v="MARIANA BATISTA DA CRUZ"/>
    <s v="CAIXA"/>
    <d v="2022-07-26T00:00:00"/>
    <x v="0"/>
    <s v="SALARIO FAMILIA"/>
    <n v="130"/>
  </r>
  <r>
    <s v="1580 - 10 K DECORACOES CAMA MESA BANHO LTDA"/>
    <s v="MARIANA BATISTA DA CRUZ"/>
    <s v="CAIXA"/>
    <d v="2022-07-26T00:00:00"/>
    <x v="0"/>
    <s v="QUEBRA DE CAIXA"/>
    <n v="106.26"/>
  </r>
  <r>
    <s v="1580 - 10 K DECORACOES CAMA MESA BANHO LTDA"/>
    <s v="MARIANA BATISTA DA CRUZ"/>
    <s v="CAIXA"/>
    <d v="2022-07-26T00:00:00"/>
    <x v="0"/>
    <s v="VALES"/>
    <n v="54"/>
  </r>
  <r>
    <s v="1580 - 10 K DECORACOES CAMA MESA BANHO LTDA"/>
    <s v="MARIANA BATISTA DA CRUZ"/>
    <s v="CAIXA"/>
    <d v="2022-07-26T00:00:00"/>
    <x v="0"/>
    <s v="DESC.ADIANT.SALARIAL"/>
    <n v="605.20000000000005"/>
  </r>
  <r>
    <s v="1580 - 10 K DECORACOES CAMA MESA BANHO LTDA"/>
    <s v="MARIANA BATISTA DA CRUZ"/>
    <s v="CAIXA"/>
    <d v="2022-07-26T00:00:00"/>
    <x v="0"/>
    <s v="Salário:"/>
    <n v="1518"/>
  </r>
  <r>
    <s v="1580 - 10 K DECORACOES CAMA MESA BANHO LTDA"/>
    <s v="MARIVALDA DE LIMA SALES"/>
    <s v="VENDEDOR (A)"/>
    <d v="2018-03-16T00:00:00"/>
    <x v="0"/>
    <s v="HORAS NORMAIS"/>
    <n v="1518"/>
  </r>
  <r>
    <s v="1580 - 10 K DECORACOES CAMA MESA BANHO LTDA"/>
    <s v="MARIVALDA DE LIMA SALES"/>
    <s v="VENDEDOR (A)"/>
    <d v="2018-03-16T00:00:00"/>
    <x v="0"/>
    <s v="TRIENIO ANUENIO LIMITADO 6% "/>
    <n v="91.08"/>
  </r>
  <r>
    <s v="1580 - 10 K DECORACOES CAMA MESA BANHO LTDA"/>
    <s v="MARIVALDA DE LIMA SALES"/>
    <s v="VENDEDOR (A)"/>
    <d v="2018-03-16T00:00:00"/>
    <x v="0"/>
    <s v="DESC.ADIANT.SALARIAL"/>
    <n v="607.20000000000005"/>
  </r>
  <r>
    <s v="1580 - 10 K DECORACOES CAMA MESA BANHO LTDA"/>
    <s v="MARIVALDA DE LIMA SALES"/>
    <s v="VENDEDOR (A)"/>
    <d v="2018-03-16T00:00:00"/>
    <x v="0"/>
    <s v="Salário:"/>
    <n v="1518"/>
  </r>
  <r>
    <s v="1580 - 10 K DECORACOES CAMA MESA BANHO LTDA"/>
    <s v="SIMONE GUIMARAES SANTOS"/>
    <s v="GERENTE DE VENDAS"/>
    <d v="2022-10-10T00:00:00"/>
    <x v="0"/>
    <s v="HORAS NORMAIS"/>
    <n v="2703.44"/>
  </r>
  <r>
    <s v="1580 - 10 K DECORACOES CAMA MESA BANHO LTDA"/>
    <s v="SIMONE GUIMARAES SANTOS"/>
    <s v="GERENTE DE VENDAS"/>
    <d v="2022-10-10T00:00:00"/>
    <x v="0"/>
    <s v="VALES"/>
    <n v="100"/>
  </r>
  <r>
    <s v="1580 - 10 K DECORACOES CAMA MESA BANHO LTDA"/>
    <s v="SIMONE GUIMARAES SANTOS"/>
    <s v="GERENTE DE VENDAS"/>
    <d v="2022-10-10T00:00:00"/>
    <x v="0"/>
    <s v="DESC.ADIANT.SALARIAL"/>
    <n v="1081.3800000000001"/>
  </r>
  <r>
    <s v="1580 - 10 K DECORACOES CAMA MESA BANHO LTDA"/>
    <s v="SIMONE GUIMARAES SANTOS"/>
    <s v="GERENTE DE VENDAS"/>
    <d v="2022-10-10T00:00:00"/>
    <x v="0"/>
    <s v="Salário:"/>
    <n v="2703.44"/>
  </r>
  <r>
    <s v="1628 - 5 K COMERCIAL DE DECORACOES CAMA MESA E "/>
    <s v="ANADILZA ALMEIDA SANTOS"/>
    <s v="ENCARREGADO DEPARTAMENTO PESSOAL "/>
    <d v="2024-06-15T00:00:00"/>
    <x v="0"/>
    <s v="HORAS NORMAIS"/>
    <n v="3068.7"/>
  </r>
  <r>
    <s v="1628 - 5 K COMERCIAL DE DECORACOES CAMA MESA E "/>
    <s v="ANADILZA ALMEIDA SANTOS"/>
    <s v="ENCARREGADO DEPARTAMENTO PESSOAL "/>
    <d v="2024-06-15T00:00:00"/>
    <x v="0"/>
    <s v="DESC.ADIANT.SALARIAL"/>
    <n v="1227.48"/>
  </r>
  <r>
    <s v="1628 - 5 K COMERCIAL DE DECORACOES CAMA MESA E "/>
    <s v="ANADILZA ALMEIDA SANTOS"/>
    <s v="ENCARREGADO DEPARTAMENTO PESSOAL "/>
    <d v="2024-06-15T00:00:00"/>
    <x v="0"/>
    <s v="Salário:"/>
    <n v="3068.7"/>
  </r>
  <r>
    <s v="1628 - 5 K COMERCIAL DE DECORACOES CAMA MESA E "/>
    <s v="GILVANIA LOPES FREITAS"/>
    <s v="VENDEDOR (A)"/>
    <d v="2023-10-03T00:00:00"/>
    <x v="0"/>
    <s v="HORAS NORMAIS"/>
    <n v="1660"/>
  </r>
  <r>
    <s v="1628 - 5 K COMERCIAL DE DECORACOES CAMA MESA E "/>
    <s v="GILVANIA LOPES FREITAS"/>
    <s v="VENDEDOR (A)"/>
    <d v="2023-10-03T00:00:00"/>
    <x v="0"/>
    <s v="SALARIO FAMILIA"/>
    <n v="65"/>
  </r>
  <r>
    <s v="1628 - 5 K COMERCIAL DE DECORACOES CAMA MESA E "/>
    <s v="GILVANIA LOPES FREITAS"/>
    <s v="VENDEDOR (A)"/>
    <d v="2023-10-03T00:00:00"/>
    <x v="0"/>
    <s v="VALES"/>
    <n v="56.92"/>
  </r>
  <r>
    <s v="1628 - 5 K COMERCIAL DE DECORACOES CAMA MESA E "/>
    <s v="GILVANIA LOPES FREITAS"/>
    <s v="VENDEDOR (A)"/>
    <d v="2023-10-03T00:00:00"/>
    <x v="0"/>
    <s v="DESC.ADIANT.SALARIAL"/>
    <n v="664"/>
  </r>
  <r>
    <s v="1628 - 5 K COMERCIAL DE DECORACOES CAMA MESA E "/>
    <s v="GILVANIA LOPES FREITAS"/>
    <s v="VENDEDOR (A)"/>
    <d v="2023-10-03T00:00:00"/>
    <x v="0"/>
    <s v="VALE TRANSPORTE 6%"/>
    <n v="99.6"/>
  </r>
  <r>
    <s v="1628 - 5 K COMERCIAL DE DECORACOES CAMA MESA E "/>
    <s v="GILVANIA LOPES FREITAS"/>
    <s v="VENDEDOR (A)"/>
    <d v="2023-10-03T00:00:00"/>
    <x v="0"/>
    <s v="Salário:"/>
    <n v="1660"/>
  </r>
  <r>
    <s v="1628 - 5 K COMERCIAL DE DECORACOES CAMA MESA E "/>
    <s v="GIZELIA LIMA BARBOSA"/>
    <s v="CAIXA"/>
    <d v="2024-06-01T00:00:00"/>
    <x v="0"/>
    <s v="HORAS NORMAIS"/>
    <n v="1660"/>
  </r>
  <r>
    <s v="1628 - 5 K COMERCIAL DE DECORACOES CAMA MESA E "/>
    <s v="GIZELIA LIMA BARBOSA"/>
    <s v="CAIXA"/>
    <d v="2024-06-01T00:00:00"/>
    <x v="0"/>
    <s v="QUEBRA DE CAIXA SECOFS"/>
    <n v="83"/>
  </r>
  <r>
    <s v="1628 - 5 K COMERCIAL DE DECORACOES CAMA MESA E "/>
    <s v="GIZELIA LIMA BARBOSA"/>
    <s v="CAIXA"/>
    <d v="2024-06-01T00:00:00"/>
    <x v="0"/>
    <s v="DESC.ADIANT.SALARIAL"/>
    <n v="664"/>
  </r>
  <r>
    <s v="1628 - 5 K COMERCIAL DE DECORACOES CAMA MESA E "/>
    <s v="GIZELIA LIMA BARBOSA"/>
    <s v="CAIXA"/>
    <d v="2024-06-01T00:00:00"/>
    <x v="0"/>
    <s v="Salário:"/>
    <n v="1660"/>
  </r>
  <r>
    <s v="1628 - 5 K COMERCIAL DE DECORACOES CAMA MESA E "/>
    <s v="ISABELLI DE JESUS OLIVEIRA"/>
    <s v="ESTAGIARIO(A) "/>
    <d v="2024-08-01T00:00:00"/>
    <x v="0"/>
    <s v="BOLSA AUXILIO"/>
    <n v="600"/>
  </r>
  <r>
    <s v="1628 - 5 K COMERCIAL DE DECORACOES CAMA MESA E "/>
    <s v="ISABELLI DE JESUS OLIVEIRA"/>
    <s v="ESTAGIARIO(A) "/>
    <d v="2024-08-01T00:00:00"/>
    <x v="0"/>
    <s v="AUXILIO TRANSPORTE "/>
    <n v="100"/>
  </r>
  <r>
    <s v="1628 - 5 K COMERCIAL DE DECORACOES CAMA MESA E "/>
    <s v="ISABELLI DE JESUS OLIVEIRA"/>
    <s v="ESTAGIARIO(A) "/>
    <d v="2024-08-01T00:00:00"/>
    <x v="0"/>
    <s v="BOLSA AUXILIO DESCONTO ADIANTAMENTO"/>
    <n v="240"/>
  </r>
  <r>
    <s v="1628 - 5 K COMERCIAL DE DECORACOES CAMA MESA E "/>
    <s v="ISABELLI DE JESUS OLIVEIRA"/>
    <s v="ESTAGIARIO(A) "/>
    <d v="2024-08-01T00:00:00"/>
    <x v="0"/>
    <s v="Salário:"/>
    <n v="600"/>
  </r>
  <r>
    <s v="1683 - AVANTE COMERCIAL DE CAMA, MESA E BANHO L"/>
    <s v="BEATRIZ DOS SANTOS NUNES"/>
    <s v="VENDEDOR (A)"/>
    <d v="2024-12-07T00:00:00"/>
    <x v="0"/>
    <s v="HORAS NORMAIS"/>
    <n v="1528"/>
  </r>
  <r>
    <s v="1683 - AVANTE COMERCIAL DE CAMA, MESA E BANHO L"/>
    <s v="BEATRIZ DOS SANTOS NUNES"/>
    <s v="VENDEDOR (A)"/>
    <d v="2024-12-07T00:00:00"/>
    <x v="0"/>
    <s v="TAXA ASSISTENCIAL "/>
    <n v="23"/>
  </r>
  <r>
    <s v="1683 - AVANTE COMERCIAL DE CAMA, MESA E BANHO L"/>
    <s v="BEATRIZ DOS SANTOS NUNES"/>
    <s v="VENDEDOR (A)"/>
    <d v="2024-12-07T00:00:00"/>
    <x v="0"/>
    <s v="DESC.ADIANT.SALARIAL"/>
    <n v="611.20000000000005"/>
  </r>
  <r>
    <s v="1683 - AVANTE COMERCIAL DE CAMA, MESA E BANHO L"/>
    <s v="BEATRIZ DOS SANTOS NUNES"/>
    <s v="VENDEDOR (A)"/>
    <d v="2024-12-07T00:00:00"/>
    <x v="0"/>
    <s v="Salário:"/>
    <n v="1528"/>
  </r>
  <r>
    <s v="1683 - AVANTE COMERCIAL DE CAMA, MESA E BANHO L"/>
    <s v="CLEIFERSON DE SANTANA DOS SANTOS"/>
    <s v="SERVICOS GERAIS"/>
    <d v="2023-11-22T00:00:00"/>
    <x v="0"/>
    <s v="HORAS NORMAIS"/>
    <n v="1528"/>
  </r>
  <r>
    <s v="1683 - AVANTE COMERCIAL DE CAMA, MESA E BANHO L"/>
    <s v="CLEIFERSON DE SANTANA DOS SANTOS"/>
    <s v="SERVICOS GERAIS"/>
    <d v="2023-11-22T00:00:00"/>
    <x v="0"/>
    <s v="TAXA ASSISTENCIAL "/>
    <n v="23"/>
  </r>
  <r>
    <s v="1683 - AVANTE COMERCIAL DE CAMA, MESA E BANHO L"/>
    <s v="CLEIFERSON DE SANTANA DOS SANTOS"/>
    <s v="SERVICOS GERAIS"/>
    <d v="2023-11-22T00:00:00"/>
    <x v="0"/>
    <s v="DESC.ADIANT.SALARIAL"/>
    <n v="611.20000000000005"/>
  </r>
  <r>
    <s v="1683 - AVANTE COMERCIAL DE CAMA, MESA E BANHO L"/>
    <s v="CLEIFERSON DE SANTANA DOS SANTOS"/>
    <s v="SERVICOS GERAIS"/>
    <d v="2023-11-22T00:00:00"/>
    <x v="0"/>
    <s v="Salário:"/>
    <n v="1528"/>
  </r>
  <r>
    <s v="1683 - AVANTE COMERCIAL DE CAMA, MESA E BANHO L"/>
    <s v="DENISE DOS SANTOS"/>
    <s v="VENDEDOR (A)"/>
    <d v="2017-08-08T00:00:00"/>
    <x v="0"/>
    <s v="HORAS NORMAIS"/>
    <n v="1528"/>
  </r>
  <r>
    <s v="1683 - AVANTE COMERCIAL DE CAMA, MESA E BANHO L"/>
    <s v="DENISE DOS SANTOS"/>
    <s v="VENDEDOR (A)"/>
    <d v="2017-08-08T00:00:00"/>
    <x v="0"/>
    <s v="TRIENIO 3%"/>
    <n v="91.68"/>
  </r>
  <r>
    <s v="1683 - AVANTE COMERCIAL DE CAMA, MESA E BANHO L"/>
    <s v="DENISE DOS SANTOS"/>
    <s v="VENDEDOR (A)"/>
    <d v="2017-08-08T00:00:00"/>
    <x v="0"/>
    <s v="TAXA ASSISTENCIAL "/>
    <n v="23"/>
  </r>
  <r>
    <s v="1683 - AVANTE COMERCIAL DE CAMA, MESA E BANHO L"/>
    <s v="DENISE DOS SANTOS"/>
    <s v="VENDEDOR (A)"/>
    <d v="2017-08-08T00:00:00"/>
    <x v="0"/>
    <s v="DESC.ADIANT.SALARIAL"/>
    <n v="611.20000000000005"/>
  </r>
  <r>
    <s v="1683 - AVANTE COMERCIAL DE CAMA, MESA E BANHO L"/>
    <s v="DENISE DOS SANTOS"/>
    <s v="VENDEDOR (A)"/>
    <d v="2017-08-08T00:00:00"/>
    <x v="0"/>
    <s v="Salário:"/>
    <n v="1528"/>
  </r>
  <r>
    <s v="1683 - AVANTE COMERCIAL DE CAMA, MESA E BANHO L"/>
    <s v="GISELLE PEREIRA DOS ANJOS"/>
    <s v="VENDEDOR (A)"/>
    <d v="2024-12-07T00:00:00"/>
    <x v="0"/>
    <s v="HORAS NORMAIS"/>
    <n v="1528"/>
  </r>
  <r>
    <s v="1683 - AVANTE COMERCIAL DE CAMA, MESA E BANHO L"/>
    <s v="GISELLE PEREIRA DOS ANJOS"/>
    <s v="VENDEDOR (A)"/>
    <d v="2024-12-07T00:00:00"/>
    <x v="0"/>
    <s v="SALARIO FAMILIA"/>
    <n v="65"/>
  </r>
  <r>
    <s v="1683 - AVANTE COMERCIAL DE CAMA, MESA E BANHO L"/>
    <s v="GISELLE PEREIRA DOS ANJOS"/>
    <s v="VENDEDOR (A)"/>
    <d v="2024-12-07T00:00:00"/>
    <x v="0"/>
    <s v="TAXA ASSISTENCIAL "/>
    <n v="23"/>
  </r>
  <r>
    <s v="1683 - AVANTE COMERCIAL DE CAMA, MESA E BANHO L"/>
    <s v="GISELLE PEREIRA DOS ANJOS"/>
    <s v="VENDEDOR (A)"/>
    <d v="2024-12-07T00:00:00"/>
    <x v="0"/>
    <s v="DESC.ADIANT.SALARIAL"/>
    <n v="611.20000000000005"/>
  </r>
  <r>
    <s v="1683 - AVANTE COMERCIAL DE CAMA, MESA E BANHO L"/>
    <s v="GISELLE PEREIRA DOS ANJOS"/>
    <s v="VENDEDOR (A)"/>
    <d v="2024-12-07T00:00:00"/>
    <x v="0"/>
    <s v="Salário:"/>
    <n v="1528"/>
  </r>
  <r>
    <s v="1683 - AVANTE COMERCIAL DE CAMA, MESA E BANHO L"/>
    <s v="JADIANE SILVA SANTOS"/>
    <s v="CAIXA"/>
    <d v="2024-12-07T00:00:00"/>
    <x v="0"/>
    <s v="HORAS NORMAIS"/>
    <n v="1528"/>
  </r>
  <r>
    <s v="1683 - AVANTE COMERCIAL DE CAMA, MESA E BANHO L"/>
    <s v="JADIANE SILVA SANTOS"/>
    <s v="CAIXA"/>
    <d v="2024-12-07T00:00:00"/>
    <x v="0"/>
    <s v="QUEBRA DE CAIXA 12%"/>
    <n v="183.36"/>
  </r>
  <r>
    <s v="1683 - AVANTE COMERCIAL DE CAMA, MESA E BANHO L"/>
    <s v="JADIANE SILVA SANTOS"/>
    <s v="CAIXA"/>
    <d v="2024-12-07T00:00:00"/>
    <x v="0"/>
    <s v="SALARIO FAMILIA"/>
    <n v="65"/>
  </r>
  <r>
    <s v="1683 - AVANTE COMERCIAL DE CAMA, MESA E BANHO L"/>
    <s v="JADIANE SILVA SANTOS"/>
    <s v="CAIXA"/>
    <d v="2024-12-07T00:00:00"/>
    <x v="0"/>
    <s v="TAXA ASSISTENCIAL "/>
    <n v="23"/>
  </r>
  <r>
    <s v="1683 - AVANTE COMERCIAL DE CAMA, MESA E BANHO L"/>
    <s v="JADIANE SILVA SANTOS"/>
    <s v="CAIXA"/>
    <d v="2024-12-07T00:00:00"/>
    <x v="0"/>
    <s v="DESC.ADIANT.SALARIAL"/>
    <n v="611.20000000000005"/>
  </r>
  <r>
    <s v="1683 - AVANTE COMERCIAL DE CAMA, MESA E BANHO L"/>
    <s v="JADIANE SILVA SANTOS"/>
    <s v="CAIXA"/>
    <d v="2024-12-07T00:00:00"/>
    <x v="0"/>
    <s v="Salário:"/>
    <n v="1528"/>
  </r>
  <r>
    <s v="1683 - AVANTE COMERCIAL DE CAMA, MESA E BANHO L"/>
    <s v="MANUELA DOS SANTOS DE JESUS"/>
    <s v="GERENTE JUNIOR"/>
    <d v="2023-10-03T00:00:00"/>
    <x v="0"/>
    <s v="HORAS NORMAIS"/>
    <n v="2500"/>
  </r>
  <r>
    <s v="1683 - AVANTE COMERCIAL DE CAMA, MESA E BANHO L"/>
    <s v="MANUELA DOS SANTOS DE JESUS"/>
    <s v="GERENTE JUNIOR"/>
    <d v="2023-10-03T00:00:00"/>
    <x v="0"/>
    <s v="TAXA ASSISTENCIAL "/>
    <n v="23"/>
  </r>
  <r>
    <s v="1683 - AVANTE COMERCIAL DE CAMA, MESA E BANHO L"/>
    <s v="MANUELA DOS SANTOS DE JESUS"/>
    <s v="GERENTE JUNIOR"/>
    <d v="2023-10-03T00:00:00"/>
    <x v="0"/>
    <s v="DESC.ADIANT.SALARIAL"/>
    <n v="1000"/>
  </r>
  <r>
    <s v="1683 - AVANTE COMERCIAL DE CAMA, MESA E BANHO L"/>
    <s v="MANUELA DOS SANTOS DE JESUS"/>
    <s v="GERENTE JUNIOR"/>
    <d v="2023-10-03T00:00:00"/>
    <x v="0"/>
    <s v="Salário:"/>
    <n v="2500"/>
  </r>
  <r>
    <s v="1818 - 15 K COMERCIAL DE DECORACOES CAMA MESA E"/>
    <s v="ANALIA GUIMARAES MARQUES"/>
    <s v="GERENTE JUNIOR"/>
    <d v="2018-12-03T00:00:00"/>
    <x v="0"/>
    <s v="HORAS NORMAIS"/>
    <n v="2896.58"/>
  </r>
  <r>
    <s v="1818 - 15 K COMERCIAL DE DECORACOES CAMA MESA E"/>
    <s v="ANALIA GUIMARAES MARQUES"/>
    <s v="GERENTE JUNIOR"/>
    <d v="2018-12-03T00:00:00"/>
    <x v="0"/>
    <s v="TRIENIO"/>
    <n v="173.79"/>
  </r>
  <r>
    <s v="1818 - 15 K COMERCIAL DE DECORACOES CAMA MESA E"/>
    <s v="ANALIA GUIMARAES MARQUES"/>
    <s v="GERENTE JUNIOR"/>
    <d v="2018-12-03T00:00:00"/>
    <x v="0"/>
    <s v="TAXA ASSITENCIAL "/>
    <n v="20"/>
  </r>
  <r>
    <s v="1818 - 15 K COMERCIAL DE DECORACOES CAMA MESA E"/>
    <s v="ANALIA GUIMARAES MARQUES"/>
    <s v="GERENTE JUNIOR"/>
    <d v="2018-12-03T00:00:00"/>
    <x v="0"/>
    <s v="DESC.ADIANT.SALARIAL"/>
    <n v="1158.6300000000001"/>
  </r>
  <r>
    <s v="1818 - 15 K COMERCIAL DE DECORACOES CAMA MESA E"/>
    <s v="ANALIA GUIMARAES MARQUES"/>
    <s v="GERENTE JUNIOR"/>
    <d v="2018-12-03T00:00:00"/>
    <x v="0"/>
    <s v="Salário:"/>
    <n v="2896.58"/>
  </r>
  <r>
    <s v="1818 - 15 K COMERCIAL DE DECORACOES CAMA MESA E"/>
    <s v="CLAUDINEA DOS SANTOS BARROS"/>
    <s v="VENDEDOR (A)"/>
    <d v="2023-11-06T00:00:00"/>
    <x v="0"/>
    <s v="HORAS NORMAIS"/>
    <n v="1518"/>
  </r>
  <r>
    <s v="1818 - 15 K COMERCIAL DE DECORACOES CAMA MESA E"/>
    <s v="CLAUDINEA DOS SANTOS BARROS"/>
    <s v="VENDEDOR (A)"/>
    <d v="2023-11-06T00:00:00"/>
    <x v="0"/>
    <s v="SALARIO FAMILIA"/>
    <n v="65"/>
  </r>
  <r>
    <s v="1818 - 15 K COMERCIAL DE DECORACOES CAMA MESA E"/>
    <s v="CLAUDINEA DOS SANTOS BARROS"/>
    <s v="VENDEDOR (A)"/>
    <d v="2023-11-06T00:00:00"/>
    <x v="0"/>
    <s v="TAXA ASSITENCIAL "/>
    <n v="20"/>
  </r>
  <r>
    <s v="1818 - 15 K COMERCIAL DE DECORACOES CAMA MESA E"/>
    <s v="CLAUDINEA DOS SANTOS BARROS"/>
    <s v="VENDEDOR (A)"/>
    <d v="2023-11-06T00:00:00"/>
    <x v="0"/>
    <s v="DESC.ADIANT.SALARIAL"/>
    <n v="607.20000000000005"/>
  </r>
  <r>
    <s v="1818 - 15 K COMERCIAL DE DECORACOES CAMA MESA E"/>
    <s v="CLAUDINEA DOS SANTOS BARROS"/>
    <s v="VENDEDOR (A)"/>
    <d v="2023-11-06T00:00:00"/>
    <x v="0"/>
    <s v="Salário:"/>
    <n v="1518"/>
  </r>
  <r>
    <s v="1818 - 15 K COMERCIAL DE DECORACOES CAMA MESA E"/>
    <s v="DANIEL SEALIAN RIBEIRO DOS SANTOS"/>
    <s v="AUXILIAR DE SERVICOS GERAIS"/>
    <d v="2023-11-22T00:00:00"/>
    <x v="0"/>
    <s v="HORAS NORMAIS"/>
    <n v="1518"/>
  </r>
  <r>
    <s v="1818 - 15 K COMERCIAL DE DECORACOES CAMA MESA E"/>
    <s v="DANIEL SEALIAN RIBEIRO DOS SANTOS"/>
    <s v="AUXILIAR DE SERVICOS GERAIS"/>
    <d v="2023-11-22T00:00:00"/>
    <x v="0"/>
    <s v="TAXA ASSITENCIAL "/>
    <n v="20"/>
  </r>
  <r>
    <s v="1818 - 15 K COMERCIAL DE DECORACOES CAMA MESA E"/>
    <s v="DANIEL SEALIAN RIBEIRO DOS SANTOS"/>
    <s v="AUXILIAR DE SERVICOS GERAIS"/>
    <d v="2023-11-22T00:00:00"/>
    <x v="0"/>
    <s v="DESC.ADIANT.SALARIAL"/>
    <n v="607.20000000000005"/>
  </r>
  <r>
    <s v="1818 - 15 K COMERCIAL DE DECORACOES CAMA MESA E"/>
    <s v="DANIEL SEALIAN RIBEIRO DOS SANTOS"/>
    <s v="AUXILIAR DE SERVICOS GERAIS"/>
    <d v="2023-11-22T00:00:00"/>
    <x v="0"/>
    <s v="Salário:"/>
    <n v="1518"/>
  </r>
  <r>
    <s v="1818 - 15 K COMERCIAL DE DECORACOES CAMA MESA E"/>
    <s v="ELIENE PEREIRA"/>
    <s v="OPERADOR DE CAIXA"/>
    <d v="2022-05-02T00:00:00"/>
    <x v="0"/>
    <s v="HORAS NORMAIS"/>
    <n v="1518"/>
  </r>
  <r>
    <s v="1818 - 15 K COMERCIAL DE DECORACOES CAMA MESA E"/>
    <s v="ELIENE PEREIRA"/>
    <s v="OPERADOR DE CAIXA"/>
    <d v="2022-05-02T00:00:00"/>
    <x v="0"/>
    <s v="QUEBRA DE CAIXA"/>
    <n v="151.80000000000001"/>
  </r>
  <r>
    <s v="1818 - 15 K COMERCIAL DE DECORACOES CAMA MESA E"/>
    <s v="ELIENE PEREIRA"/>
    <s v="OPERADOR DE CAIXA"/>
    <d v="2022-05-02T00:00:00"/>
    <x v="0"/>
    <s v="TAXA ASSITENCIAL "/>
    <n v="20"/>
  </r>
  <r>
    <s v="1818 - 15 K COMERCIAL DE DECORACOES CAMA MESA E"/>
    <s v="ELIENE PEREIRA"/>
    <s v="OPERADOR DE CAIXA"/>
    <d v="2022-05-02T00:00:00"/>
    <x v="0"/>
    <s v="DESC.ADIANT.SALARIAL"/>
    <n v="607.20000000000005"/>
  </r>
  <r>
    <s v="1818 - 15 K COMERCIAL DE DECORACOES CAMA MESA E"/>
    <s v="ELIENE PEREIRA"/>
    <s v="OPERADOR DE CAIXA"/>
    <d v="2022-05-02T00:00:00"/>
    <x v="0"/>
    <s v="Salário:"/>
    <n v="1518"/>
  </r>
  <r>
    <s v="1818 - 15 K COMERCIAL DE DECORACOES CAMA MESA E"/>
    <s v="LUCIENE ORNELAS DE SANTANA"/>
    <s v="VENDEDOR (A)"/>
    <d v="2023-11-06T00:00:00"/>
    <x v="0"/>
    <s v="HORAS NORMAIS"/>
    <n v="1518"/>
  </r>
  <r>
    <s v="1818 - 15 K COMERCIAL DE DECORACOES CAMA MESA E"/>
    <s v="LUCIENE ORNELAS DE SANTANA"/>
    <s v="VENDEDOR (A)"/>
    <d v="2023-11-06T00:00:00"/>
    <x v="0"/>
    <s v="SALARIO FAMILIA"/>
    <n v="65"/>
  </r>
  <r>
    <s v="1818 - 15 K COMERCIAL DE DECORACOES CAMA MESA E"/>
    <s v="LUCIENE ORNELAS DE SANTANA"/>
    <s v="VENDEDOR (A)"/>
    <d v="2023-11-06T00:00:00"/>
    <x v="0"/>
    <s v="TAXA ASSITENCIAL "/>
    <n v="20"/>
  </r>
  <r>
    <s v="1818 - 15 K COMERCIAL DE DECORACOES CAMA MESA E"/>
    <s v="LUCIENE ORNELAS DE SANTANA"/>
    <s v="VENDEDOR (A)"/>
    <d v="2023-11-06T00:00:00"/>
    <x v="0"/>
    <s v="DESC.ADIANT.SALARIAL"/>
    <n v="607.20000000000005"/>
  </r>
  <r>
    <s v="1818 - 15 K COMERCIAL DE DECORACOES CAMA MESA E"/>
    <s v="LUCIENE ORNELAS DE SANTANA"/>
    <s v="VENDEDOR (A)"/>
    <d v="2023-11-06T00:00:00"/>
    <x v="0"/>
    <s v="Salário:"/>
    <n v="1518"/>
  </r>
  <r>
    <s v="1818 - 15 K COMERCIAL DE DECORACOES CAMA MESA E"/>
    <s v="MARCIA FERREIRA DOS SANTOS"/>
    <s v="VENDEDOR (A)"/>
    <d v="2022-05-02T00:00:00"/>
    <x v="0"/>
    <s v="HORAS NORMAIS"/>
    <n v="1518"/>
  </r>
  <r>
    <s v="1818 - 15 K COMERCIAL DE DECORACOES CAMA MESA E"/>
    <s v="MARCIA FERREIRA DOS SANTOS"/>
    <s v="VENDEDOR (A)"/>
    <d v="2022-05-02T00:00:00"/>
    <x v="0"/>
    <s v="SALARIO FAMILIA"/>
    <n v="65"/>
  </r>
  <r>
    <s v="1818 - 15 K COMERCIAL DE DECORACOES CAMA MESA E"/>
    <s v="MARCIA FERREIRA DOS SANTOS"/>
    <s v="VENDEDOR (A)"/>
    <d v="2022-05-02T00:00:00"/>
    <x v="0"/>
    <s v="TAXA ASSITENCIAL "/>
    <n v="20"/>
  </r>
  <r>
    <s v="1818 - 15 K COMERCIAL DE DECORACOES CAMA MESA E"/>
    <s v="MARCIA FERREIRA DOS SANTOS"/>
    <s v="VENDEDOR (A)"/>
    <d v="2022-05-02T00:00:00"/>
    <x v="0"/>
    <s v="DESC.ADIANT.SALARIAL"/>
    <n v="607.20000000000005"/>
  </r>
  <r>
    <s v="1818 - 15 K COMERCIAL DE DECORACOES CAMA MESA E"/>
    <s v="MARCIA FERREIRA DOS SANTOS"/>
    <s v="VENDEDOR (A)"/>
    <d v="2022-05-02T00:00:00"/>
    <x v="0"/>
    <s v="Salário:"/>
    <n v="1518"/>
  </r>
  <r>
    <s v="1871 - 30 K COMERCIAL LTDA"/>
    <s v="ALINE DE SOUZA SANTOS"/>
    <s v="VENDEDOR "/>
    <d v="2023-05-10T00:00:00"/>
    <x v="0"/>
    <s v="HORAS NORMAIS"/>
    <n v="1518"/>
  </r>
  <r>
    <s v="1871 - 30 K COMERCIAL LTDA"/>
    <s v="ALINE DE SOUZA SANTOS"/>
    <s v="VENDEDOR "/>
    <d v="2023-05-10T00:00:00"/>
    <x v="0"/>
    <s v="MENSALIDADE SINDICAL"/>
    <n v="18"/>
  </r>
  <r>
    <s v="1871 - 30 K COMERCIAL LTDA"/>
    <s v="ALINE DE SOUZA SANTOS"/>
    <s v="VENDEDOR "/>
    <d v="2023-05-10T00:00:00"/>
    <x v="0"/>
    <s v="DESC.ADIANT.SALARIAL"/>
    <n v="607.20000000000005"/>
  </r>
  <r>
    <s v="1871 - 30 K COMERCIAL LTDA"/>
    <s v="ALINE DE SOUZA SANTOS"/>
    <s v="VENDEDOR "/>
    <d v="2023-05-10T00:00:00"/>
    <x v="0"/>
    <s v="Salário:"/>
    <n v="1518"/>
  </r>
  <r>
    <s v="1871 - 30 K COMERCIAL LTDA"/>
    <s v="ANDRESSA DOS SANTOS REIS"/>
    <s v="VENDEDOR "/>
    <d v="2024-12-05T00:00:00"/>
    <x v="3"/>
    <s v="SALDO DE SALARIO HORAS"/>
    <n v="506"/>
  </r>
  <r>
    <s v="1871 - 30 K COMERCIAL LTDA"/>
    <s v="ANDRESSA DOS SANTOS REIS"/>
    <s v="VENDEDOR "/>
    <d v="2024-12-05T00:00:00"/>
    <x v="3"/>
    <s v="SALARIO FAMILIA"/>
    <n v="21.67"/>
  </r>
  <r>
    <s v="1871 - 30 K COMERCIAL LTDA"/>
    <s v="ANDRESSA DOS SANTOS REIS"/>
    <s v="VENDEDOR "/>
    <d v="2024-12-05T00:00:00"/>
    <x v="3"/>
    <s v="LIQUIDO RESCISAO"/>
    <n v="658.39"/>
  </r>
  <r>
    <s v="1871 - 30 K COMERCIAL LTDA"/>
    <s v="ANDRESSA DOS SANTOS REIS"/>
    <s v="VENDEDOR "/>
    <d v="2024-12-05T00:00:00"/>
    <x v="3"/>
    <s v="Salário:"/>
    <n v="1518"/>
  </r>
  <r>
    <s v="1871 - 30 K COMERCIAL LTDA"/>
    <s v="ANNA CAROLINE ANDRADE CARVALHO"/>
    <s v="VENDEDOR "/>
    <d v="2024-12-05T00:00:00"/>
    <x v="3"/>
    <s v="SALDO DE SALARIO HORAS"/>
    <n v="99.73"/>
  </r>
  <r>
    <s v="1871 - 30 K COMERCIAL LTDA"/>
    <s v="ANNA CAROLINE ANDRADE CARVALHO"/>
    <s v="VENDEDOR "/>
    <d v="2024-12-05T00:00:00"/>
    <x v="3"/>
    <s v="LIQUIDO RESCISAO"/>
    <n v="258.49"/>
  </r>
  <r>
    <s v="1871 - 30 K COMERCIAL LTDA"/>
    <s v="ANNA CAROLINE ANDRADE CARVALHO"/>
    <s v="VENDEDOR "/>
    <d v="2024-12-05T00:00:00"/>
    <x v="3"/>
    <s v="Salário:"/>
    <n v="1496"/>
  </r>
  <r>
    <s v="1871 - 30 K COMERCIAL LTDA"/>
    <s v="DANIELLE CUNHA BORGES"/>
    <s v="CAIXA"/>
    <d v="2022-12-10T00:00:00"/>
    <x v="0"/>
    <s v="HORAS NORMAIS"/>
    <n v="1518"/>
  </r>
  <r>
    <s v="1871 - 30 K COMERCIAL LTDA"/>
    <s v="DANIELLE CUNHA BORGES"/>
    <s v="CAIXA"/>
    <d v="2022-12-10T00:00:00"/>
    <x v="0"/>
    <s v="QUEBRA DE CAIXA"/>
    <n v="151.80000000000001"/>
  </r>
  <r>
    <s v="1871 - 30 K COMERCIAL LTDA"/>
    <s v="DANIELLE CUNHA BORGES"/>
    <s v="CAIXA"/>
    <d v="2022-12-10T00:00:00"/>
    <x v="0"/>
    <s v="DESC.ADIANT.SALARIAL"/>
    <n v="607.20000000000005"/>
  </r>
  <r>
    <s v="1871 - 30 K COMERCIAL LTDA"/>
    <s v="DANIELLE CUNHA BORGES"/>
    <s v="CAIXA"/>
    <d v="2022-12-10T00:00:00"/>
    <x v="0"/>
    <s v="Salário:"/>
    <n v="1518"/>
  </r>
  <r>
    <s v="1871 - 30 K COMERCIAL LTDA"/>
    <s v="GABRIEL SANTANA DA SILVA"/>
    <s v="SERVIÇOS GERAIS"/>
    <d v="2024-08-01T00:00:00"/>
    <x v="0"/>
    <s v="HORAS NORMAIS"/>
    <n v="1518"/>
  </r>
  <r>
    <s v="1871 - 30 K COMERCIAL LTDA"/>
    <s v="GABRIEL SANTANA DA SILVA"/>
    <s v="SERVIÇOS GERAIS"/>
    <d v="2024-08-01T00:00:00"/>
    <x v="0"/>
    <s v="DESC.ADIANT.SALARIAL"/>
    <n v="607.20000000000005"/>
  </r>
  <r>
    <s v="1871 - 30 K COMERCIAL LTDA"/>
    <s v="GABRIEL SANTANA DA SILVA"/>
    <s v="SERVIÇOS GERAIS"/>
    <d v="2024-08-01T00:00:00"/>
    <x v="0"/>
    <s v="Salário:"/>
    <n v="1518"/>
  </r>
  <r>
    <s v="1871 - 30 K COMERCIAL LTDA"/>
    <s v="MARILIA FERREIRA MASCARENHAS PEREIRA"/>
    <s v="GERENTE JUNIOR"/>
    <d v="2024-12-01T00:00:00"/>
    <x v="0"/>
    <s v="HORAS NORMAIS"/>
    <n v="2011.8"/>
  </r>
  <r>
    <s v="1871 - 30 K COMERCIAL LTDA"/>
    <s v="MARILIA FERREIRA MASCARENHAS PEREIRA"/>
    <s v="GERENTE JUNIOR"/>
    <d v="2024-12-01T00:00:00"/>
    <x v="0"/>
    <s v="VALES"/>
    <n v="82"/>
  </r>
  <r>
    <s v="1871 - 30 K COMERCIAL LTDA"/>
    <s v="MARILIA FERREIRA MASCARENHAS PEREIRA"/>
    <s v="GERENTE JUNIOR"/>
    <d v="2024-12-01T00:00:00"/>
    <x v="0"/>
    <s v="DESC.ADIANT.SALARIAL"/>
    <n v="804.72"/>
  </r>
  <r>
    <s v="1871 - 30 K COMERCIAL LTDA"/>
    <s v="MARILIA FERREIRA MASCARENHAS PEREIRA"/>
    <s v="GERENTE JUNIOR"/>
    <d v="2024-12-01T00:00:00"/>
    <x v="0"/>
    <s v="Salário:"/>
    <n v="2011.8"/>
  </r>
  <r>
    <s v="1916 - GRAND CANYON COMERCIAL DE CAMA MESA E BA"/>
    <s v="ANNE KAROLINA NASCIMENTO DOS SANTOS"/>
    <s v="VENDEDOR(A)"/>
    <d v="2021-05-18T00:00:00"/>
    <x v="0"/>
    <s v="HORAS NORMAIS"/>
    <n v="1518"/>
  </r>
  <r>
    <s v="1916 - GRAND CANYON COMERCIAL DE CAMA MESA E BA"/>
    <s v="ANNE KAROLINA NASCIMENTO DOS SANTOS"/>
    <s v="VENDEDOR(A)"/>
    <d v="2021-05-18T00:00:00"/>
    <x v="0"/>
    <s v="SALARIO FAMILIA"/>
    <n v="65"/>
  </r>
  <r>
    <s v="1916 - GRAND CANYON COMERCIAL DE CAMA MESA E BA"/>
    <s v="ANNE KAROLINA NASCIMENTO DOS SANTOS"/>
    <s v="VENDEDOR(A)"/>
    <d v="2021-05-18T00:00:00"/>
    <x v="0"/>
    <s v="DESC.ADIANT.SALARIAL"/>
    <n v="607.20000000000005"/>
  </r>
  <r>
    <s v="1916 - GRAND CANYON COMERCIAL DE CAMA MESA E BA"/>
    <s v="ANNE KAROLINA NASCIMENTO DOS SANTOS"/>
    <s v="VENDEDOR(A)"/>
    <d v="2021-05-18T00:00:00"/>
    <x v="0"/>
    <s v="Salário:"/>
    <n v="1518"/>
  </r>
  <r>
    <s v="1916 - GRAND CANYON COMERCIAL DE CAMA MESA E BA"/>
    <s v="CARIANE RODRIGUES ARAUJO"/>
    <s v="VENDEDOR(A)"/>
    <d v="2023-09-11T00:00:00"/>
    <x v="0"/>
    <s v="HORAS NORMAIS"/>
    <n v="1518"/>
  </r>
  <r>
    <s v="1916 - GRAND CANYON COMERCIAL DE CAMA MESA E BA"/>
    <s v="CARIANE RODRIGUES ARAUJO"/>
    <s v="VENDEDOR(A)"/>
    <d v="2023-09-11T00:00:00"/>
    <x v="0"/>
    <s v="DESC.ADIANT.SALARIAL"/>
    <n v="607.20000000000005"/>
  </r>
  <r>
    <s v="1916 - GRAND CANYON COMERCIAL DE CAMA MESA E BA"/>
    <s v="CARIANE RODRIGUES ARAUJO"/>
    <s v="VENDEDOR(A)"/>
    <d v="2023-09-11T00:00:00"/>
    <x v="0"/>
    <s v="VALE TRANSPORTE"/>
    <n v="91.08"/>
  </r>
  <r>
    <s v="1916 - GRAND CANYON COMERCIAL DE CAMA MESA E BA"/>
    <s v="CARIANE RODRIGUES ARAUJO"/>
    <s v="VENDEDOR(A)"/>
    <d v="2023-09-11T00:00:00"/>
    <x v="0"/>
    <s v="Salário:"/>
    <n v="1518"/>
  </r>
  <r>
    <s v="1916 - GRAND CANYON COMERCIAL DE CAMA MESA E BA"/>
    <s v="ELAINE DA SILVA NEVES"/>
    <s v="VENDEDOR(A)"/>
    <d v="2020-10-13T00:00:00"/>
    <x v="0"/>
    <s v="AFAST P/ACID TRABALHO C/DIR INTEGRAIS"/>
    <n v="101.2"/>
  </r>
  <r>
    <s v="1916 - GRAND CANYON COMERCIAL DE CAMA MESA E BA"/>
    <s v="ELAINE DA SILVA NEVES"/>
    <s v="VENDEDOR(A)"/>
    <d v="2020-10-13T00:00:00"/>
    <x v="0"/>
    <s v="QUADRIENIO"/>
    <n v="60.72"/>
  </r>
  <r>
    <s v="1916 - GRAND CANYON COMERCIAL DE CAMA MESA E BA"/>
    <s v="ELAINE DA SILVA NEVES"/>
    <s v="VENDEDOR(A)"/>
    <d v="2020-10-13T00:00:00"/>
    <x v="0"/>
    <s v="DESCONTO HORAS AFASTADAS ACID TRABALHO"/>
    <n v="1416.8"/>
  </r>
  <r>
    <s v="1916 - GRAND CANYON COMERCIAL DE CAMA MESA E BA"/>
    <s v="ELAINE DA SILVA NEVES"/>
    <s v="VENDEDOR(A)"/>
    <d v="2020-10-13T00:00:00"/>
    <x v="0"/>
    <s v="Salário:"/>
    <n v="1518"/>
  </r>
  <r>
    <s v="1916 - GRAND CANYON COMERCIAL DE CAMA MESA E BA"/>
    <s v="IASMIN LUANY PAULINO DE OLIVEIRA"/>
    <s v="CAIXA "/>
    <d v="2023-09-11T00:00:00"/>
    <x v="0"/>
    <s v="HORAS NORMAIS"/>
    <n v="1518"/>
  </r>
  <r>
    <s v="1916 - GRAND CANYON COMERCIAL DE CAMA MESA E BA"/>
    <s v="IASMIN LUANY PAULINO DE OLIVEIRA"/>
    <s v="CAIXA "/>
    <d v="2023-09-11T00:00:00"/>
    <x v="0"/>
    <s v="QUEBRA DE CAIXA SIND JUAZEIRO"/>
    <n v="182.16"/>
  </r>
  <r>
    <s v="1916 - GRAND CANYON COMERCIAL DE CAMA MESA E BA"/>
    <s v="IASMIN LUANY PAULINO DE OLIVEIRA"/>
    <s v="CAIXA "/>
    <d v="2023-09-11T00:00:00"/>
    <x v="0"/>
    <s v="SALARIO FAMILIA"/>
    <n v="65"/>
  </r>
  <r>
    <s v="1916 - GRAND CANYON COMERCIAL DE CAMA MESA E BA"/>
    <s v="IASMIN LUANY PAULINO DE OLIVEIRA"/>
    <s v="CAIXA "/>
    <d v="2023-09-11T00:00:00"/>
    <x v="0"/>
    <s v="DESC.ADIANT.SALARIAL"/>
    <n v="607.20000000000005"/>
  </r>
  <r>
    <s v="1916 - GRAND CANYON COMERCIAL DE CAMA MESA E BA"/>
    <s v="IASMIN LUANY PAULINO DE OLIVEIRA"/>
    <s v="CAIXA "/>
    <d v="2023-09-11T00:00:00"/>
    <x v="0"/>
    <s v="Salário:"/>
    <n v="1518"/>
  </r>
  <r>
    <s v="1916 - GRAND CANYON COMERCIAL DE CAMA MESA E BA"/>
    <s v="LEILANA FELICIANO SANTANA"/>
    <s v="GERENTE DE VENDAS"/>
    <d v="2018-10-10T00:00:00"/>
    <x v="0"/>
    <s v="HORAS NORMAIS"/>
    <n v="2545.9699999999998"/>
  </r>
  <r>
    <s v="1916 - GRAND CANYON COMERCIAL DE CAMA MESA E BA"/>
    <s v="LEILANA FELICIANO SANTANA"/>
    <s v="GERENTE DE VENDAS"/>
    <d v="2018-10-10T00:00:00"/>
    <x v="0"/>
    <s v="QUADRIENIO"/>
    <n v="101.84"/>
  </r>
  <r>
    <s v="1916 - GRAND CANYON COMERCIAL DE CAMA MESA E BA"/>
    <s v="LEILANA FELICIANO SANTANA"/>
    <s v="GERENTE DE VENDAS"/>
    <d v="2018-10-10T00:00:00"/>
    <x v="0"/>
    <s v="DESC.ADIANT.SALARIAL"/>
    <n v="1018.39"/>
  </r>
  <r>
    <s v="1916 - GRAND CANYON COMERCIAL DE CAMA MESA E BA"/>
    <s v="LEILANA FELICIANO SANTANA"/>
    <s v="GERENTE DE VENDAS"/>
    <d v="2018-10-10T00:00:00"/>
    <x v="0"/>
    <s v="Salário:"/>
    <n v="2545.9699999999998"/>
  </r>
  <r>
    <s v="1916 - GRAND CANYON COMERCIAL DE CAMA MESA E BA"/>
    <s v="LUCILEIDE LOPES"/>
    <s v="CAIXA "/>
    <d v="2023-11-22T00:00:00"/>
    <x v="0"/>
    <s v="HORAS NORMAIS"/>
    <n v="1518"/>
  </r>
  <r>
    <s v="1916 - GRAND CANYON COMERCIAL DE CAMA MESA E BA"/>
    <s v="LUCILEIDE LOPES"/>
    <s v="CAIXA "/>
    <d v="2023-11-22T00:00:00"/>
    <x v="0"/>
    <s v="QUEBRA DE CAIXA SIND JUAZEIRO"/>
    <n v="182.16"/>
  </r>
  <r>
    <s v="1916 - GRAND CANYON COMERCIAL DE CAMA MESA E BA"/>
    <s v="LUCILEIDE LOPES"/>
    <s v="CAIXA "/>
    <d v="2023-11-22T00:00:00"/>
    <x v="0"/>
    <s v="SALARIO FAMILIA"/>
    <n v="65"/>
  </r>
  <r>
    <s v="1916 - GRAND CANYON COMERCIAL DE CAMA MESA E BA"/>
    <s v="LUCILEIDE LOPES"/>
    <s v="CAIXA "/>
    <d v="2023-11-22T00:00:00"/>
    <x v="0"/>
    <s v="DESC.ADIANT.SALARIAL"/>
    <n v="607.20000000000005"/>
  </r>
  <r>
    <s v="1916 - GRAND CANYON COMERCIAL DE CAMA MESA E BA"/>
    <s v="LUCILEIDE LOPES"/>
    <s v="CAIXA "/>
    <d v="2023-11-22T00:00:00"/>
    <x v="0"/>
    <s v="Salário:"/>
    <n v="1518"/>
  </r>
  <r>
    <s v="1916 - GRAND CANYON COMERCIAL DE CAMA MESA E BA"/>
    <s v="VITOR MATEUS CARVALHO ROCHA"/>
    <s v="SERVICOS GERAIS"/>
    <d v="2024-03-04T00:00:00"/>
    <x v="0"/>
    <s v="HORAS NORMAIS"/>
    <n v="1518"/>
  </r>
  <r>
    <s v="1916 - GRAND CANYON COMERCIAL DE CAMA MESA E BA"/>
    <s v="VITOR MATEUS CARVALHO ROCHA"/>
    <s v="SERVICOS GERAIS"/>
    <d v="2024-03-04T00:00:00"/>
    <x v="0"/>
    <s v="DESC.ADIANT.SALARIAL"/>
    <n v="607.20000000000005"/>
  </r>
  <r>
    <s v="1916 - GRAND CANYON COMERCIAL DE CAMA MESA E BA"/>
    <s v="VITOR MATEUS CARVALHO ROCHA"/>
    <s v="SERVICOS GERAIS"/>
    <d v="2024-03-04T00:00:00"/>
    <x v="0"/>
    <s v="Salário:"/>
    <n v="1518"/>
  </r>
  <r>
    <s v="1919 - VALE XEL COMERCIAL DE CAMA MESA E BANHO "/>
    <s v="ALESSANDRA SILVA DE ARAUJO"/>
    <s v="COSTUREIRA (O)"/>
    <d v="2023-07-03T00:00:00"/>
    <x v="0"/>
    <s v="HORAS NORMAIS"/>
    <n v="1518"/>
  </r>
  <r>
    <s v="1919 - VALE XEL COMERCIAL DE CAMA MESA E BANHO "/>
    <s v="ALESSANDRA SILVA DE ARAUJO"/>
    <s v="COSTUREIRA (O)"/>
    <d v="2023-07-03T00:00:00"/>
    <x v="0"/>
    <s v="SALARIO FAMILIA"/>
    <n v="65"/>
  </r>
  <r>
    <s v="1919 - VALE XEL COMERCIAL DE CAMA MESA E BANHO "/>
    <s v="ALESSANDRA SILVA DE ARAUJO"/>
    <s v="COSTUREIRA (O)"/>
    <d v="2023-07-03T00:00:00"/>
    <x v="0"/>
    <s v="DESC.ADIANT.SALARIAL"/>
    <n v="607.20000000000005"/>
  </r>
  <r>
    <s v="1919 - VALE XEL COMERCIAL DE CAMA MESA E BANHO "/>
    <s v="ALESSANDRA SILVA DE ARAUJO"/>
    <s v="COSTUREIRA (O)"/>
    <d v="2023-07-03T00:00:00"/>
    <x v="0"/>
    <s v="Salário:"/>
    <n v="1518"/>
  </r>
  <r>
    <s v="1919 - VALE XEL COMERCIAL DE CAMA MESA E BANHO "/>
    <s v="CARLA DOS SANTOS NASCIMENTO"/>
    <s v="COSTUREIRA"/>
    <d v="2022-08-01T00:00:00"/>
    <x v="3"/>
    <s v="SALDO DE SALARIO HORAS"/>
    <n v="708.4"/>
  </r>
  <r>
    <s v="1919 - VALE XEL COMERCIAL DE CAMA MESA E BANHO "/>
    <s v="CARLA DOS SANTOS NASCIMENTO"/>
    <s v="COSTUREIRA"/>
    <d v="2022-08-01T00:00:00"/>
    <x v="3"/>
    <s v="SALARIO FAMILIA"/>
    <n v="30.33"/>
  </r>
  <r>
    <s v="1919 - VALE XEL COMERCIAL DE CAMA MESA E BANHO "/>
    <s v="CARLA DOS SANTOS NASCIMENTO"/>
    <s v="COSTUREIRA"/>
    <d v="2022-08-01T00:00:00"/>
    <x v="3"/>
    <s v="VALES"/>
    <n v="1518"/>
  </r>
  <r>
    <s v="1919 - VALE XEL COMERCIAL DE CAMA MESA E BANHO "/>
    <s v="CARLA DOS SANTOS NASCIMENTO"/>
    <s v="COSTUREIRA"/>
    <d v="2022-08-01T00:00:00"/>
    <x v="3"/>
    <s v="LIQUIDO RESCISAO"/>
    <n v="4427.8900000000003"/>
  </r>
  <r>
    <s v="1919 - VALE XEL COMERCIAL DE CAMA MESA E BANHO "/>
    <s v="CARLA DOS SANTOS NASCIMENTO"/>
    <s v="COSTUREIRA"/>
    <d v="2022-08-01T00:00:00"/>
    <x v="3"/>
    <s v="Salário:"/>
    <n v="1518"/>
  </r>
  <r>
    <s v="1919 - VALE XEL COMERCIAL DE CAMA MESA E BANHO "/>
    <s v="COSMINHA PEREIRA COELHO"/>
    <s v="COSTUREIRA (O)"/>
    <d v="2023-07-03T00:00:00"/>
    <x v="0"/>
    <s v="HORAS NORMAIS"/>
    <n v="1518"/>
  </r>
  <r>
    <s v="1919 - VALE XEL COMERCIAL DE CAMA MESA E BANHO "/>
    <s v="COSMINHA PEREIRA COELHO"/>
    <s v="COSTUREIRA (O)"/>
    <d v="2023-07-03T00:00:00"/>
    <x v="0"/>
    <s v="DESC.ADIANT.SALARIAL"/>
    <n v="607.20000000000005"/>
  </r>
  <r>
    <s v="1919 - VALE XEL COMERCIAL DE CAMA MESA E BANHO "/>
    <s v="COSMINHA PEREIRA COELHO"/>
    <s v="COSTUREIRA (O)"/>
    <d v="2023-07-03T00:00:00"/>
    <x v="0"/>
    <s v="Salário:"/>
    <n v="1518"/>
  </r>
  <r>
    <s v="1919 - VALE XEL COMERCIAL DE CAMA MESA E BANHO "/>
    <s v="DANIELA MERCURI SANTOS DE JESUS"/>
    <s v="COSTUREIRA (O)"/>
    <d v="2022-11-01T00:00:00"/>
    <x v="0"/>
    <s v="HORAS NORMAIS"/>
    <n v="303.60000000000002"/>
  </r>
  <r>
    <s v="1919 - VALE XEL COMERCIAL DE CAMA MESA E BANHO "/>
    <s v="DANIELA MERCURI SANTOS DE JESUS"/>
    <s v="COSTUREIRA (O)"/>
    <d v="2022-11-01T00:00:00"/>
    <x v="0"/>
    <s v="DIFERENCA DE FERIAS"/>
    <n v="84.8"/>
  </r>
  <r>
    <s v="1919 - VALE XEL COMERCIAL DE CAMA MESA E BANHO "/>
    <s v="DANIELA MERCURI SANTOS DE JESUS"/>
    <s v="COSTUREIRA (O)"/>
    <d v="2022-11-01T00:00:00"/>
    <x v="0"/>
    <s v="SALARIO FAMILIA"/>
    <n v="130"/>
  </r>
  <r>
    <s v="1919 - VALE XEL COMERCIAL DE CAMA MESA E BANHO "/>
    <s v="DANIELA MERCURI SANTOS DE JESUS"/>
    <s v="COSTUREIRA (O)"/>
    <d v="2022-11-01T00:00:00"/>
    <x v="0"/>
    <s v="DIFERENCA DE 1/3 DE FERIAS"/>
    <n v="28.26"/>
  </r>
  <r>
    <s v="1919 - VALE XEL COMERCIAL DE CAMA MESA E BANHO "/>
    <s v="DANIELA MERCURI SANTOS DE JESUS"/>
    <s v="COSTUREIRA (O)"/>
    <d v="2022-11-01T00:00:00"/>
    <x v="0"/>
    <s v="HORAS FERIAS"/>
    <n v="1129.5999999999999"/>
  </r>
  <r>
    <s v="1919 - VALE XEL COMERCIAL DE CAMA MESA E BANHO "/>
    <s v="DANIELA MERCURI SANTOS DE JESUS"/>
    <s v="COSTUREIRA (O)"/>
    <d v="2022-11-01T00:00:00"/>
    <x v="0"/>
    <s v="FERIAS EM DOBRO"/>
    <n v="1129.5999999999999"/>
  </r>
  <r>
    <s v="1919 - VALE XEL COMERCIAL DE CAMA MESA E BANHO "/>
    <s v="DANIELA MERCURI SANTOS DE JESUS"/>
    <s v="COSTUREIRA (O)"/>
    <d v="2022-11-01T00:00:00"/>
    <x v="0"/>
    <s v="1/3 FERIAS EM DOBRO"/>
    <n v="376.54"/>
  </r>
  <r>
    <s v="1919 - VALE XEL COMERCIAL DE CAMA MESA E BANHO "/>
    <s v="DANIELA MERCURI SANTOS DE JESUS"/>
    <s v="COSTUREIRA (O)"/>
    <d v="2022-11-01T00:00:00"/>
    <x v="0"/>
    <s v="DIFERENCA FERIAS EM DOBRO"/>
    <n v="84.8"/>
  </r>
  <r>
    <s v="1919 - VALE XEL COMERCIAL DE CAMA MESA E BANHO "/>
    <s v="DANIELA MERCURI SANTOS DE JESUS"/>
    <s v="COSTUREIRA (O)"/>
    <d v="2022-11-01T00:00:00"/>
    <x v="0"/>
    <s v="DIFERENCA 1/3 FERIAS EM DOBRO"/>
    <n v="28.26"/>
  </r>
  <r>
    <s v="1919 - VALE XEL COMERCIAL DE CAMA MESA E BANHO "/>
    <s v="DANIELA MERCURI SANTOS DE JESUS"/>
    <s v="COSTUREIRA (O)"/>
    <d v="2022-11-01T00:00:00"/>
    <x v="0"/>
    <s v="Salário:"/>
    <n v="1518"/>
  </r>
  <r>
    <s v="1919 - VALE XEL COMERCIAL DE CAMA MESA E BANHO "/>
    <s v="FAGNER OLIVEIRA DOS SANTOS"/>
    <s v="COORDENADOR"/>
    <d v="2022-08-19T00:00:00"/>
    <x v="0"/>
    <s v="HORAS NORMAIS"/>
    <n v="1518"/>
  </r>
  <r>
    <s v="1919 - VALE XEL COMERCIAL DE CAMA MESA E BANHO "/>
    <s v="FAGNER OLIVEIRA DOS SANTOS"/>
    <s v="COORDENADOR"/>
    <d v="2022-08-19T00:00:00"/>
    <x v="0"/>
    <s v="DESC.ADIANT.SALARIAL"/>
    <n v="607.20000000000005"/>
  </r>
  <r>
    <s v="1919 - VALE XEL COMERCIAL DE CAMA MESA E BANHO "/>
    <s v="FAGNER OLIVEIRA DOS SANTOS"/>
    <s v="COORDENADOR"/>
    <d v="2022-08-19T00:00:00"/>
    <x v="0"/>
    <s v="Salário:"/>
    <n v="1518"/>
  </r>
  <r>
    <s v="1919 - VALE XEL COMERCIAL DE CAMA MESA E BANHO "/>
    <s v="GESSICA SOARES DOS SANTOS"/>
    <s v="COSTUREIRA (O)"/>
    <d v="2023-07-03T00:00:00"/>
    <x v="0"/>
    <s v="HORAS NORMAIS"/>
    <n v="1518"/>
  </r>
  <r>
    <s v="1919 - VALE XEL COMERCIAL DE CAMA MESA E BANHO "/>
    <s v="GESSICA SOARES DOS SANTOS"/>
    <s v="COSTUREIRA (O)"/>
    <d v="2023-07-03T00:00:00"/>
    <x v="0"/>
    <s v="DESC.ADIANT.SALARIAL"/>
    <n v="607.20000000000005"/>
  </r>
  <r>
    <s v="1919 - VALE XEL COMERCIAL DE CAMA MESA E BANHO "/>
    <s v="GESSICA SOARES DOS SANTOS"/>
    <s v="COSTUREIRA (O)"/>
    <d v="2023-07-03T00:00:00"/>
    <x v="0"/>
    <s v="Salário:"/>
    <n v="1518"/>
  </r>
  <r>
    <s v="1919 - VALE XEL COMERCIAL DE CAMA MESA E BANHO "/>
    <s v="GINALDO SOARES DOS SANTOS"/>
    <s v="EMBALADOR"/>
    <d v="2022-08-01T00:00:00"/>
    <x v="0"/>
    <s v="HORAS NORMAIS"/>
    <n v="1518"/>
  </r>
  <r>
    <s v="1919 - VALE XEL COMERCIAL DE CAMA MESA E BANHO "/>
    <s v="GINALDO SOARES DOS SANTOS"/>
    <s v="EMBALADOR"/>
    <d v="2022-08-01T00:00:00"/>
    <x v="0"/>
    <s v="HORAS FALTAS DSR"/>
    <n v="50.58"/>
  </r>
  <r>
    <s v="1919 - VALE XEL COMERCIAL DE CAMA MESA E BANHO "/>
    <s v="GINALDO SOARES DOS SANTOS"/>
    <s v="EMBALADOR"/>
    <d v="2022-08-01T00:00:00"/>
    <x v="0"/>
    <s v="DESC.ADIANT.SALARIAL"/>
    <n v="607.20000000000005"/>
  </r>
  <r>
    <s v="1919 - VALE XEL COMERCIAL DE CAMA MESA E BANHO "/>
    <s v="GINALDO SOARES DOS SANTOS"/>
    <s v="EMBALADOR"/>
    <d v="2022-08-01T00:00:00"/>
    <x v="0"/>
    <s v="HORAS FALTAS"/>
    <n v="50.58"/>
  </r>
  <r>
    <s v="1919 - VALE XEL COMERCIAL DE CAMA MESA E BANHO "/>
    <s v="GINALDO SOARES DOS SANTOS"/>
    <s v="EMBALADOR"/>
    <d v="2022-08-01T00:00:00"/>
    <x v="0"/>
    <s v="Salário:"/>
    <n v="1518"/>
  </r>
  <r>
    <s v="1919 - VALE XEL COMERCIAL DE CAMA MESA E BANHO "/>
    <s v="GINIELMA MARIA DOS SANTOS"/>
    <s v="COSTUREIRA (O)"/>
    <d v="2023-07-03T00:00:00"/>
    <x v="0"/>
    <s v="HORAS NORMAIS"/>
    <n v="1518"/>
  </r>
  <r>
    <s v="1919 - VALE XEL COMERCIAL DE CAMA MESA E BANHO "/>
    <s v="GINIELMA MARIA DOS SANTOS"/>
    <s v="COSTUREIRA (O)"/>
    <d v="2023-07-03T00:00:00"/>
    <x v="0"/>
    <s v="SALARIO FAMILIA"/>
    <n v="65"/>
  </r>
  <r>
    <s v="1919 - VALE XEL COMERCIAL DE CAMA MESA E BANHO "/>
    <s v="GINIELMA MARIA DOS SANTOS"/>
    <s v="COSTUREIRA (O)"/>
    <d v="2023-07-03T00:00:00"/>
    <x v="0"/>
    <s v="DESC.ADIANT.SALARIAL"/>
    <n v="607.20000000000005"/>
  </r>
  <r>
    <s v="1919 - VALE XEL COMERCIAL DE CAMA MESA E BANHO "/>
    <s v="GINIELMA MARIA DOS SANTOS"/>
    <s v="COSTUREIRA (O)"/>
    <d v="2023-07-03T00:00:00"/>
    <x v="0"/>
    <s v="Salário:"/>
    <n v="1518"/>
  </r>
  <r>
    <s v="1919 - VALE XEL COMERCIAL DE CAMA MESA E BANHO "/>
    <s v="HELEN CAROLINE BATISTA DOS SANTOS"/>
    <s v="COSTUREIRA (O)"/>
    <d v="2023-07-03T00:00:00"/>
    <x v="0"/>
    <s v="HORAS NORMAIS"/>
    <n v="1518"/>
  </r>
  <r>
    <s v="1919 - VALE XEL COMERCIAL DE CAMA MESA E BANHO "/>
    <s v="HELEN CAROLINE BATISTA DOS SANTOS"/>
    <s v="COSTUREIRA (O)"/>
    <d v="2023-07-03T00:00:00"/>
    <x v="0"/>
    <s v="HORAS FALTAS DSR"/>
    <n v="50.58"/>
  </r>
  <r>
    <s v="1919 - VALE XEL COMERCIAL DE CAMA MESA E BANHO "/>
    <s v="HELEN CAROLINE BATISTA DOS SANTOS"/>
    <s v="COSTUREIRA (O)"/>
    <d v="2023-07-03T00:00:00"/>
    <x v="0"/>
    <s v="DESC.ADIANT.SALARIAL"/>
    <n v="607.20000000000005"/>
  </r>
  <r>
    <s v="1919 - VALE XEL COMERCIAL DE CAMA MESA E BANHO "/>
    <s v="HELEN CAROLINE BATISTA DOS SANTOS"/>
    <s v="COSTUREIRA (O)"/>
    <d v="2023-07-03T00:00:00"/>
    <x v="0"/>
    <s v="HORAS FALTAS"/>
    <n v="202.38"/>
  </r>
  <r>
    <s v="1919 - VALE XEL COMERCIAL DE CAMA MESA E BANHO "/>
    <s v="HELEN CAROLINE BATISTA DOS SANTOS"/>
    <s v="COSTUREIRA (O)"/>
    <d v="2023-07-03T00:00:00"/>
    <x v="0"/>
    <s v="Salário:"/>
    <n v="1518"/>
  </r>
  <r>
    <s v="1919 - VALE XEL COMERCIAL DE CAMA MESA E BANHO "/>
    <s v="JADIEL DE JESUS MIRANDA"/>
    <s v="EMBALADOR"/>
    <d v="2024-04-08T00:00:00"/>
    <x v="0"/>
    <s v="HORAS NORMAIS"/>
    <n v="1518"/>
  </r>
  <r>
    <s v="1919 - VALE XEL COMERCIAL DE CAMA MESA E BANHO "/>
    <s v="JADIEL DE JESUS MIRANDA"/>
    <s v="EMBALADOR"/>
    <d v="2024-04-08T00:00:00"/>
    <x v="0"/>
    <s v="DESC.ADIANT.SALARIAL"/>
    <n v="607.20000000000005"/>
  </r>
  <r>
    <s v="1919 - VALE XEL COMERCIAL DE CAMA MESA E BANHO "/>
    <s v="JADIEL DE JESUS MIRANDA"/>
    <s v="EMBALADOR"/>
    <d v="2024-04-08T00:00:00"/>
    <x v="0"/>
    <s v="Salário:"/>
    <n v="1518"/>
  </r>
  <r>
    <s v="1919 - VALE XEL COMERCIAL DE CAMA MESA E BANHO "/>
    <s v="JOSE CARLOS RIBEIRO DE OLIVEIRA"/>
    <s v="EMBALADOR"/>
    <d v="2022-08-01T00:00:00"/>
    <x v="0"/>
    <s v="HORAS NORMAIS"/>
    <n v="1518"/>
  </r>
  <r>
    <s v="1919 - VALE XEL COMERCIAL DE CAMA MESA E BANHO "/>
    <s v="JOSE CARLOS RIBEIRO DE OLIVEIRA"/>
    <s v="EMBALADOR"/>
    <d v="2022-08-01T00:00:00"/>
    <x v="0"/>
    <s v="SALARIO FAMILIA"/>
    <n v="65"/>
  </r>
  <r>
    <s v="1919 - VALE XEL COMERCIAL DE CAMA MESA E BANHO "/>
    <s v="JOSE CARLOS RIBEIRO DE OLIVEIRA"/>
    <s v="EMBALADOR"/>
    <d v="2022-08-01T00:00:00"/>
    <x v="0"/>
    <s v="DESC.ADIANT.SALARIAL"/>
    <n v="607.20000000000005"/>
  </r>
  <r>
    <s v="1919 - VALE XEL COMERCIAL DE CAMA MESA E BANHO "/>
    <s v="JOSE CARLOS RIBEIRO DE OLIVEIRA"/>
    <s v="EMBALADOR"/>
    <d v="2022-08-01T00:00:00"/>
    <x v="0"/>
    <s v="Salário:"/>
    <n v="1518"/>
  </r>
  <r>
    <s v="1919 - VALE XEL COMERCIAL DE CAMA MESA E BANHO "/>
    <s v="JOSIELMA DE SANTANA NEVES"/>
    <s v="COSTUREIRA"/>
    <d v="2022-08-01T00:00:00"/>
    <x v="0"/>
    <s v="HORAS NORMAIS"/>
    <n v="1518"/>
  </r>
  <r>
    <s v="1919 - VALE XEL COMERCIAL DE CAMA MESA E BANHO "/>
    <s v="JOSIELMA DE SANTANA NEVES"/>
    <s v="COSTUREIRA"/>
    <d v="2022-08-01T00:00:00"/>
    <x v="0"/>
    <s v="SALARIO FAMILIA"/>
    <n v="65"/>
  </r>
  <r>
    <s v="1919 - VALE XEL COMERCIAL DE CAMA MESA E BANHO "/>
    <s v="JOSIELMA DE SANTANA NEVES"/>
    <s v="COSTUREIRA"/>
    <d v="2022-08-01T00:00:00"/>
    <x v="0"/>
    <s v="DESC.ADIANT.SALARIAL"/>
    <n v="607.20000000000005"/>
  </r>
  <r>
    <s v="1919 - VALE XEL COMERCIAL DE CAMA MESA E BANHO "/>
    <s v="JOSIELMA DE SANTANA NEVES"/>
    <s v="COSTUREIRA"/>
    <d v="2022-08-01T00:00:00"/>
    <x v="0"/>
    <s v="Salário:"/>
    <n v="1518"/>
  </r>
  <r>
    <s v="1919 - VALE XEL COMERCIAL DE CAMA MESA E BANHO "/>
    <s v="JULIANA SANTANA SANTOS"/>
    <s v="COSTUREIRA"/>
    <d v="2022-08-01T00:00:00"/>
    <x v="0"/>
    <s v="HORAS NORMAIS"/>
    <n v="1518"/>
  </r>
  <r>
    <s v="1919 - VALE XEL COMERCIAL DE CAMA MESA E BANHO "/>
    <s v="JULIANA SANTANA SANTOS"/>
    <s v="COSTUREIRA"/>
    <d v="2022-08-01T00:00:00"/>
    <x v="0"/>
    <s v="DESC.ADIANT.SALARIAL"/>
    <n v="607.20000000000005"/>
  </r>
  <r>
    <s v="1919 - VALE XEL COMERCIAL DE CAMA MESA E BANHO "/>
    <s v="JULIANA SANTANA SANTOS"/>
    <s v="COSTUREIRA"/>
    <d v="2022-08-01T00:00:00"/>
    <x v="0"/>
    <s v="Salário:"/>
    <n v="1518"/>
  </r>
  <r>
    <s v="1919 - VALE XEL COMERCIAL DE CAMA MESA E BANHO "/>
    <s v="LINCOLN ALVES DOS SANTOS"/>
    <s v="EMBALADOR"/>
    <d v="2022-08-01T00:00:00"/>
    <x v="0"/>
    <s v="HORAS NORMAIS"/>
    <n v="1518"/>
  </r>
  <r>
    <s v="1919 - VALE XEL COMERCIAL DE CAMA MESA E BANHO "/>
    <s v="LINCOLN ALVES DOS SANTOS"/>
    <s v="EMBALADOR"/>
    <d v="2022-08-01T00:00:00"/>
    <x v="0"/>
    <s v="DESC.ADIANT.SALARIAL"/>
    <n v="607.20000000000005"/>
  </r>
  <r>
    <s v="1919 - VALE XEL COMERCIAL DE CAMA MESA E BANHO "/>
    <s v="LINCOLN ALVES DOS SANTOS"/>
    <s v="EMBALADOR"/>
    <d v="2022-08-01T00:00:00"/>
    <x v="0"/>
    <s v="Salário:"/>
    <n v="1518"/>
  </r>
  <r>
    <s v="1919 - VALE XEL COMERCIAL DE CAMA MESA E BANHO "/>
    <s v="LUIDINEIDE RIBEIRO SANTANA SOARES"/>
    <s v="COSTUREIRA"/>
    <d v="2022-08-01T00:00:00"/>
    <x v="0"/>
    <s v="HORAS AFAST.INSS (P/DOENC"/>
    <n v="1467.4"/>
  </r>
  <r>
    <s v="1919 - VALE XEL COMERCIAL DE CAMA MESA E BANHO "/>
    <s v="LUIDINEIDE RIBEIRO SANTANA SOARES"/>
    <s v="COSTUREIRA"/>
    <d v="2022-08-01T00:00:00"/>
    <x v="0"/>
    <s v="HORAS AFAST. P/DOENCA C/DIR.INTEGRAIS"/>
    <n v="50.6"/>
  </r>
  <r>
    <s v="1919 - VALE XEL COMERCIAL DE CAMA MESA E BANHO "/>
    <s v="LUIDINEIDE RIBEIRO SANTANA SOARES"/>
    <s v="COSTUREIRA"/>
    <d v="2022-08-01T00:00:00"/>
    <x v="0"/>
    <s v="SALARIO FAMILIA"/>
    <n v="130"/>
  </r>
  <r>
    <s v="1919 - VALE XEL COMERCIAL DE CAMA MESA E BANHO "/>
    <s v="LUIDINEIDE RIBEIRO SANTANA SOARES"/>
    <s v="COSTUREIRA"/>
    <d v="2022-08-01T00:00:00"/>
    <x v="0"/>
    <s v="DESCONTO HORAS AFASTADAS"/>
    <n v="1467.4"/>
  </r>
  <r>
    <s v="1919 - VALE XEL COMERCIAL DE CAMA MESA E BANHO "/>
    <s v="LUIDINEIDE RIBEIRO SANTANA SOARES"/>
    <s v="COSTUREIRA"/>
    <d v="2022-08-01T00:00:00"/>
    <x v="0"/>
    <s v="Salário:"/>
    <n v="1518"/>
  </r>
  <r>
    <s v="1919 - VALE XEL COMERCIAL DE CAMA MESA E BANHO "/>
    <s v="MARCIA DOS SANTOS COSTA"/>
    <s v="COSTUREIRA"/>
    <d v="2022-08-01T00:00:00"/>
    <x v="0"/>
    <s v="HORAS NORMAIS"/>
    <n v="1518"/>
  </r>
  <r>
    <s v="1919 - VALE XEL COMERCIAL DE CAMA MESA E BANHO "/>
    <s v="MARCIA DOS SANTOS COSTA"/>
    <s v="COSTUREIRA"/>
    <d v="2022-08-01T00:00:00"/>
    <x v="0"/>
    <s v="DESC.ADIANT.SALARIAL"/>
    <n v="607.20000000000005"/>
  </r>
  <r>
    <s v="1919 - VALE XEL COMERCIAL DE CAMA MESA E BANHO "/>
    <s v="MARCIA DOS SANTOS COSTA"/>
    <s v="COSTUREIRA"/>
    <d v="2022-08-01T00:00:00"/>
    <x v="0"/>
    <s v="Salário:"/>
    <n v="1518"/>
  </r>
  <r>
    <s v="1919 - VALE XEL COMERCIAL DE CAMA MESA E BANHO "/>
    <s v="MARIA JOSE SANTOS DE ALMEIDA"/>
    <s v="COSTUREIRA"/>
    <d v="2022-08-01T00:00:00"/>
    <x v="0"/>
    <s v="HORAS NORMAIS"/>
    <n v="1518"/>
  </r>
  <r>
    <s v="1919 - VALE XEL COMERCIAL DE CAMA MESA E BANHO "/>
    <s v="MARIA JOSE SANTOS DE ALMEIDA"/>
    <s v="COSTUREIRA"/>
    <d v="2022-08-01T00:00:00"/>
    <x v="0"/>
    <s v="DESC.ADIANT.SALARIAL"/>
    <n v="607.20000000000005"/>
  </r>
  <r>
    <s v="1919 - VALE XEL COMERCIAL DE CAMA MESA E BANHO "/>
    <s v="MARIA JOSE SANTOS DE ALMEIDA"/>
    <s v="COSTUREIRA"/>
    <d v="2022-08-01T00:00:00"/>
    <x v="0"/>
    <s v="Salário:"/>
    <n v="1518"/>
  </r>
  <r>
    <s v="1919 - VALE XEL COMERCIAL DE CAMA MESA E BANHO "/>
    <s v="RUAN NASCIMENTO PEREIRA SANTOS"/>
    <s v="COSTUREIRA (O)"/>
    <d v="2024-04-12T00:00:00"/>
    <x v="0"/>
    <s v="HORAS NORMAIS"/>
    <n v="1518"/>
  </r>
  <r>
    <s v="1919 - VALE XEL COMERCIAL DE CAMA MESA E BANHO "/>
    <s v="RUAN NASCIMENTO PEREIRA SANTOS"/>
    <s v="COSTUREIRA (O)"/>
    <d v="2024-04-12T00:00:00"/>
    <x v="0"/>
    <s v="DESC.ADIANT.SALARIAL"/>
    <n v="607.20000000000005"/>
  </r>
  <r>
    <s v="1919 - VALE XEL COMERCIAL DE CAMA MESA E BANHO "/>
    <s v="RUAN NASCIMENTO PEREIRA SANTOS"/>
    <s v="COSTUREIRA (O)"/>
    <d v="2024-04-12T00:00:00"/>
    <x v="0"/>
    <s v="Salário:"/>
    <n v="1518"/>
  </r>
  <r>
    <s v="1919 - VALE XEL COMERCIAL DE CAMA MESA E BANHO "/>
    <s v="TAINARA BARBOSA DOS SANTOS"/>
    <s v="COSTUREIRA (O)"/>
    <d v="2023-07-03T00:00:00"/>
    <x v="0"/>
    <s v="HORAS NORMAIS"/>
    <n v="1518"/>
  </r>
  <r>
    <s v="1919 - VALE XEL COMERCIAL DE CAMA MESA E BANHO "/>
    <s v="TAINARA BARBOSA DOS SANTOS"/>
    <s v="COSTUREIRA (O)"/>
    <d v="2023-07-03T00:00:00"/>
    <x v="0"/>
    <s v="HORAS FALTAS DSR"/>
    <n v="34.5"/>
  </r>
  <r>
    <s v="1919 - VALE XEL COMERCIAL DE CAMA MESA E BANHO "/>
    <s v="TAINARA BARBOSA DOS SANTOS"/>
    <s v="COSTUREIRA (O)"/>
    <d v="2023-07-03T00:00:00"/>
    <x v="0"/>
    <s v="DESC.ADIANT.SALARIAL"/>
    <n v="607.20000000000005"/>
  </r>
  <r>
    <s v="1919 - VALE XEL COMERCIAL DE CAMA MESA E BANHO "/>
    <s v="TAINARA BARBOSA DOS SANTOS"/>
    <s v="COSTUREIRA (O)"/>
    <d v="2023-07-03T00:00:00"/>
    <x v="0"/>
    <s v="HORAS FALTAS PARCIAL"/>
    <n v="34.5"/>
  </r>
  <r>
    <s v="1919 - VALE XEL COMERCIAL DE CAMA MESA E BANHO "/>
    <s v="TAINARA BARBOSA DOS SANTOS"/>
    <s v="COSTUREIRA (O)"/>
    <d v="2023-07-03T00:00:00"/>
    <x v="0"/>
    <s v="Salário:"/>
    <n v="1518"/>
  </r>
  <r>
    <s v="1919 - VALE XEL COMERCIAL DE CAMA MESA E BANHO "/>
    <s v="TAIUANA SANTOS SOARES"/>
    <s v="COSTUREIRA (O)"/>
    <d v="2023-07-03T00:00:00"/>
    <x v="0"/>
    <s v="HORAS NORMAIS"/>
    <n v="1518"/>
  </r>
  <r>
    <s v="1919 - VALE XEL COMERCIAL DE CAMA MESA E BANHO "/>
    <s v="TAIUANA SANTOS SOARES"/>
    <s v="COSTUREIRA (O)"/>
    <d v="2023-07-03T00:00:00"/>
    <x v="0"/>
    <s v="HORAS FALTAS DSR"/>
    <n v="50.58"/>
  </r>
  <r>
    <s v="1919 - VALE XEL COMERCIAL DE CAMA MESA E BANHO "/>
    <s v="TAIUANA SANTOS SOARES"/>
    <s v="COSTUREIRA (O)"/>
    <d v="2023-07-03T00:00:00"/>
    <x v="0"/>
    <s v="DESC.ADIANT.SALARIAL"/>
    <n v="607.20000000000005"/>
  </r>
  <r>
    <s v="1919 - VALE XEL COMERCIAL DE CAMA MESA E BANHO "/>
    <s v="TAIUANA SANTOS SOARES"/>
    <s v="COSTUREIRA (O)"/>
    <d v="2023-07-03T00:00:00"/>
    <x v="0"/>
    <s v="HORAS FALTAS"/>
    <n v="50.58"/>
  </r>
  <r>
    <s v="1919 - VALE XEL COMERCIAL DE CAMA MESA E BANHO "/>
    <s v="TAIUANA SANTOS SOARES"/>
    <s v="COSTUREIRA (O)"/>
    <d v="2023-07-03T00:00:00"/>
    <x v="0"/>
    <s v="Salário:"/>
    <n v="1518"/>
  </r>
  <r>
    <s v="1919 - VALE XEL COMERCIAL DE CAMA MESA E BANHO "/>
    <s v="VINICIUS SILVA DOS SANTOS"/>
    <s v="EMBALADOR"/>
    <d v="2022-08-01T00:00:00"/>
    <x v="0"/>
    <s v="HORAS NORMAIS"/>
    <n v="1518"/>
  </r>
  <r>
    <s v="1919 - VALE XEL COMERCIAL DE CAMA MESA E BANHO "/>
    <s v="VINICIUS SILVA DOS SANTOS"/>
    <s v="EMBALADOR"/>
    <d v="2022-08-01T00:00:00"/>
    <x v="0"/>
    <s v="DESC.ADIANT.SALARIAL"/>
    <n v="607.20000000000005"/>
  </r>
  <r>
    <s v="1919 - VALE XEL COMERCIAL DE CAMA MESA E BANHO "/>
    <s v="VINICIUS SILVA DOS SANTOS"/>
    <s v="EMBALADOR"/>
    <d v="2022-08-01T00:00:00"/>
    <x v="0"/>
    <s v="Salário:"/>
    <n v="1518"/>
  </r>
  <r>
    <s v="2435 - PSG IMPORTACAO E DISTRIBUICAO TEXTIL LTD"/>
    <s v="GILBERTO DOS SANTOS"/>
    <s v="SUPERVISOR DE VENDAS"/>
    <d v="2023-04-01T00:00:00"/>
    <x v="0"/>
    <s v="HORAS NORMAIS"/>
    <n v="1913.64"/>
  </r>
  <r>
    <s v="2435 - PSG IMPORTACAO E DISTRIBUICAO TEXTIL LTD"/>
    <s v="GILBERTO DOS SANTOS"/>
    <s v="SUPERVISOR DE VENDAS"/>
    <d v="2023-04-01T00:00:00"/>
    <x v="0"/>
    <s v="HORAS AFAST. P/DOENCA C/DIR.INTEGRAIS"/>
    <n v="1913.64"/>
  </r>
  <r>
    <s v="2435 - PSG IMPORTACAO E DISTRIBUICAO TEXTIL LTD"/>
    <s v="GILBERTO DOS SANTOS"/>
    <s v="SUPERVISOR DE VENDAS"/>
    <d v="2023-04-01T00:00:00"/>
    <x v="0"/>
    <s v="DESC.ADIANT.SALARIAL"/>
    <n v="1750"/>
  </r>
  <r>
    <s v="2435 - PSG IMPORTACAO E DISTRIBUICAO TEXTIL LTD"/>
    <s v="GILBERTO DOS SANTOS"/>
    <s v="SUPERVISOR DE VENDAS"/>
    <d v="2023-04-01T00:00:00"/>
    <x v="0"/>
    <s v="DESCONTO PLANO DE SAÚDE"/>
    <n v="864.64"/>
  </r>
  <r>
    <s v="2435 - PSG IMPORTACAO E DISTRIBUICAO TEXTIL LTD"/>
    <s v="GILBERTO DOS SANTOS"/>
    <s v="SUPERVISOR DE VENDAS"/>
    <d v="2023-04-01T00:00:00"/>
    <x v="0"/>
    <s v="Salário:"/>
    <n v="3827.28"/>
  </r>
  <r>
    <s v="2435 - PSG IMPORTACAO E DISTRIBUICAO TEXTIL LTD"/>
    <s v="IVONISE CARVALHO DE JESUS"/>
    <s v="SERVICOS GERAIS"/>
    <d v="2023-12-22T00:00:00"/>
    <x v="0"/>
    <s v="HORAS NORMAIS"/>
    <n v="1081.3599999999999"/>
  </r>
  <r>
    <s v="2435 - PSG IMPORTACAO E DISTRIBUICAO TEXTIL LTD"/>
    <s v="IVONISE CARVALHO DE JESUS"/>
    <s v="SERVICOS GERAIS"/>
    <d v="2023-12-22T00:00:00"/>
    <x v="0"/>
    <s v="DESC.ADIANT.SALARIAL"/>
    <n v="432.54"/>
  </r>
  <r>
    <s v="2435 - PSG IMPORTACAO E DISTRIBUICAO TEXTIL LTD"/>
    <s v="IVONISE CARVALHO DE JESUS"/>
    <s v="SERVICOS GERAIS"/>
    <d v="2023-12-22T00:00:00"/>
    <x v="0"/>
    <s v="Salário:"/>
    <n v="1081.3599999999999"/>
  </r>
  <r>
    <s v="2435 - PSG IMPORTACAO E DISTRIBUICAO TEXTIL LTD"/>
    <s v="JOELMA SILVA SANTOS"/>
    <s v="CONTROLLER"/>
    <d v="2021-10-26T00:00:00"/>
    <x v="0"/>
    <s v="HORAS NORMAIS"/>
    <n v="4794.49"/>
  </r>
  <r>
    <s v="2435 - PSG IMPORTACAO E DISTRIBUICAO TEXTIL LTD"/>
    <s v="JOELMA SILVA SANTOS"/>
    <s v="CONTROLLER"/>
    <d v="2021-10-26T00:00:00"/>
    <x v="0"/>
    <s v="TRIENIO SECOFS"/>
    <n v="239.72"/>
  </r>
  <r>
    <s v="2435 - PSG IMPORTACAO E DISTRIBUICAO TEXTIL LTD"/>
    <s v="JOELMA SILVA SANTOS"/>
    <s v="CONTROLLER"/>
    <d v="2021-10-26T00:00:00"/>
    <x v="0"/>
    <s v="VALES"/>
    <n v="243"/>
  </r>
  <r>
    <s v="2435 - PSG IMPORTACAO E DISTRIBUICAO TEXTIL LTD"/>
    <s v="JOELMA SILVA SANTOS"/>
    <s v="CONTROLLER"/>
    <d v="2021-10-26T00:00:00"/>
    <x v="0"/>
    <s v="IMPOSTO DE RENDA"/>
    <n v="11.49"/>
  </r>
  <r>
    <s v="2435 - PSG IMPORTACAO E DISTRIBUICAO TEXTIL LTD"/>
    <s v="JOELMA SILVA SANTOS"/>
    <s v="CONTROLLER"/>
    <d v="2021-10-26T00:00:00"/>
    <x v="0"/>
    <s v="DESC.ADIANT.SALARIAL"/>
    <n v="1917.8"/>
  </r>
  <r>
    <s v="2435 - PSG IMPORTACAO E DISTRIBUICAO TEXTIL LTD"/>
    <s v="JOELMA SILVA SANTOS"/>
    <s v="CONTROLLER"/>
    <d v="2021-10-26T00:00:00"/>
    <x v="0"/>
    <s v="Salário:"/>
    <n v="4794.49"/>
  </r>
  <r>
    <s v="2435 - PSG IMPORTACAO E DISTRIBUICAO TEXTIL LTD"/>
    <s v="LAVINIA REIS DE LIMA"/>
    <s v="COORDENADOR ADMINISTRATIVO "/>
    <d v="2023-10-17T00:00:00"/>
    <x v="0"/>
    <s v="HORAS NORMAIS"/>
    <n v="3165"/>
  </r>
  <r>
    <s v="2435 - PSG IMPORTACAO E DISTRIBUICAO TEXTIL LTD"/>
    <s v="LAVINIA REIS DE LIMA"/>
    <s v="COORDENADOR ADMINISTRATIVO "/>
    <d v="2023-10-17T00:00:00"/>
    <x v="0"/>
    <s v="DESC.ADIANT.SALARIAL"/>
    <n v="1266"/>
  </r>
  <r>
    <s v="2435 - PSG IMPORTACAO E DISTRIBUICAO TEXTIL LTD"/>
    <s v="LAVINIA REIS DE LIMA"/>
    <s v="COORDENADOR ADMINISTRATIVO "/>
    <d v="2023-10-17T00:00:00"/>
    <x v="0"/>
    <s v="Salário:"/>
    <n v="3165"/>
  </r>
  <r>
    <s v="2435 - PSG IMPORTACAO E DISTRIBUICAO TEXTIL LTD"/>
    <s v="MIGUEL NASCIMENTO DE JESUS"/>
    <s v="SERVICOS GERAIS"/>
    <d v="2021-10-01T00:00:00"/>
    <x v="0"/>
    <s v="HORAS NORMAIS"/>
    <n v="1660"/>
  </r>
  <r>
    <s v="2435 - PSG IMPORTACAO E DISTRIBUICAO TEXTIL LTD"/>
    <s v="MIGUEL NASCIMENTO DE JESUS"/>
    <s v="SERVICOS GERAIS"/>
    <d v="2021-10-01T00:00:00"/>
    <x v="0"/>
    <s v="TRIENIO SECOFS"/>
    <n v="83"/>
  </r>
  <r>
    <s v="2435 - PSG IMPORTACAO E DISTRIBUICAO TEXTIL LTD"/>
    <s v="MIGUEL NASCIMENTO DE JESUS"/>
    <s v="SERVICOS GERAIS"/>
    <d v="2021-10-01T00:00:00"/>
    <x v="0"/>
    <s v="DESC.ADIANT.SALARIAL"/>
    <n v="664"/>
  </r>
  <r>
    <s v="2435 - PSG IMPORTACAO E DISTRIBUICAO TEXTIL LTD"/>
    <s v="MIGUEL NASCIMENTO DE JESUS"/>
    <s v="SERVICOS GERAIS"/>
    <d v="2021-10-01T00:00:00"/>
    <x v="0"/>
    <s v="Salário:"/>
    <n v="1660"/>
  </r>
  <r>
    <s v="FENIX COML DE CAMA MESA E BANHO LTDA"/>
    <s v="ALDA COUTINHO DA SILVA"/>
    <s v="VENDEDOR(A)"/>
    <d v="2018-11-28T00:00:00"/>
    <x v="4"/>
    <s v="Trienio  5%"/>
    <n v="166"/>
  </r>
  <r>
    <s v="FENIX COML DE CAMA MESA E BANHO LTDA"/>
    <s v="ALDA COUTINHO DA SILVA"/>
    <s v="VENDEDOR(A)"/>
    <d v="2018-11-28T00:00:00"/>
    <x v="4"/>
    <s v="Adiantamento Salarial"/>
    <n v="664"/>
  </r>
  <r>
    <s v="FENIX COML DE CAMA MESA E BANHO LTDA"/>
    <s v="ALDA COUTINHO DA SILVA"/>
    <s v="VENDEDOR(A)"/>
    <d v="2018-11-28T00:00:00"/>
    <x v="4"/>
    <s v="Salario Total"/>
    <n v="1660"/>
  </r>
  <r>
    <s v="FENIX COML DE CAMA MESA E BANHO LTDA"/>
    <s v="ALDA COUTINHO DA SILVA"/>
    <s v="VENDEDOR(A)"/>
    <d v="2018-11-28T00:00:00"/>
    <x v="4"/>
    <s v="Salário Base"/>
    <n v="1660"/>
  </r>
  <r>
    <s v="FENIX COML DE CAMA MESA E BANHO LTDA"/>
    <s v="EDINEA SOUZA DA CONCEICAO DE AZEVEDO"/>
    <s v="CAIXA"/>
    <d v="2018-12-10T00:00:00"/>
    <x v="4"/>
    <s v="Quebra de Caixa   5%"/>
    <n v="83"/>
  </r>
  <r>
    <s v="FENIX COML DE CAMA MESA E BANHO LTDA"/>
    <s v="EDINEA SOUZA DA CONCEICAO DE AZEVEDO"/>
    <s v="CAIXA"/>
    <d v="2018-12-10T00:00:00"/>
    <x v="4"/>
    <s v="Trienio  5%"/>
    <n v="166"/>
  </r>
  <r>
    <s v="FENIX COML DE CAMA MESA E BANHO LTDA"/>
    <s v="EDINEA SOUZA DA CONCEICAO DE AZEVEDO"/>
    <s v="CAIXA"/>
    <d v="2018-12-10T00:00:00"/>
    <x v="4"/>
    <s v="Adiantamento Salarial"/>
    <n v="664"/>
  </r>
  <r>
    <s v="FENIX COML DE CAMA MESA E BANHO LTDA"/>
    <s v="EDINEA SOUZA DA CONCEICAO DE AZEVEDO"/>
    <s v="CAIXA"/>
    <d v="2018-12-10T00:00:00"/>
    <x v="4"/>
    <s v="Vale Transporte"/>
    <n v="99.6"/>
  </r>
  <r>
    <s v="FENIX COML DE CAMA MESA E BANHO LTDA"/>
    <s v="EDINEA SOUZA DA CONCEICAO DE AZEVEDO"/>
    <s v="CAIXA"/>
    <d v="2018-12-10T00:00:00"/>
    <x v="4"/>
    <s v="Salario Total"/>
    <n v="1660"/>
  </r>
  <r>
    <s v="FENIX COML DE CAMA MESA E BANHO LTDA"/>
    <s v="EDINEA SOUZA DA CONCEICAO DE AZEVEDO"/>
    <s v="CAIXA"/>
    <d v="2018-12-10T00:00:00"/>
    <x v="4"/>
    <s v="Salário Base"/>
    <n v="1660"/>
  </r>
  <r>
    <s v="FENIX COML DE CAMA MESA E BANHO LTDA"/>
    <s v="EDISLEY DA CONCEICAO"/>
    <s v="FISCAL DE LOJA"/>
    <d v="2011-01-03T00:00:00"/>
    <x v="4"/>
    <s v="Trienio  5%"/>
    <n v="249"/>
  </r>
  <r>
    <s v="FENIX COML DE CAMA MESA E BANHO LTDA"/>
    <s v="EDISLEY DA CONCEICAO"/>
    <s v="FISCAL DE LOJA"/>
    <d v="2011-01-03T00:00:00"/>
    <x v="4"/>
    <s v="Adiantamento Salarial"/>
    <n v="664"/>
  </r>
  <r>
    <s v="FENIX COML DE CAMA MESA E BANHO LTDA"/>
    <s v="EDISLEY DA CONCEICAO"/>
    <s v="FISCAL DE LOJA"/>
    <d v="2011-01-03T00:00:00"/>
    <x v="4"/>
    <s v="Salario Total"/>
    <n v="1660"/>
  </r>
  <r>
    <s v="FENIX COML DE CAMA MESA E BANHO LTDA"/>
    <s v="EDISLEY DA CONCEICAO"/>
    <s v="FISCAL DE LOJA"/>
    <d v="2011-01-03T00:00:00"/>
    <x v="4"/>
    <s v="Salário Base"/>
    <n v="1660"/>
  </r>
  <r>
    <s v="FENIX COML DE CAMA MESA E BANHO LTDA"/>
    <s v="EDISLEY DA CONCEICAO"/>
    <s v="FISCAL DE LOJA"/>
    <d v="2011-01-03T00:00:00"/>
    <x v="4"/>
    <s v="Salario Total"/>
    <n v="1660"/>
  </r>
  <r>
    <s v="FENIX COML DE CAMA MESA E BANHO LTDA"/>
    <s v="GABRIELE SOUZA OLIVEIRA"/>
    <s v="VENDEDOR(A)"/>
    <d v="2018-05-18T00:00:00"/>
    <x v="4"/>
    <s v="Trienio  5%"/>
    <n v="166"/>
  </r>
  <r>
    <s v="FENIX COML DE CAMA MESA E BANHO LTDA"/>
    <s v="GABRIELE SOUZA OLIVEIRA"/>
    <s v="VENDEDOR(A)"/>
    <d v="2018-05-18T00:00:00"/>
    <x v="4"/>
    <s v="Adiantamento Salarial"/>
    <n v="664"/>
  </r>
  <r>
    <s v="FENIX COML DE CAMA MESA E BANHO LTDA"/>
    <s v="GABRIELE SOUZA OLIVEIRA"/>
    <s v="VENDEDOR(A)"/>
    <d v="2018-05-18T00:00:00"/>
    <x v="4"/>
    <s v="Vale Transporte"/>
    <n v="99.6"/>
  </r>
  <r>
    <s v="FENIX COML DE CAMA MESA E BANHO LTDA"/>
    <s v="GABRIELE SOUZA OLIVEIRA"/>
    <s v="VENDEDOR(A)"/>
    <d v="2018-05-18T00:00:00"/>
    <x v="4"/>
    <s v="8Salario Total"/>
    <n v="1660"/>
  </r>
  <r>
    <s v="FENIX COML DE CAMA MESA E BANHO LTDA"/>
    <s v="GABRIELE SOUZA OLIVEIRA"/>
    <s v="VENDEDOR(A)"/>
    <d v="2018-05-18T00:00:00"/>
    <x v="4"/>
    <s v="Salário Base"/>
    <n v="1660"/>
  </r>
  <r>
    <s v="FENIX COML DE CAMA MESA E BANHO LTDA"/>
    <s v="JILMAN DOS SANTOS"/>
    <s v="Sócio"/>
    <d v="2013-03-12T00:00:00"/>
    <x v="4"/>
    <s v="INSS"/>
    <n v="166.98"/>
  </r>
  <r>
    <s v="FENIX COML DE CAMA MESA E BANHO LTDA"/>
    <s v="jorge raimundo oliveira da silva"/>
    <s v="Sócio"/>
    <d v="2011-11-01T00:00:00"/>
    <x v="4"/>
    <s v="INSS"/>
    <n v="166.98"/>
  </r>
  <r>
    <s v="FENIX COML DE CAMA MESA E BANHO LTDA"/>
    <s v="KESSIA DA COSTA SILVA"/>
    <s v="CAIXA"/>
    <d v="2022-04-12T00:00:00"/>
    <x v="4"/>
    <s v="Quebra de Caixa   5%"/>
    <n v="83"/>
  </r>
  <r>
    <s v="FENIX COML DE CAMA MESA E BANHO LTDA"/>
    <s v="KESSIA DA COSTA SILVA"/>
    <s v="CAIXA"/>
    <d v="2022-04-12T00:00:00"/>
    <x v="4"/>
    <s v="Adiantamento Salarial"/>
    <n v="664"/>
  </r>
  <r>
    <s v="FENIX COML DE CAMA MESA E BANHO LTDA"/>
    <s v="KESSIA DA COSTA SILVA"/>
    <s v="CAIXA"/>
    <d v="2022-04-12T00:00:00"/>
    <x v="4"/>
    <s v="Salario Total"/>
    <n v="1660"/>
  </r>
  <r>
    <s v="FENIX COML DE CAMA MESA E BANHO LTDA"/>
    <s v="KESSIA DA COSTA SILVA"/>
    <s v="CAIXA"/>
    <d v="2022-04-12T00:00:00"/>
    <x v="4"/>
    <s v="Salário Base"/>
    <n v="1660"/>
  </r>
  <r>
    <s v="FENIX COML DE CAMA MESA E BANHO LTDA"/>
    <s v="KESSIA DA COSTA SILVA"/>
    <s v="CAIXA"/>
    <d v="2022-04-12T00:00:00"/>
    <x v="4"/>
    <s v="Salário Família"/>
    <n v="65"/>
  </r>
  <r>
    <s v="FENIX COML DE CAMA MESA E BANHO LTDA"/>
    <s v="NORMA NEIDE SOUZA DE JESUS"/>
    <s v="GERENTE JUNIOR"/>
    <d v="2018-09-06T00:00:00"/>
    <x v="4"/>
    <s v="Trienio  5%"/>
    <n v="261.52999999999997"/>
  </r>
  <r>
    <s v="FENIX COML DE CAMA MESA E BANHO LTDA"/>
    <s v="NORMA NEIDE SOUZA DE JESUS"/>
    <s v="GERENTE JUNIOR"/>
    <d v="2018-09-06T00:00:00"/>
    <x v="4"/>
    <s v="Adiantamento Salarial"/>
    <n v="1046.0999999999999"/>
  </r>
  <r>
    <s v="FENIX COML DE CAMA MESA E BANHO LTDA"/>
    <s v="NORMA NEIDE SOUZA DE JESUS"/>
    <s v="GERENTE JUNIOR"/>
    <d v="2018-09-06T00:00:00"/>
    <x v="4"/>
    <s v="IRRF Folha"/>
    <n v="32.19"/>
  </r>
  <r>
    <s v="FENIX COML DE CAMA MESA E BANHO LTDA"/>
    <s v="NORMA NEIDE SOUZA DE JESUS"/>
    <s v="GERENTE JUNIOR"/>
    <d v="2018-09-06T00:00:00"/>
    <x v="4"/>
    <s v="1Salario Total8"/>
    <n v="2615.2600000000002"/>
  </r>
  <r>
    <s v="FENIX COML DE CAMA MESA E BANHO LTDA"/>
    <s v="NORMA NEIDE SOUZA DE JESUS"/>
    <s v="GERENTE JUNIOR"/>
    <d v="2018-09-06T00:00:00"/>
    <x v="4"/>
    <s v="Salário Base"/>
    <n v="2615.2600000000002"/>
  </r>
  <r>
    <s v="FENIX COML DE CAMA MESA E BANHO LTDA"/>
    <s v="SIDNEA SOARES PINTO"/>
    <s v="CONFERENTE"/>
    <m/>
    <x v="4"/>
    <s v="Salario Total"/>
    <n v="1660"/>
  </r>
  <r>
    <s v="GENESIS COML CAMA MESA E BANHO LTDA"/>
    <s v="ADRIANE AMORIM  RIBEIRO"/>
    <s v="VENDEDOR(A)"/>
    <d v="2011-02-01T00:00:00"/>
    <x v="4"/>
    <s v="Trienio  5%"/>
    <n v="249"/>
  </r>
  <r>
    <s v="GENESIS COML CAMA MESA E BANHO LTDA"/>
    <s v="ADRIANE AMORIM  RIBEIRO"/>
    <s v="VENDEDOR(A)"/>
    <d v="2011-02-01T00:00:00"/>
    <x v="4"/>
    <s v="Adiantamento Salarial"/>
    <n v="664"/>
  </r>
  <r>
    <s v="GENESIS COML CAMA MESA E BANHO LTDA"/>
    <s v="ADRIANE AMORIM  RIBEIRO"/>
    <s v="VENDEDOR(A)"/>
    <d v="2011-02-01T00:00:00"/>
    <x v="4"/>
    <s v="Vale Transporte"/>
    <n v="99.6"/>
  </r>
  <r>
    <s v="GENESIS COML CAMA MESA E BANHO LTDA"/>
    <s v="ADRIANE AMORIM  RIBEIRO"/>
    <s v="VENDEDOR(A)"/>
    <d v="2011-02-01T00:00:00"/>
    <x v="4"/>
    <s v="Salario Total"/>
    <n v="1660"/>
  </r>
  <r>
    <s v="GENESIS COML CAMA MESA E BANHO LTDA"/>
    <s v="ADRIANE AMORIM  RIBEIRO"/>
    <s v="VENDEDOR(A)"/>
    <d v="2011-02-01T00:00:00"/>
    <x v="4"/>
    <s v="Salário Base"/>
    <n v="1660"/>
  </r>
  <r>
    <s v="GENESIS COML CAMA MESA E BANHO LTDA"/>
    <s v="AILTON LUCENA"/>
    <s v="GERENTE DE VENDAS"/>
    <d v="2006-12-01T00:00:00"/>
    <x v="4"/>
    <s v="Trienio  5%"/>
    <n v="644.51"/>
  </r>
  <r>
    <s v="GENESIS COML CAMA MESA E BANHO LTDA"/>
    <s v="AILTON LUCENA"/>
    <s v="GERENTE DE VENDAS"/>
    <d v="2006-12-01T00:00:00"/>
    <x v="4"/>
    <s v="Adiantamento Salarial"/>
    <n v="1718.71"/>
  </r>
  <r>
    <s v="GENESIS COML CAMA MESA E BANHO LTDA"/>
    <s v="AILTON LUCENA"/>
    <s v="GERENTE DE VENDAS"/>
    <d v="2006-12-01T00:00:00"/>
    <x v="4"/>
    <s v="IRRF Folha"/>
    <n v="446.39"/>
  </r>
  <r>
    <s v="GENESIS COML CAMA MESA E BANHO LTDA"/>
    <s v="AILTON LUCENA"/>
    <s v="GERENTE DE VENDAS"/>
    <d v="2006-12-01T00:00:00"/>
    <x v="4"/>
    <s v="Salario Total"/>
    <n v="4296.7700000000004"/>
  </r>
  <r>
    <s v="GENESIS COML CAMA MESA E BANHO LTDA"/>
    <s v="AILTON LUCENA"/>
    <s v="GERENTE DE VENDAS"/>
    <d v="2006-12-01T00:00:00"/>
    <x v="4"/>
    <s v="Salário Base"/>
    <n v="4296.7700000000004"/>
  </r>
  <r>
    <s v="GENESIS COML CAMA MESA E BANHO LTDA"/>
    <s v="CRISTIANE DE SANTANA BRANDAO FARIAS"/>
    <s v="CAIXA"/>
    <d v="2014-10-20T00:00:00"/>
    <x v="4"/>
    <s v="Quebra de Caixa   5%"/>
    <n v="83"/>
  </r>
  <r>
    <s v="GENESIS COML CAMA MESA E BANHO LTDA"/>
    <s v="CRISTIANE DE SANTANA BRANDAO FARIAS"/>
    <s v="CAIXA"/>
    <d v="2014-10-20T00:00:00"/>
    <x v="4"/>
    <s v="Trienio  5%"/>
    <n v="249"/>
  </r>
  <r>
    <s v="GENESIS COML CAMA MESA E BANHO LTDA"/>
    <s v="CRISTIANE DE SANTANA BRANDAO FARIAS"/>
    <s v="CAIXA"/>
    <d v="2014-10-20T00:00:00"/>
    <x v="4"/>
    <s v="Adiantamento Salarial"/>
    <n v="664"/>
  </r>
  <r>
    <s v="GENESIS COML CAMA MESA E BANHO LTDA"/>
    <s v="CRISTIANE DE SANTANA BRANDAO FARIAS"/>
    <s v="CAIXA"/>
    <d v="2014-10-20T00:00:00"/>
    <x v="4"/>
    <s v="Salario Total"/>
    <n v="1660"/>
  </r>
  <r>
    <s v="GENESIS COML CAMA MESA E BANHO LTDA"/>
    <s v="CRISTIANE DE SANTANA BRANDAO FARIAS"/>
    <s v="CAIXA"/>
    <d v="2014-10-20T00:00:00"/>
    <x v="4"/>
    <s v="Salário Base"/>
    <n v="1660"/>
  </r>
  <r>
    <s v="GENESIS COML CAMA MESA E BANHO LTDA"/>
    <s v="CRISTIANE DE SANTANA BRANDAO FARIAS"/>
    <s v="CAIXA"/>
    <d v="2014-10-20T00:00:00"/>
    <x v="4"/>
    <s v="Salario Total"/>
    <n v="1660"/>
  </r>
  <r>
    <s v="GENESIS COML CAMA MESA E BANHO LTDA"/>
    <s v="GILBERTO DOS SANTOS"/>
    <s v="Sócio"/>
    <d v="2005-02-22T00:00:00"/>
    <x v="4"/>
    <s v="INSS"/>
    <n v="166.98"/>
  </r>
  <r>
    <s v="GENESIS COML CAMA MESA E BANHO LTDA"/>
    <s v="GILBERTO DOS SANTOS"/>
    <s v="Sócio"/>
    <d v="2005-02-22T00:00:00"/>
    <x v="4"/>
    <s v="Salario Total"/>
    <m/>
  </r>
  <r>
    <s v="GENESIS COML CAMA MESA E BANHO LTDA"/>
    <s v="IRACEMA DE ALMEIDA E SILVA"/>
    <s v="GERENTE DE VENDAS"/>
    <d v="2008-06-02T00:00:00"/>
    <x v="4"/>
    <s v="Trienio  5%"/>
    <n v="540.6"/>
  </r>
  <r>
    <s v="GENESIS COML CAMA MESA E BANHO LTDA"/>
    <s v="IRACEMA DE ALMEIDA E SILVA"/>
    <s v="GERENTE DE VENDAS"/>
    <d v="2008-06-02T00:00:00"/>
    <x v="4"/>
    <s v="Adiantamento Salarial"/>
    <n v="1441.61"/>
  </r>
  <r>
    <s v="GENESIS COML CAMA MESA E BANHO LTDA"/>
    <s v="IRACEMA DE ALMEIDA E SILVA"/>
    <s v="GERENTE DE VENDAS"/>
    <d v="2008-06-02T00:00:00"/>
    <x v="4"/>
    <s v="Plano Odontologico + Dependentes"/>
    <n v="113.36"/>
  </r>
  <r>
    <s v="GENESIS COML CAMA MESA E BANHO LTDA"/>
    <s v="IRACEMA DE ALMEIDA E SILVA"/>
    <s v="GERENTE DE VENDAS"/>
    <d v="2008-06-02T00:00:00"/>
    <x v="4"/>
    <s v="IRRF Folha"/>
    <n v="180.45"/>
  </r>
  <r>
    <s v="GENESIS COML CAMA MESA E BANHO LTDA"/>
    <s v="IRACEMA DE ALMEIDA E SILVA"/>
    <s v="GERENTE DE VENDAS"/>
    <d v="2008-06-02T00:00:00"/>
    <x v="4"/>
    <s v="Salario Total"/>
    <n v="3604.02"/>
  </r>
  <r>
    <s v="GENESIS COML CAMA MESA E BANHO LTDA"/>
    <s v="IRACEMA DE ALMEIDA E SILVA"/>
    <s v="GERENTE DE VENDAS"/>
    <d v="2008-06-02T00:00:00"/>
    <x v="4"/>
    <s v="Salário Base"/>
    <n v="3604.02"/>
  </r>
  <r>
    <s v="GENESIS COML CAMA MESA E BANHO LTDA"/>
    <s v="JACIONETE DOS SANTOS  MIRANDA"/>
    <s v="VENDEDOR(A)"/>
    <d v="2007-09-01T00:00:00"/>
    <x v="4"/>
    <s v="Trienio  5%"/>
    <n v="249"/>
  </r>
  <r>
    <s v="GENESIS COML CAMA MESA E BANHO LTDA"/>
    <s v="JACIONETE DOS SANTOS  MIRANDA"/>
    <s v="VENDEDOR(A)"/>
    <d v="2007-09-01T00:00:00"/>
    <x v="4"/>
    <s v="Adiantamento Salarial"/>
    <n v="664"/>
  </r>
  <r>
    <s v="GENESIS COML CAMA MESA E BANHO LTDA"/>
    <s v="JACIONETE DOS SANTOS  MIRANDA"/>
    <s v="VENDEDOR(A)"/>
    <d v="2007-09-01T00:00:00"/>
    <x v="4"/>
    <s v="Salario Total"/>
    <n v="1660"/>
  </r>
  <r>
    <s v="GENESIS COML CAMA MESA E BANHO LTDA"/>
    <s v="JACIONETE DOS SANTOS  MIRANDA"/>
    <s v="VENDEDOR(A)"/>
    <d v="2007-09-01T00:00:00"/>
    <x v="4"/>
    <s v="Salário Base"/>
    <n v="1660"/>
  </r>
  <r>
    <s v="GENESIS COML CAMA MESA E BANHO LTDA"/>
    <s v="JACIONETE DOS SANTOS  MIRANDA"/>
    <s v="VENDEDOR(A)"/>
    <d v="2007-09-01T00:00:00"/>
    <x v="4"/>
    <s v="Vale Transporte"/>
    <n v="99.6"/>
  </r>
  <r>
    <s v="GENESIS COML CAMA MESA E BANHO LTDA"/>
    <s v="JACIONETE DOS SANTOS  MIRANDA"/>
    <s v="VENDEDOR(A)"/>
    <d v="2007-09-01T00:00:00"/>
    <x v="4"/>
    <s v="Salario Total"/>
    <n v="1660"/>
  </r>
  <r>
    <s v="GENESIS COML CAMA MESA E BANHO LTDA"/>
    <s v="JANEIDE SANTANA DOS REIS"/>
    <s v="VENDEDOR(A)"/>
    <d v="2022-10-25T00:00:00"/>
    <x v="4"/>
    <s v="Adiantamento Salarial"/>
    <n v="664"/>
  </r>
  <r>
    <s v="GENESIS COML CAMA MESA E BANHO LTDA"/>
    <s v="JANEIDE SANTANA DOS REIS"/>
    <s v="VENDEDOR(A)"/>
    <d v="2022-10-25T00:00:00"/>
    <x v="4"/>
    <s v="Vale Transporte"/>
    <n v="99.6"/>
  </r>
  <r>
    <s v="GENESIS COML CAMA MESA E BANHO LTDA"/>
    <s v="JANEIDE SANTANA DOS REIS"/>
    <s v="VENDEDOR(A)"/>
    <d v="2022-10-25T00:00:00"/>
    <x v="4"/>
    <s v="Salario Total"/>
    <n v="1660"/>
  </r>
  <r>
    <s v="GENESIS COML CAMA MESA E BANHO LTDA"/>
    <s v="JANEIDE SANTANA DOS REIS"/>
    <s v="VENDEDOR(A)"/>
    <d v="2022-10-25T00:00:00"/>
    <x v="4"/>
    <s v="Salário Base"/>
    <n v="1660"/>
  </r>
  <r>
    <s v="GENESIS COML CAMA MESA E BANHO LTDA"/>
    <s v="JANEIDE SANTANA DOS REIS"/>
    <s v="VENDEDOR(A)"/>
    <d v="2022-10-25T00:00:00"/>
    <x v="4"/>
    <s v="Salário Família"/>
    <n v="65"/>
  </r>
  <r>
    <s v="GENESIS COML CAMA MESA E BANHO LTDA"/>
    <s v="JENALDO ALVES DO NASCIMENTO"/>
    <s v="GERENTE FINANCEIRO"/>
    <d v="2009-07-01T00:00:00"/>
    <x v="4"/>
    <s v="Trienio  5%"/>
    <n v="871.25"/>
  </r>
  <r>
    <s v="GENESIS COML CAMA MESA E BANHO LTDA"/>
    <s v="JENALDO ALVES DO NASCIMENTO"/>
    <s v="GERENTE FINANCEIRO"/>
    <d v="2009-07-01T00:00:00"/>
    <x v="4"/>
    <s v="Adiantamento Salarial"/>
    <n v="2904.19"/>
  </r>
  <r>
    <s v="GENESIS COML CAMA MESA E BANHO LTDA"/>
    <s v="JENALDO ALVES DO NASCIMENTO"/>
    <s v="GERENTE FINANCEIRO"/>
    <d v="2009-07-01T00:00:00"/>
    <x v="4"/>
    <s v="IRRF Folha"/>
    <n v="899.62"/>
  </r>
  <r>
    <s v="GENESIS COML CAMA MESA E BANHO LTDA"/>
    <s v="JENALDO ALVES DO NASCIMENTO"/>
    <s v="GERENTE FINANCEIRO"/>
    <d v="2009-07-01T00:00:00"/>
    <x v="4"/>
    <s v="181"/>
    <n v="5808.37"/>
  </r>
  <r>
    <s v="GENESIS COML CAMA MESA E BANHO LTDA"/>
    <s v="JENALDO ALVES DO NASCIMENTO"/>
    <s v="GERENTE FINANCEIRO"/>
    <d v="2009-07-01T00:00:00"/>
    <x v="4"/>
    <s v="Salário Base"/>
    <n v="5808.37"/>
  </r>
  <r>
    <s v="GENESIS COML CAMA MESA E BANHO LTDA"/>
    <s v="JENALDO ALVES DO NASCIMENTO"/>
    <s v="GERENTE FINANCEIRO"/>
    <d v="2009-07-01T00:00:00"/>
    <x v="4"/>
    <s v="Salario Total"/>
    <n v="5808.37"/>
  </r>
  <r>
    <s v="GENESIS COML CAMA MESA E BANHO LTDA"/>
    <s v="jorge raimundo oliveira da silva"/>
    <s v="Sócio"/>
    <d v="2005-02-22T00:00:00"/>
    <x v="4"/>
    <s v="INSS"/>
    <n v="166.98"/>
  </r>
  <r>
    <s v="GENESIS COML CAMA MESA E BANHO LTDA"/>
    <s v="jorge raimundo oliveira da silva"/>
    <s v="Sócio"/>
    <d v="2005-02-22T00:00:00"/>
    <x v="4"/>
    <s v="Salario Total"/>
    <m/>
  </r>
  <r>
    <s v="GENESIS COML CAMA MESA E BANHO LTDA"/>
    <s v="MARIA ROSILENE DOS SANTOS LIMA"/>
    <s v="CAIXA"/>
    <d v="2024-02-07T00:00:00"/>
    <x v="4"/>
    <s v="Quebra de Caixa   5%"/>
    <n v="83"/>
  </r>
  <r>
    <s v="GENESIS COML CAMA MESA E BANHO LTDA"/>
    <s v="MARIA ROSILENE DOS SANTOS LIMA"/>
    <s v="CAIXA"/>
    <d v="2024-02-07T00:00:00"/>
    <x v="4"/>
    <s v="Adiantamento Salarial"/>
    <n v="664"/>
  </r>
  <r>
    <s v="GENESIS COML CAMA MESA E BANHO LTDA"/>
    <s v="MARIA ROSILENE DOS SANTOS LIMA"/>
    <s v="CAIXA"/>
    <d v="2024-02-07T00:00:00"/>
    <x v="4"/>
    <s v="Salario Total"/>
    <n v="1660"/>
  </r>
  <r>
    <s v="GENESIS COML CAMA MESA E BANHO LTDA"/>
    <s v="MARIA ROSILENE DOS SANTOS LIMA"/>
    <s v="CAIXA"/>
    <d v="2024-02-07T00:00:00"/>
    <x v="4"/>
    <s v="Salário Base"/>
    <n v="1660"/>
  </r>
  <r>
    <s v="GENESIS COML CAMA MESA E BANHO LTDA"/>
    <s v="MARILENE SANTANA DE AZEVEDO SILVA"/>
    <s v="VENDEDOR(A)"/>
    <d v="2024-07-10T00:00:00"/>
    <x v="4"/>
    <s v="Adiantamento Salarial"/>
    <n v="664"/>
  </r>
  <r>
    <s v="GENESIS COML CAMA MESA E BANHO LTDA"/>
    <s v="MARILENE SANTANA DE AZEVEDO SILVA"/>
    <s v="VENDEDOR(A)"/>
    <d v="2024-07-10T00:00:00"/>
    <x v="4"/>
    <s v="Salario Total"/>
    <n v="1660"/>
  </r>
  <r>
    <s v="GENESIS COML CAMA MESA E BANHO LTDA"/>
    <s v="MARILENE SANTANA DE AZEVEDO SILVA"/>
    <s v="VENDEDOR(A)"/>
    <d v="2024-07-10T00:00:00"/>
    <x v="4"/>
    <s v="Salário Base"/>
    <n v="1660"/>
  </r>
  <r>
    <s v="GENESIS COML CAMA MESA E BANHO LTDA"/>
    <s v="MARILENE SANTANA DE AZEVEDO SILVA"/>
    <s v="VENDEDOR(A)"/>
    <d v="2024-07-10T00:00:00"/>
    <x v="4"/>
    <s v="Salário Família"/>
    <n v="130"/>
  </r>
  <r>
    <s v="GENESIS COML CAMA MESA E BANHO LTDA"/>
    <s v="MICHELLE JESUS ROCHA ESTRELA"/>
    <s v="CONFERENTE"/>
    <d v="2023-01-02T00:00:00"/>
    <x v="4"/>
    <s v="Férias"/>
    <n v="1565"/>
  </r>
  <r>
    <s v="GENESIS COML CAMA MESA E BANHO LTDA"/>
    <s v="MICHELLE JESUS ROCHA ESTRELA"/>
    <s v="CONFERENTE"/>
    <d v="2023-01-02T00:00:00"/>
    <x v="4"/>
    <s v="1/3 Férias"/>
    <n v="521.66999999999996"/>
  </r>
  <r>
    <s v="GENESIS COML CAMA MESA E BANHO LTDA"/>
    <s v="MICHELLE JESUS ROCHA ESTRELA"/>
    <s v="CONFERENTE"/>
    <d v="2023-01-02T00:00:00"/>
    <x v="4"/>
    <s v="INSS Férias"/>
    <n v="166.62"/>
  </r>
  <r>
    <s v="GENESIS COML CAMA MESA E BANHO LTDA"/>
    <s v="MICHELLE JESUS ROCHA ESTRELA"/>
    <s v="CONFERENTE"/>
    <d v="2023-01-02T00:00:00"/>
    <x v="4"/>
    <s v="IRRF Férias"/>
    <n v="81.59"/>
  </r>
  <r>
    <s v="GENESIS COML CAMA MESA E BANHO LTDA"/>
    <s v="MICHELLE JESUS ROCHA ESTRELA"/>
    <s v="CONFERENTE"/>
    <d v="2023-01-02T00:00:00"/>
    <x v="4"/>
    <s v="Salario Total"/>
    <n v="1660"/>
  </r>
  <r>
    <s v="GENESIS COML CAMA MESA E BANHO LTDA"/>
    <s v="MICHELLE JESUS ROCHA ESTRELA"/>
    <s v="CONFERENTE"/>
    <d v="2023-01-02T00:00:00"/>
    <x v="4"/>
    <s v="Salário Base"/>
    <n v="55.33"/>
  </r>
  <r>
    <s v="GENESIS COML CAMA MESA E BANHO LTDA"/>
    <s v="MIRELLA MOTA DOS SANTOS"/>
    <s v="ESTAGIARIO"/>
    <d v="2024-11-21T00:00:00"/>
    <x v="4"/>
    <s v="Vale transporte"/>
    <n v="100"/>
  </r>
  <r>
    <s v="GENESIS COML CAMA MESA E BANHO LTDA"/>
    <s v="MIRELLA MOTA DOS SANTOS"/>
    <s v="ESTAGIARIO"/>
    <d v="2024-11-21T00:00:00"/>
    <x v="4"/>
    <s v="Adiantamento Salarial"/>
    <n v="240"/>
  </r>
  <r>
    <s v="GENESIS COML CAMA MESA E BANHO LTDA"/>
    <s v="MIRELLA MOTA DOS SANTOS"/>
    <s v="ESTAGIARIO"/>
    <d v="2024-11-21T00:00:00"/>
    <x v="4"/>
    <s v="Salario Total"/>
    <n v="600"/>
  </r>
  <r>
    <s v="GENESIS COML CAMA MESA E BANHO LTDA"/>
    <s v="MIRELLA MOTA DOS SANTOS"/>
    <s v="ESTAGIARIO"/>
    <d v="2024-11-21T00:00:00"/>
    <x v="4"/>
    <s v="Salário Base"/>
    <n v="600"/>
  </r>
  <r>
    <s v="GENESIS COML CAMA MESA E BANHO LTDA"/>
    <s v="SUZENE DE CARVALHO SILVA E SILVA"/>
    <s v="Coordenadora de vendas"/>
    <d v="2023-07-03T00:00:00"/>
    <x v="4"/>
    <s v="Adiantamento Salarial"/>
    <n v="759.6"/>
  </r>
  <r>
    <s v="GENESIS COML CAMA MESA E BANHO LTDA"/>
    <s v="SUZENE DE CARVALHO SILVA E SILVA"/>
    <s v="Coordenadora de vendas"/>
    <d v="2023-07-03T00:00:00"/>
    <x v="4"/>
    <s v="Vale Transporte"/>
    <n v="113.94"/>
  </r>
  <r>
    <s v="GENESIS COML CAMA MESA E BANHO LTDA"/>
    <s v="SUZENE DE CARVALHO SILVA E SILVA"/>
    <s v="Coordenadora de vendas"/>
    <d v="2023-07-03T00:00:00"/>
    <x v="4"/>
    <s v="Salario Total"/>
    <n v="1899"/>
  </r>
  <r>
    <s v="GENESIS COML CAMA MESA E BANHO LTDA"/>
    <s v="SUZENE DE CARVALHO SILVA E SILVA"/>
    <s v="Coordenadora de vendas"/>
    <d v="2023-07-03T00:00:00"/>
    <x v="4"/>
    <s v="Salário Base"/>
    <n v="1899"/>
  </r>
  <r>
    <s v="GENESIS COML CAMA MESA E BANHO LTDA"/>
    <s v="SUZENE DE CARVALHO SILVA E SILVA"/>
    <s v="Coordenadora de vendas"/>
    <d v="2023-07-03T00:00:00"/>
    <x v="4"/>
    <s v="3Salario Total"/>
    <n v="1899"/>
  </r>
  <r>
    <s v="GENESIS COML CAMA MESA E BANHO LTDA"/>
    <s v="VANUZA SILVA DOS REIS"/>
    <s v="VENDEDOR(A)"/>
    <d v="2022-08-19T00:00:00"/>
    <x v="4"/>
    <s v="Adiantamento Salarial"/>
    <n v="664"/>
  </r>
  <r>
    <s v="GENESIS COML CAMA MESA E BANHO LTDA"/>
    <s v="VANUZA SILVA DOS REIS"/>
    <s v="VENDEDOR(A)"/>
    <d v="2022-08-19T00:00:00"/>
    <x v="4"/>
    <s v="Vale Transporte"/>
    <n v="99.6"/>
  </r>
  <r>
    <s v="GENESIS COML CAMA MESA E BANHO LTDA"/>
    <s v="VANUZA SILVA DOS REIS"/>
    <s v="VENDEDOR(A)"/>
    <d v="2022-08-19T00:00:00"/>
    <x v="4"/>
    <s v="Salario Total"/>
    <n v="1660"/>
  </r>
  <r>
    <s v="GENESIS COML CAMA MESA E BANHO LTDA"/>
    <s v="VANUZA SILVA DOS REIS"/>
    <s v="VENDEDOR(A)"/>
    <d v="2022-08-19T00:00:00"/>
    <x v="4"/>
    <s v="Salário Base"/>
    <n v="166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x v="0"/>
    <x v="0"/>
    <s v="10K"/>
    <s v="10K"/>
    <d v="2024-10-05T00:00:00"/>
    <x v="0"/>
    <n v="1605"/>
    <n v="0"/>
    <n v="0"/>
    <n v="1605"/>
    <n v="0"/>
    <n v="0"/>
    <n v="112.35"/>
    <n v="0"/>
    <n v="0"/>
    <n v="0"/>
    <n v="65"/>
    <n v="0"/>
    <n v="0"/>
    <n v="0"/>
    <n v="0"/>
    <n v="0"/>
    <n v="0"/>
    <n v="0"/>
    <n v="1717.35"/>
    <n v="0"/>
    <n v="343.47"/>
    <n v="2125.8199999999997"/>
    <s v="10k DECORAÇÕES"/>
    <x v="0"/>
  </r>
  <r>
    <x v="1"/>
    <x v="1"/>
    <s v="GENESIS"/>
    <s v="REIS MTZ"/>
    <d v="2011-02-01T00:00:00"/>
    <x v="0"/>
    <n v="1604.67"/>
    <n v="0"/>
    <n v="0"/>
    <n v="1604.67"/>
    <n v="0"/>
    <n v="0"/>
    <n v="0"/>
    <n v="0"/>
    <n v="249"/>
    <n v="0"/>
    <n v="0"/>
    <n v="0"/>
    <n v="96.28"/>
    <n v="0"/>
    <n v="0"/>
    <n v="96.28"/>
    <n v="0"/>
    <n v="0"/>
    <n v="1853.67"/>
    <n v="0"/>
    <n v="370.73400000000004"/>
    <n v="2224.404"/>
    <s v="GENESIS"/>
    <x v="1"/>
  </r>
  <r>
    <x v="2"/>
    <x v="2"/>
    <s v="GENESIS"/>
    <s v="GENESIS"/>
    <d v="2006-12-01T00:00:00"/>
    <x v="0"/>
    <n v="4296.7700000000004"/>
    <n v="0"/>
    <n v="0"/>
    <n v="4296.7700000000004"/>
    <n v="0"/>
    <n v="0"/>
    <n v="0"/>
    <n v="0"/>
    <n v="644.51"/>
    <n v="0"/>
    <n v="0"/>
    <n v="0"/>
    <n v="0"/>
    <n v="0"/>
    <n v="0"/>
    <n v="0"/>
    <n v="0"/>
    <n v="0"/>
    <n v="4941.2800000000007"/>
    <n v="0"/>
    <n v="988.2560000000002"/>
    <n v="5929.536000000001"/>
    <s v="GENESIS"/>
    <x v="2"/>
  </r>
  <r>
    <x v="3"/>
    <x v="3"/>
    <s v="REIS FÁBRICA"/>
    <s v="REIS FÁBRICA"/>
    <d v="2018-05-02T00:00:00"/>
    <x v="0"/>
    <n v="1518"/>
    <n v="0"/>
    <n v="0"/>
    <n v="1518"/>
    <n v="100"/>
    <n v="0"/>
    <n v="0"/>
    <n v="0"/>
    <n v="0"/>
    <n v="0"/>
    <n v="0"/>
    <n v="0"/>
    <n v="0"/>
    <n v="0"/>
    <n v="0"/>
    <n v="0"/>
    <n v="0"/>
    <n v="0"/>
    <n v="1518"/>
    <n v="100"/>
    <n v="764.00939999999991"/>
    <n v="2282.0093999999999"/>
    <s v="FABRICA"/>
    <x v="3"/>
  </r>
  <r>
    <x v="4"/>
    <x v="1"/>
    <s v="FENIX"/>
    <s v="GENESIS"/>
    <d v="2018-11-28T00:00:00"/>
    <x v="0"/>
    <n v="1660"/>
    <n v="0"/>
    <n v="0"/>
    <n v="1660"/>
    <n v="0"/>
    <n v="0"/>
    <n v="0"/>
    <n v="0"/>
    <n v="166"/>
    <n v="0"/>
    <n v="0"/>
    <n v="0"/>
    <n v="0"/>
    <n v="0"/>
    <n v="0"/>
    <n v="0"/>
    <n v="0"/>
    <n v="220"/>
    <n v="2046"/>
    <n v="0"/>
    <n v="409.20000000000005"/>
    <n v="2455.1999999999998"/>
    <s v="FENIX"/>
    <x v="2"/>
  </r>
  <r>
    <x v="5"/>
    <x v="3"/>
    <s v="REIS FÁBRICA"/>
    <s v="REIS FÁBRICA"/>
    <d v="2022-03-17T00:00:00"/>
    <x v="0"/>
    <n v="1518"/>
    <n v="0"/>
    <n v="0"/>
    <n v="1518"/>
    <n v="200"/>
    <n v="0"/>
    <n v="0"/>
    <n v="0"/>
    <n v="0"/>
    <n v="0"/>
    <n v="0"/>
    <n v="0"/>
    <n v="0"/>
    <n v="0"/>
    <n v="0"/>
    <n v="0"/>
    <n v="0"/>
    <n v="0"/>
    <n v="1518"/>
    <n v="200"/>
    <n v="764.00939999999991"/>
    <n v="2282.0093999999999"/>
    <s v="FABRICA"/>
    <x v="3"/>
  </r>
  <r>
    <x v="6"/>
    <x v="1"/>
    <s v="30K"/>
    <s v="30K"/>
    <d v="2023-05-10T00:00:00"/>
    <x v="0"/>
    <n v="1607"/>
    <n v="0"/>
    <n v="0"/>
    <n v="1607"/>
    <n v="0"/>
    <n v="0"/>
    <n v="0"/>
    <n v="0"/>
    <n v="0"/>
    <n v="48.21"/>
    <n v="0"/>
    <n v="0"/>
    <n v="0"/>
    <n v="0"/>
    <n v="48.21"/>
    <n v="-48.21"/>
    <n v="228.85"/>
    <n v="0"/>
    <n v="1607"/>
    <n v="0"/>
    <n v="321.40000000000003"/>
    <n v="1928.4"/>
    <s v="30 K "/>
    <x v="4"/>
  </r>
  <r>
    <x v="7"/>
    <x v="4"/>
    <s v="REIS FABRICA"/>
    <s v="REIS FÁBRICA"/>
    <d v="2025-03-15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764.00939999999991"/>
    <n v="2282.0093999999999"/>
    <s v="FABRICA"/>
    <x v="3"/>
  </r>
  <r>
    <x v="8"/>
    <x v="1"/>
    <s v="RAINHA MAISON"/>
    <s v="REIS MTZ"/>
    <d v="2022-10-10T00:00:00"/>
    <x v="0"/>
    <n v="1660"/>
    <n v="22.64"/>
    <n v="0"/>
    <n v="1637.36"/>
    <n v="0"/>
    <n v="0"/>
    <n v="0"/>
    <n v="0"/>
    <n v="0"/>
    <n v="0"/>
    <n v="0"/>
    <n v="0"/>
    <n v="98.24"/>
    <n v="0"/>
    <n v="0"/>
    <n v="98.24"/>
    <n v="0"/>
    <n v="220"/>
    <n v="1857.36"/>
    <n v="0"/>
    <n v="371.47199999999998"/>
    <n v="2228.8319999999999"/>
    <s v="MAISON"/>
    <x v="1"/>
  </r>
  <r>
    <x v="9"/>
    <x v="5"/>
    <s v="05K"/>
    <s v="ESCRITORIO"/>
    <d v="2024-06-15T00:00:00"/>
    <x v="0"/>
    <n v="3068.7"/>
    <n v="0"/>
    <n v="0"/>
    <n v="3068.7"/>
    <n v="0"/>
    <n v="0"/>
    <n v="0"/>
    <n v="0"/>
    <n v="0"/>
    <n v="0"/>
    <n v="0"/>
    <n v="0"/>
    <n v="0"/>
    <n v="0"/>
    <n v="0"/>
    <n v="0"/>
    <n v="0"/>
    <n v="220"/>
    <n v="3288.7"/>
    <n v="0"/>
    <n v="657.74"/>
    <n v="3946.4399999999996"/>
    <s v="5K DECORAÇÕES"/>
    <x v="5"/>
  </r>
  <r>
    <x v="10"/>
    <x v="6"/>
    <s v="15K"/>
    <s v="15K"/>
    <d v="2018-12-03T00:00:00"/>
    <x v="0"/>
    <n v="2896.58"/>
    <n v="0"/>
    <n v="0"/>
    <n v="2896.58"/>
    <n v="0"/>
    <n v="0"/>
    <n v="0"/>
    <n v="0"/>
    <n v="173.79"/>
    <n v="20"/>
    <n v="0"/>
    <n v="0"/>
    <n v="0"/>
    <n v="0"/>
    <n v="20"/>
    <n v="-20"/>
    <n v="45.15"/>
    <n v="0"/>
    <n v="3070.37"/>
    <n v="0"/>
    <n v="614.07400000000007"/>
    <n v="3684.444"/>
    <s v="15 K COMERCIAL"/>
    <x v="6"/>
  </r>
  <r>
    <x v="11"/>
    <x v="1"/>
    <s v="GRAND CANYON"/>
    <s v="GRAND CANYON"/>
    <d v="2021-05-18T00:00:00"/>
    <x v="1"/>
    <n v="1600"/>
    <n v="0"/>
    <n v="0"/>
    <n v="1600"/>
    <n v="0"/>
    <n v="0"/>
    <n v="0"/>
    <n v="0"/>
    <n v="0"/>
    <n v="0"/>
    <n v="65"/>
    <n v="0"/>
    <n v="0"/>
    <n v="0"/>
    <n v="0"/>
    <n v="0"/>
    <n v="0"/>
    <n v="0"/>
    <n v="1600"/>
    <n v="0"/>
    <n v="320"/>
    <n v="1985"/>
    <s v="GRAND CANYON"/>
    <x v="7"/>
  </r>
  <r>
    <x v="12"/>
    <x v="1"/>
    <s v="AVANTE"/>
    <s v="AVANTE"/>
    <d v="2024-12-07T00:00:00"/>
    <x v="0"/>
    <n v="1528"/>
    <n v="0"/>
    <n v="0"/>
    <n v="1528"/>
    <n v="0"/>
    <n v="0"/>
    <n v="0"/>
    <n v="0"/>
    <n v="0"/>
    <n v="23"/>
    <n v="0"/>
    <n v="0"/>
    <n v="0"/>
    <n v="0"/>
    <n v="23"/>
    <n v="-23"/>
    <n v="0"/>
    <n v="0"/>
    <n v="1528"/>
    <n v="0"/>
    <n v="305.60000000000002"/>
    <n v="1833.6"/>
    <s v="AVANTE"/>
    <x v="8"/>
  </r>
  <r>
    <x v="13"/>
    <x v="1"/>
    <s v="REIS MTZ"/>
    <s v="RAINHA MAISON"/>
    <d v="2023-11-09T00:00:00"/>
    <x v="0"/>
    <n v="1660"/>
    <n v="0"/>
    <n v="0"/>
    <n v="1660"/>
    <n v="0"/>
    <n v="0"/>
    <n v="0"/>
    <n v="0"/>
    <n v="0"/>
    <n v="0"/>
    <n v="0"/>
    <n v="0"/>
    <n v="99.6"/>
    <n v="0"/>
    <n v="0"/>
    <n v="99.6"/>
    <n v="0"/>
    <n v="220"/>
    <n v="1880"/>
    <n v="0"/>
    <n v="946.20399999999995"/>
    <n v="2826.2039999999997"/>
    <s v="SR PASSOS"/>
    <x v="9"/>
  </r>
  <r>
    <x v="14"/>
    <x v="4"/>
    <s v="REIS FÁBRICA"/>
    <s v="REIS FÁBRICA"/>
    <d v="2025-03-15T00:00:00"/>
    <x v="0"/>
    <n v="1518"/>
    <n v="69"/>
    <n v="0"/>
    <n v="1449"/>
    <n v="0"/>
    <n v="0"/>
    <n v="0"/>
    <n v="0"/>
    <n v="0"/>
    <n v="0"/>
    <n v="0"/>
    <n v="0"/>
    <n v="0"/>
    <n v="0"/>
    <n v="0"/>
    <n v="0"/>
    <n v="0"/>
    <n v="0"/>
    <n v="1449"/>
    <n v="0"/>
    <n v="729.2817"/>
    <n v="2178.2817"/>
    <s v="FABRICA"/>
    <x v="3"/>
  </r>
  <r>
    <x v="15"/>
    <x v="7"/>
    <s v="REIS FÁBRICA"/>
    <s v="REIS FÁBRICA"/>
    <d v="2024-04-08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764.00939999999991"/>
    <n v="2282.0093999999999"/>
    <s v="FABRICA"/>
    <x v="3"/>
  </r>
  <r>
    <x v="16"/>
    <x v="4"/>
    <s v="REIS FÁBRICA"/>
    <s v="REIS FÁBRICA"/>
    <d v="2025-01-17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764.00939999999991"/>
    <n v="2282.0093999999999"/>
    <s v="FABRICA"/>
    <x v="3"/>
  </r>
  <r>
    <x v="17"/>
    <x v="0"/>
    <s v="REIS MTZ"/>
    <s v="REIS MTZ"/>
    <d v="2024-02-08T00:00:00"/>
    <x v="2"/>
    <n v="55.33"/>
    <n v="0"/>
    <n v="0"/>
    <n v="55.33"/>
    <n v="0"/>
    <n v="0"/>
    <n v="2.77"/>
    <n v="0"/>
    <n v="0"/>
    <n v="0"/>
    <n v="2.17"/>
    <n v="0"/>
    <n v="0.11"/>
    <n v="0"/>
    <n v="0"/>
    <n v="0.11"/>
    <n v="0"/>
    <n v="0"/>
    <n v="58.1"/>
    <n v="0"/>
    <n v="29.24173"/>
    <n v="89.51173"/>
    <s v="SR PASSOS"/>
    <x v="1"/>
  </r>
  <r>
    <x v="18"/>
    <x v="1"/>
    <s v="30K"/>
    <s v="30K"/>
    <d v="2025-03-05T00:00:00"/>
    <x v="0"/>
    <n v="1607"/>
    <n v="0"/>
    <n v="0"/>
    <n v="1607"/>
    <n v="0"/>
    <n v="0"/>
    <n v="0"/>
    <n v="0"/>
    <n v="0"/>
    <n v="48.21"/>
    <n v="0"/>
    <n v="0"/>
    <n v="0"/>
    <n v="0"/>
    <n v="48.21"/>
    <n v="-48.21"/>
    <n v="0"/>
    <n v="0"/>
    <n v="1607"/>
    <n v="0"/>
    <n v="321.40000000000003"/>
    <n v="1928.4"/>
    <s v="30 K "/>
    <x v="4"/>
  </r>
  <r>
    <x v="19"/>
    <x v="8"/>
    <s v="RAINHA MAISON"/>
    <s v="ESCRITORIO"/>
    <d v="2024-07-22T00:00:00"/>
    <x v="0"/>
    <n v="6109.8"/>
    <n v="0"/>
    <n v="0"/>
    <n v="6109.8"/>
    <n v="0"/>
    <n v="0"/>
    <n v="0"/>
    <n v="0"/>
    <n v="0"/>
    <n v="0"/>
    <n v="0"/>
    <n v="0"/>
    <n v="0"/>
    <n v="0"/>
    <n v="0"/>
    <n v="0"/>
    <n v="0"/>
    <n v="201.66000000000003"/>
    <n v="6311.46"/>
    <n v="0"/>
    <n v="1262.2920000000001"/>
    <n v="7573.7520000000004"/>
    <s v="MAISON"/>
    <x v="5"/>
  </r>
  <r>
    <x v="20"/>
    <x v="9"/>
    <s v="AVANTE"/>
    <s v="AVANTE"/>
    <d v="2023-11-22T00:00:00"/>
    <x v="0"/>
    <n v="1528"/>
    <n v="0"/>
    <n v="0"/>
    <n v="1528"/>
    <n v="0"/>
    <n v="0"/>
    <n v="0"/>
    <n v="0"/>
    <n v="0"/>
    <n v="23"/>
    <n v="0"/>
    <n v="0"/>
    <n v="0"/>
    <n v="0"/>
    <n v="23"/>
    <n v="-23"/>
    <n v="63.55"/>
    <n v="0"/>
    <n v="1528"/>
    <n v="0"/>
    <n v="305.60000000000002"/>
    <n v="1833.6"/>
    <s v="AVANTE"/>
    <x v="8"/>
  </r>
  <r>
    <x v="21"/>
    <x v="7"/>
    <s v="VALE XEL"/>
    <s v="REIS FÁBRICA"/>
    <d v="2023-07-03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303.60000000000002"/>
    <n v="1821.6"/>
    <s v="VALE XEL"/>
    <x v="3"/>
  </r>
  <r>
    <x v="22"/>
    <x v="0"/>
    <s v="GENESIS"/>
    <s v="RAINHA HOME"/>
    <d v="2014-10-20T00:00:00"/>
    <x v="0"/>
    <n v="1660"/>
    <n v="0"/>
    <n v="0"/>
    <n v="1660"/>
    <n v="0"/>
    <n v="0"/>
    <n v="83"/>
    <n v="0"/>
    <n v="249"/>
    <n v="0"/>
    <n v="0"/>
    <n v="0"/>
    <n v="99.6"/>
    <n v="0"/>
    <n v="0"/>
    <n v="99.6"/>
    <n v="0"/>
    <n v="0"/>
    <n v="1992"/>
    <n v="0"/>
    <n v="398.40000000000003"/>
    <n v="2390.4"/>
    <s v="GENESIS"/>
    <x v="10"/>
  </r>
  <r>
    <x v="23"/>
    <x v="9"/>
    <s v="15K"/>
    <s v="15K"/>
    <d v="2023-11-22T00:00:00"/>
    <x v="0"/>
    <n v="1518"/>
    <n v="0"/>
    <n v="0"/>
    <n v="1518"/>
    <n v="0"/>
    <n v="0"/>
    <n v="0"/>
    <n v="0"/>
    <n v="0"/>
    <n v="20"/>
    <n v="0"/>
    <n v="0"/>
    <n v="0"/>
    <n v="0"/>
    <n v="20"/>
    <n v="-20"/>
    <n v="0"/>
    <n v="0"/>
    <n v="1518"/>
    <n v="0"/>
    <n v="303.60000000000002"/>
    <n v="1821.6"/>
    <s v="15 K COMERCIAL"/>
    <x v="6"/>
  </r>
  <r>
    <x v="24"/>
    <x v="0"/>
    <s v="30K"/>
    <s v="30K"/>
    <d v="2022-12-10T00:00:00"/>
    <x v="0"/>
    <n v="1607"/>
    <n v="0"/>
    <n v="0"/>
    <n v="1607"/>
    <n v="0"/>
    <n v="0"/>
    <n v="160.69999999999999"/>
    <n v="0"/>
    <n v="0"/>
    <n v="48.21"/>
    <n v="0"/>
    <n v="0"/>
    <n v="0"/>
    <n v="0"/>
    <n v="48.21"/>
    <n v="-48.21"/>
    <n v="0"/>
    <n v="0"/>
    <n v="1767.7"/>
    <n v="0"/>
    <n v="353.54"/>
    <n v="2121.2400000000002"/>
    <s v="30 K "/>
    <x v="4"/>
  </r>
  <r>
    <x v="25"/>
    <x v="9"/>
    <s v="REIS MTZ"/>
    <s v="GENESIS"/>
    <d v="2023-02-01T00:00:00"/>
    <x v="0"/>
    <n v="1660"/>
    <n v="0"/>
    <n v="0"/>
    <n v="1660"/>
    <n v="200"/>
    <n v="0"/>
    <n v="0"/>
    <n v="0"/>
    <n v="0"/>
    <n v="0"/>
    <n v="0"/>
    <n v="0"/>
    <n v="0"/>
    <n v="0"/>
    <n v="0"/>
    <n v="0"/>
    <n v="0"/>
    <n v="220"/>
    <n v="1880"/>
    <n v="200"/>
    <n v="946.20399999999995"/>
    <n v="2826.2039999999997"/>
    <s v="SR PASSOS"/>
    <x v="2"/>
  </r>
  <r>
    <x v="26"/>
    <x v="10"/>
    <s v="REIS MTZ"/>
    <s v="REIS MTZ"/>
    <d v="2024-11-21T00:00:00"/>
    <x v="0"/>
    <n v="600"/>
    <n v="0"/>
    <n v="0"/>
    <n v="600"/>
    <n v="0"/>
    <n v="0"/>
    <n v="0"/>
    <n v="0"/>
    <n v="0"/>
    <n v="0"/>
    <n v="0"/>
    <n v="600"/>
    <n v="100"/>
    <n v="0"/>
    <n v="240"/>
    <n v="460"/>
    <n v="0"/>
    <n v="0"/>
    <n v="600"/>
    <n v="0"/>
    <n v="301.97999999999996"/>
    <n v="901.98"/>
    <s v="SR PASSOS"/>
    <x v="1"/>
  </r>
  <r>
    <x v="27"/>
    <x v="1"/>
    <s v="10K"/>
    <s v="10K"/>
    <d v="2024-10-05T00:00:00"/>
    <x v="0"/>
    <n v="1605"/>
    <n v="0"/>
    <n v="0"/>
    <n v="1605"/>
    <n v="0"/>
    <n v="0"/>
    <n v="0"/>
    <n v="0"/>
    <n v="0"/>
    <n v="0"/>
    <n v="0"/>
    <n v="0"/>
    <n v="0"/>
    <n v="0"/>
    <n v="0"/>
    <n v="0"/>
    <n v="0"/>
    <n v="0"/>
    <n v="1605"/>
    <n v="0"/>
    <n v="321"/>
    <n v="1926"/>
    <s v="10k DECORAÇÕES"/>
    <x v="0"/>
  </r>
  <r>
    <x v="28"/>
    <x v="1"/>
    <s v="AVANTE"/>
    <s v="AVANTE"/>
    <d v="2017-08-08T00:00:00"/>
    <x v="1"/>
    <n v="1528"/>
    <n v="0"/>
    <n v="0"/>
    <n v="1528"/>
    <n v="0"/>
    <n v="0"/>
    <n v="0"/>
    <n v="0"/>
    <n v="0"/>
    <n v="23"/>
    <n v="0"/>
    <n v="0"/>
    <n v="0"/>
    <n v="0"/>
    <n v="23"/>
    <n v="-23"/>
    <n v="51.09"/>
    <n v="0"/>
    <n v="1528"/>
    <n v="0"/>
    <n v="305.60000000000002"/>
    <n v="1833.6"/>
    <s v="AVANTE"/>
    <x v="8"/>
  </r>
  <r>
    <x v="29"/>
    <x v="1"/>
    <s v="RAINHA MAISON"/>
    <s v="RAINHA HOME"/>
    <d v="2012-07-03T00:00:00"/>
    <x v="0"/>
    <n v="1660"/>
    <n v="0"/>
    <n v="0"/>
    <n v="1660"/>
    <n v="0"/>
    <n v="0"/>
    <n v="0"/>
    <n v="0"/>
    <n v="249"/>
    <n v="0"/>
    <n v="0"/>
    <n v="0"/>
    <n v="0"/>
    <n v="0"/>
    <n v="0"/>
    <n v="0"/>
    <n v="0"/>
    <n v="220"/>
    <n v="2129"/>
    <n v="0"/>
    <n v="425.8"/>
    <n v="2554.8000000000002"/>
    <s v="MAISON"/>
    <x v="10"/>
  </r>
  <r>
    <x v="30"/>
    <x v="4"/>
    <s v="REIS FABRICA"/>
    <s v="REIS FÁBRICA"/>
    <d v="2025-03-15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764.00939999999991"/>
    <n v="2282.0093999999999"/>
    <s v="FABRICA"/>
    <x v="3"/>
  </r>
  <r>
    <x v="31"/>
    <x v="11"/>
    <s v="RAINHA HOME"/>
    <s v="RAINHA HOME"/>
    <d v="2022-08-01T00:00:00"/>
    <x v="0"/>
    <n v="1819.55"/>
    <n v="0"/>
    <n v="0"/>
    <n v="1819.55"/>
    <n v="275"/>
    <n v="0"/>
    <n v="0"/>
    <n v="0"/>
    <n v="0"/>
    <n v="20"/>
    <n v="0"/>
    <n v="0"/>
    <n v="0"/>
    <n v="0"/>
    <n v="20"/>
    <n v="-20"/>
    <n v="300"/>
    <n v="220"/>
    <n v="2039.55"/>
    <n v="275"/>
    <n v="407.91"/>
    <n v="2447.46"/>
    <s v="HOME CENTER"/>
    <x v="10"/>
  </r>
  <r>
    <x v="32"/>
    <x v="0"/>
    <s v="FENIX"/>
    <s v="GENESIS"/>
    <d v="2018-12-10T00:00:00"/>
    <x v="0"/>
    <n v="1660"/>
    <n v="0"/>
    <n v="0"/>
    <n v="1660"/>
    <n v="0"/>
    <n v="0"/>
    <n v="83"/>
    <n v="0"/>
    <n v="166"/>
    <n v="20"/>
    <n v="0"/>
    <n v="0"/>
    <n v="99.6"/>
    <n v="0"/>
    <n v="20"/>
    <n v="79.599999999999994"/>
    <n v="0"/>
    <n v="220"/>
    <n v="2129"/>
    <n v="0"/>
    <n v="425.8"/>
    <n v="2554.8000000000002"/>
    <s v="FENIX"/>
    <x v="2"/>
  </r>
  <r>
    <x v="33"/>
    <x v="4"/>
    <s v="REIS FABRICA"/>
    <s v="REIS FÁBRICA"/>
    <d v="2024-10-05T00:00:00"/>
    <x v="0"/>
    <n v="0"/>
    <n v="0"/>
    <n v="0"/>
    <n v="0"/>
    <n v="0"/>
    <n v="1407.6"/>
    <n v="0"/>
    <n v="0"/>
    <n v="0"/>
    <n v="0"/>
    <n v="0"/>
    <n v="0"/>
    <n v="0"/>
    <n v="0"/>
    <n v="0"/>
    <n v="0"/>
    <n v="0"/>
    <n v="0"/>
    <n v="0"/>
    <n v="1407.6"/>
    <n v="0"/>
    <n v="0"/>
    <s v="FABRICA"/>
    <x v="3"/>
  </r>
  <r>
    <x v="34"/>
    <x v="1"/>
    <s v="GRAND CANYON"/>
    <s v="GRAND CANYON"/>
    <d v="2020-10-13T00:00:00"/>
    <x v="0"/>
    <n v="1600"/>
    <n v="0"/>
    <n v="0"/>
    <n v="1600"/>
    <n v="0"/>
    <n v="0"/>
    <n v="0"/>
    <n v="0"/>
    <n v="0"/>
    <n v="0"/>
    <n v="0"/>
    <n v="0"/>
    <n v="0"/>
    <n v="0"/>
    <n v="0"/>
    <n v="0"/>
    <n v="0"/>
    <n v="0"/>
    <n v="1600"/>
    <n v="0"/>
    <n v="320"/>
    <n v="1920"/>
    <s v="GRAND CANYON"/>
    <x v="7"/>
  </r>
  <r>
    <x v="35"/>
    <x v="1"/>
    <s v="REIS MTZ"/>
    <s v="REIS MTZ"/>
    <d v="2020-10-13T00:00:00"/>
    <x v="0"/>
    <n v="1660"/>
    <n v="0"/>
    <n v="0"/>
    <n v="1660"/>
    <n v="0"/>
    <n v="0"/>
    <n v="0"/>
    <n v="0"/>
    <n v="83"/>
    <n v="0"/>
    <n v="65"/>
    <n v="0"/>
    <n v="99.6"/>
    <n v="0"/>
    <n v="0"/>
    <n v="99.6"/>
    <n v="133.71"/>
    <n v="220"/>
    <n v="1963"/>
    <n v="0"/>
    <n v="987.97789999999998"/>
    <n v="3015.9778999999999"/>
    <s v="SR PASSOS"/>
    <x v="1"/>
  </r>
  <r>
    <x v="36"/>
    <x v="0"/>
    <s v="15K"/>
    <s v="15K"/>
    <d v="2022-05-02T00:00:00"/>
    <x v="1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303.60000000000002"/>
    <n v="1821.6"/>
    <s v="15 K COMERCIAL"/>
    <x v="6"/>
  </r>
  <r>
    <x v="37"/>
    <x v="1"/>
    <s v="10K"/>
    <s v="10K"/>
    <d v="2021-06-14T00:00:00"/>
    <x v="1"/>
    <n v="1605"/>
    <n v="0"/>
    <n v="0"/>
    <n v="1605"/>
    <n v="0"/>
    <n v="0"/>
    <n v="0"/>
    <n v="0"/>
    <n v="0"/>
    <n v="0"/>
    <n v="0"/>
    <n v="0"/>
    <n v="0"/>
    <n v="0"/>
    <n v="0"/>
    <n v="0"/>
    <n v="0"/>
    <n v="0"/>
    <n v="1605"/>
    <n v="0"/>
    <n v="321"/>
    <n v="1926"/>
    <s v="10k DECORAÇÕES"/>
    <x v="0"/>
  </r>
  <r>
    <x v="38"/>
    <x v="1"/>
    <s v="RAINHA HOME"/>
    <s v="GENESIS"/>
    <d v="2023-02-01T00:00:00"/>
    <x v="0"/>
    <n v="1660"/>
    <n v="30.18"/>
    <n v="0"/>
    <n v="1629.82"/>
    <n v="0"/>
    <n v="0"/>
    <n v="0"/>
    <n v="0"/>
    <n v="0"/>
    <n v="20"/>
    <n v="65"/>
    <n v="0"/>
    <n v="0"/>
    <n v="0"/>
    <n v="20"/>
    <n v="-20"/>
    <n v="0"/>
    <n v="220"/>
    <n v="1849.82"/>
    <n v="0"/>
    <n v="369.964"/>
    <n v="2284.7840000000001"/>
    <s v="HOME CENTER"/>
    <x v="2"/>
  </r>
  <r>
    <x v="39"/>
    <x v="4"/>
    <s v="REIS FABRICA"/>
    <s v="REIS FABRICA"/>
    <d v="2025-04-01T00:00:00"/>
    <x v="0"/>
    <n v="0"/>
    <n v="0"/>
    <n v="0"/>
    <n v="0"/>
    <n v="0"/>
    <n v="632.5"/>
    <n v="0"/>
    <n v="0"/>
    <n v="0"/>
    <n v="0"/>
    <n v="0"/>
    <n v="0"/>
    <n v="0"/>
    <n v="0"/>
    <n v="0"/>
    <n v="0"/>
    <n v="0"/>
    <n v="0"/>
    <n v="0"/>
    <n v="632.5"/>
    <n v="0"/>
    <n v="0"/>
    <s v="FABRICA"/>
    <x v="3"/>
  </r>
  <r>
    <x v="40"/>
    <x v="4"/>
    <s v="REIS FABRICA"/>
    <s v="REIS FÁBRICA"/>
    <d v="2025-02-18T00:00:00"/>
    <x v="0"/>
    <n v="0"/>
    <n v="0"/>
    <n v="0"/>
    <n v="0"/>
    <n v="0"/>
    <n v="248.78"/>
    <n v="0"/>
    <n v="0"/>
    <n v="0"/>
    <n v="0"/>
    <n v="0"/>
    <n v="0"/>
    <n v="0"/>
    <n v="0"/>
    <n v="0"/>
    <n v="0"/>
    <n v="0"/>
    <n v="0"/>
    <n v="0"/>
    <n v="248.78"/>
    <n v="0"/>
    <n v="0"/>
    <s v="FABRICA"/>
    <x v="3"/>
  </r>
  <r>
    <x v="41"/>
    <x v="1"/>
    <s v="METANOIA"/>
    <s v="METANOIA"/>
    <d v="2023-11-06T00:00:00"/>
    <x v="0"/>
    <n v="1694.35"/>
    <n v="0"/>
    <n v="0"/>
    <n v="1694.35"/>
    <n v="0"/>
    <n v="0"/>
    <n v="0"/>
    <n v="0"/>
    <n v="0"/>
    <n v="0"/>
    <n v="0"/>
    <n v="0"/>
    <n v="0"/>
    <n v="0"/>
    <n v="0"/>
    <n v="0"/>
    <n v="0"/>
    <n v="0"/>
    <n v="1694.35"/>
    <n v="0"/>
    <n v="338.87"/>
    <n v="2033.2199999999998"/>
    <s v="METANÓIA"/>
    <x v="11"/>
  </r>
  <r>
    <x v="42"/>
    <x v="12"/>
    <s v="VALE XEL"/>
    <s v="REIS FÁBRICA"/>
    <d v="2022-08-19T00:00:00"/>
    <x v="0"/>
    <n v="1518"/>
    <n v="0"/>
    <n v="0"/>
    <n v="1518"/>
    <n v="700"/>
    <n v="0"/>
    <n v="0"/>
    <n v="0"/>
    <n v="0"/>
    <n v="0"/>
    <n v="0"/>
    <n v="0"/>
    <n v="0"/>
    <n v="0"/>
    <n v="0"/>
    <n v="0"/>
    <n v="0"/>
    <n v="0"/>
    <n v="1518"/>
    <n v="700"/>
    <n v="303.60000000000002"/>
    <n v="1821.6"/>
    <s v="VALE XEL"/>
    <x v="3"/>
  </r>
  <r>
    <x v="43"/>
    <x v="10"/>
    <s v="RAINHA HOME"/>
    <s v="REIS MTZ"/>
    <d v="2025-01-07T00:00:00"/>
    <x v="2"/>
    <n v="332"/>
    <n v="0"/>
    <n v="0"/>
    <n v="332"/>
    <n v="0"/>
    <n v="0"/>
    <n v="0"/>
    <n v="0"/>
    <n v="0"/>
    <n v="20"/>
    <n v="13"/>
    <n v="0"/>
    <n v="19.920000000000002"/>
    <n v="0"/>
    <n v="20"/>
    <n v="-7.9999999999998295E-2"/>
    <n v="0"/>
    <n v="0"/>
    <n v="332"/>
    <n v="0"/>
    <n v="66.400000000000006"/>
    <n v="411.4"/>
    <s v="HOME CENTER"/>
    <x v="1"/>
  </r>
  <r>
    <x v="44"/>
    <x v="4"/>
    <s v="REIS FÁBRICA"/>
    <s v="REIS FÁBRICA"/>
    <d v="2025-03-01T00:00:00"/>
    <x v="0"/>
    <n v="0"/>
    <n v="0"/>
    <n v="0"/>
    <n v="0"/>
    <n v="0"/>
    <n v="759"/>
    <n v="0"/>
    <n v="0"/>
    <n v="0"/>
    <n v="0"/>
    <n v="0"/>
    <n v="0"/>
    <n v="0"/>
    <n v="0"/>
    <n v="0"/>
    <n v="0"/>
    <n v="0"/>
    <n v="0"/>
    <n v="0"/>
    <n v="759"/>
    <n v="0"/>
    <n v="0"/>
    <s v="FABRICA"/>
    <x v="3"/>
  </r>
  <r>
    <x v="45"/>
    <x v="4"/>
    <s v="REIS FABRICA"/>
    <s v="REIS FÁBRICA"/>
    <d v="2025-03-15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764.00939999999991"/>
    <n v="2282.0093999999999"/>
    <s v="FABRICA"/>
    <x v="3"/>
  </r>
  <r>
    <x v="46"/>
    <x v="1"/>
    <s v="PRATIKA"/>
    <s v="REIS MTZ"/>
    <d v="2022-11-09T00:00:00"/>
    <x v="0"/>
    <n v="1660"/>
    <n v="0"/>
    <n v="0"/>
    <n v="1660"/>
    <n v="0"/>
    <n v="0"/>
    <n v="0"/>
    <n v="0"/>
    <n v="0"/>
    <n v="20"/>
    <n v="65"/>
    <n v="0"/>
    <n v="99.6"/>
    <n v="0"/>
    <n v="20"/>
    <n v="79.599999999999994"/>
    <n v="72.67"/>
    <n v="220"/>
    <n v="1880"/>
    <n v="0"/>
    <n v="376"/>
    <n v="2321"/>
    <s v="PRATTIKA"/>
    <x v="1"/>
  </r>
  <r>
    <x v="47"/>
    <x v="4"/>
    <s v="REIS FÁBRICA"/>
    <s v="REIS FÁBRICA"/>
    <d v="2025-04-05T00:00:00"/>
    <x v="0"/>
    <n v="1518"/>
    <n v="55.2"/>
    <n v="0"/>
    <n v="1462.8"/>
    <n v="0"/>
    <n v="0"/>
    <n v="0"/>
    <n v="0"/>
    <n v="0"/>
    <n v="0"/>
    <n v="0"/>
    <n v="0"/>
    <n v="0"/>
    <n v="0"/>
    <n v="0"/>
    <n v="0"/>
    <n v="0"/>
    <n v="0"/>
    <n v="1462.8"/>
    <n v="0"/>
    <n v="736.22723999999994"/>
    <n v="2199.0272399999999"/>
    <s v="FABRICA"/>
    <x v="3"/>
  </r>
  <r>
    <x v="48"/>
    <x v="9"/>
    <s v="30K"/>
    <s v="30K"/>
    <d v="2024-08-01T00:00:00"/>
    <x v="2"/>
    <n v="1205.97"/>
    <n v="0"/>
    <n v="0"/>
    <n v="1205.97"/>
    <n v="0"/>
    <n v="0"/>
    <n v="0"/>
    <n v="0"/>
    <n v="0"/>
    <n v="47.19"/>
    <n v="0"/>
    <n v="0"/>
    <n v="0"/>
    <n v="0"/>
    <n v="47.19"/>
    <n v="-47.19"/>
    <n v="0"/>
    <n v="0"/>
    <n v="1205.97"/>
    <n v="0"/>
    <n v="241.19400000000002"/>
    <n v="1447.164"/>
    <s v="30 K "/>
    <x v="4"/>
  </r>
  <r>
    <x v="49"/>
    <x v="7"/>
    <s v="VALE XEL"/>
    <s v="RAINHA HOME"/>
    <d v="2018-05-18T00:00:00"/>
    <x v="0"/>
    <n v="1660"/>
    <n v="0"/>
    <n v="0"/>
    <n v="1660"/>
    <n v="0"/>
    <n v="0"/>
    <n v="0"/>
    <n v="0"/>
    <n v="166"/>
    <n v="20"/>
    <n v="65"/>
    <n v="0"/>
    <n v="99.6"/>
    <n v="0"/>
    <n v="20"/>
    <n v="79.599999999999994"/>
    <n v="177"/>
    <n v="220"/>
    <n v="2046"/>
    <n v="0"/>
    <n v="409.20000000000005"/>
    <n v="2520.1999999999998"/>
    <s v="VALE XEL"/>
    <x v="10"/>
  </r>
  <r>
    <x v="50"/>
    <x v="3"/>
    <s v="REIS FÁBRICA"/>
    <s v="REIS FÁBRICA"/>
    <d v="2022-02-21T00:00:00"/>
    <x v="0"/>
    <n v="1518"/>
    <n v="82.8"/>
    <n v="0"/>
    <n v="1435.2"/>
    <n v="0"/>
    <n v="0"/>
    <n v="0"/>
    <n v="0"/>
    <n v="0"/>
    <n v="0"/>
    <n v="65"/>
    <n v="0"/>
    <n v="0"/>
    <n v="0"/>
    <n v="0"/>
    <n v="0"/>
    <n v="0"/>
    <n v="0"/>
    <n v="1435.2"/>
    <n v="0"/>
    <n v="722.33615999999995"/>
    <n v="2222.5361600000001"/>
    <s v="FABRICA"/>
    <x v="3"/>
  </r>
  <r>
    <x v="51"/>
    <x v="4"/>
    <s v="REIS FÁBRICA"/>
    <s v="REIS FÁBRICA"/>
    <d v="2025-03-15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764.00939999999991"/>
    <n v="2282.0093999999999"/>
    <s v="FABRICA"/>
    <x v="3"/>
  </r>
  <r>
    <x v="52"/>
    <x v="7"/>
    <s v="VALE XEL"/>
    <s v="REIS FÁBRICA"/>
    <d v="2023-07-03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303.60000000000002"/>
    <n v="1821.6"/>
    <s v="VALE XEL"/>
    <x v="3"/>
  </r>
  <r>
    <x v="53"/>
    <x v="7"/>
    <s v="REIS FÁBRICA"/>
    <s v="REIS FÁBRICA"/>
    <d v="2018-06-01T00:00:00"/>
    <x v="0"/>
    <n v="1518"/>
    <n v="0"/>
    <n v="0"/>
    <n v="1518"/>
    <n v="700"/>
    <n v="0"/>
    <n v="0"/>
    <n v="0"/>
    <n v="0"/>
    <n v="0"/>
    <n v="65"/>
    <n v="0"/>
    <n v="0"/>
    <n v="0"/>
    <n v="0"/>
    <n v="0"/>
    <n v="0"/>
    <n v="0"/>
    <n v="1518"/>
    <n v="700"/>
    <n v="764.00939999999991"/>
    <n v="2347.0093999999999"/>
    <s v="FABRICA"/>
    <x v="3"/>
  </r>
  <r>
    <x v="54"/>
    <x v="13"/>
    <s v="PSG"/>
    <s v="REIS MTZ"/>
    <d v="2005-02-22T00:00:00"/>
    <x v="0"/>
    <n v="0"/>
    <n v="0"/>
    <n v="0"/>
    <n v="0"/>
    <n v="0"/>
    <n v="5275"/>
    <n v="0"/>
    <n v="0"/>
    <n v="0"/>
    <n v="0"/>
    <n v="0"/>
    <n v="0"/>
    <n v="0"/>
    <n v="0"/>
    <n v="0"/>
    <n v="0"/>
    <n v="0"/>
    <n v="0"/>
    <n v="0"/>
    <n v="5275"/>
    <n v="0"/>
    <n v="0"/>
    <s v="PSG"/>
    <x v="1"/>
  </r>
  <r>
    <x v="55"/>
    <x v="9"/>
    <s v="10K"/>
    <s v="10K"/>
    <d v="2016-05-03T00:00:00"/>
    <x v="0"/>
    <n v="1605"/>
    <n v="0"/>
    <n v="0"/>
    <n v="1605"/>
    <n v="100"/>
    <n v="0"/>
    <n v="0"/>
    <n v="0"/>
    <n v="44.94"/>
    <n v="0"/>
    <n v="65"/>
    <n v="0"/>
    <n v="0"/>
    <n v="0"/>
    <n v="0"/>
    <n v="0"/>
    <n v="0"/>
    <n v="0"/>
    <n v="1649.94"/>
    <n v="100"/>
    <n v="329.98800000000006"/>
    <n v="2044.9280000000001"/>
    <s v="10k DECORAÇÕES"/>
    <x v="0"/>
  </r>
  <r>
    <x v="56"/>
    <x v="3"/>
    <s v="REIS FÁBRICA"/>
    <s v="REIS FÁBRICA"/>
    <d v="2021-01-20T00:00:00"/>
    <x v="0"/>
    <n v="1518"/>
    <n v="0"/>
    <n v="0"/>
    <n v="1518"/>
    <n v="0"/>
    <n v="0"/>
    <n v="0"/>
    <n v="0"/>
    <n v="0"/>
    <n v="0"/>
    <n v="130"/>
    <n v="0"/>
    <n v="0"/>
    <n v="0"/>
    <n v="0"/>
    <n v="0"/>
    <n v="0"/>
    <n v="0"/>
    <n v="1518"/>
    <n v="0"/>
    <n v="764.00939999999991"/>
    <n v="2412.0093999999999"/>
    <s v="FABRICA"/>
    <x v="3"/>
  </r>
  <r>
    <x v="57"/>
    <x v="3"/>
    <s v="REIS FÁBRICA"/>
    <s v="REIS FÁBRICA"/>
    <d v="2007-07-03T00:00:00"/>
    <x v="0"/>
    <n v="1518"/>
    <n v="0"/>
    <n v="0"/>
    <n v="1518"/>
    <n v="400"/>
    <n v="0"/>
    <n v="0"/>
    <n v="0"/>
    <n v="45.54"/>
    <n v="0"/>
    <n v="0"/>
    <n v="0"/>
    <n v="0"/>
    <n v="0"/>
    <n v="0"/>
    <n v="0"/>
    <n v="0"/>
    <n v="0"/>
    <n v="1563.54"/>
    <n v="400"/>
    <n v="786.92968199999996"/>
    <n v="2350.4696819999999"/>
    <s v="FABRICA"/>
    <x v="3"/>
  </r>
  <r>
    <x v="58"/>
    <x v="1"/>
    <s v="05K"/>
    <s v="05K"/>
    <d v="2023-10-03T00:00:00"/>
    <x v="0"/>
    <n v="1660"/>
    <n v="0"/>
    <n v="0"/>
    <n v="1660"/>
    <n v="0"/>
    <n v="0"/>
    <n v="0"/>
    <n v="0"/>
    <n v="0"/>
    <n v="0"/>
    <n v="65"/>
    <n v="0"/>
    <n v="99.6"/>
    <n v="0"/>
    <n v="0"/>
    <n v="99.6"/>
    <n v="0"/>
    <n v="220"/>
    <n v="1880"/>
    <n v="0"/>
    <n v="376"/>
    <n v="2321"/>
    <s v="5K DECORAÇÕES"/>
    <x v="12"/>
  </r>
  <r>
    <x v="59"/>
    <x v="3"/>
    <s v="VALE XEL"/>
    <s v="REIS FÁBRICA"/>
    <d v="2022-08-01T00:00:00"/>
    <x v="0"/>
    <n v="1518"/>
    <n v="55.2"/>
    <n v="0"/>
    <n v="1462.8"/>
    <n v="0"/>
    <n v="0"/>
    <n v="0"/>
    <n v="0"/>
    <n v="0"/>
    <n v="0"/>
    <n v="0"/>
    <n v="0"/>
    <n v="0"/>
    <n v="0"/>
    <n v="0"/>
    <n v="0"/>
    <n v="0"/>
    <n v="0"/>
    <n v="1462.8"/>
    <n v="0"/>
    <n v="292.56"/>
    <n v="1755.36"/>
    <s v="VALE XEL"/>
    <x v="3"/>
  </r>
  <r>
    <x v="60"/>
    <x v="7"/>
    <s v="VALE XEL"/>
    <s v="REIS FÁBRICA"/>
    <d v="2023-07-03T00:00:00"/>
    <x v="0"/>
    <n v="1518"/>
    <n v="0"/>
    <n v="0"/>
    <n v="1518"/>
    <n v="0"/>
    <n v="0"/>
    <n v="0"/>
    <n v="0"/>
    <n v="0"/>
    <n v="0"/>
    <n v="65"/>
    <n v="0"/>
    <n v="0"/>
    <n v="0"/>
    <n v="0"/>
    <n v="0"/>
    <n v="0"/>
    <n v="0"/>
    <n v="1518"/>
    <n v="0"/>
    <n v="303.60000000000002"/>
    <n v="1886.6"/>
    <s v="VALE XEL"/>
    <x v="3"/>
  </r>
  <r>
    <x v="61"/>
    <x v="14"/>
    <s v="REIS MTZ"/>
    <s v="ESCRITORIO"/>
    <d v="2025-03-10T00:00:00"/>
    <x v="0"/>
    <n v="998.2"/>
    <n v="0"/>
    <n v="0"/>
    <n v="998.2"/>
    <n v="0"/>
    <n v="0"/>
    <n v="0"/>
    <n v="0"/>
    <n v="0"/>
    <n v="0"/>
    <n v="0"/>
    <n v="0"/>
    <n v="59.89"/>
    <n v="0"/>
    <n v="0"/>
    <n v="59.89"/>
    <n v="0"/>
    <n v="0"/>
    <n v="998.2"/>
    <n v="0"/>
    <n v="502.39405999999997"/>
    <n v="1500.5940599999999"/>
    <s v="SR PASSOS"/>
    <x v="5"/>
  </r>
  <r>
    <x v="62"/>
    <x v="1"/>
    <s v="AVANTE"/>
    <s v="AVANTE"/>
    <d v="2024-12-07T00:00:00"/>
    <x v="0"/>
    <n v="1528"/>
    <n v="0"/>
    <n v="0"/>
    <n v="1528"/>
    <n v="0"/>
    <n v="0"/>
    <n v="0"/>
    <n v="0"/>
    <n v="0"/>
    <n v="23"/>
    <n v="65"/>
    <n v="0"/>
    <n v="0"/>
    <n v="0"/>
    <n v="23"/>
    <n v="-23"/>
    <n v="0"/>
    <n v="0"/>
    <n v="1528"/>
    <n v="0"/>
    <n v="305.60000000000002"/>
    <n v="1898.6"/>
    <s v="AVANTE"/>
    <x v="8"/>
  </r>
  <r>
    <x v="63"/>
    <x v="1"/>
    <s v="05K"/>
    <s v="RAINHA MAISON"/>
    <d v="2024-06-01T00:00:00"/>
    <x v="0"/>
    <n v="1660"/>
    <n v="0"/>
    <n v="0"/>
    <n v="1660"/>
    <n v="0"/>
    <n v="0"/>
    <n v="83"/>
    <n v="0"/>
    <n v="0"/>
    <n v="0"/>
    <n v="0"/>
    <n v="0"/>
    <n v="0"/>
    <n v="0"/>
    <n v="0"/>
    <n v="0"/>
    <n v="0"/>
    <n v="220"/>
    <n v="1963"/>
    <n v="0"/>
    <n v="392.6"/>
    <n v="2355.6"/>
    <s v="5K DECORAÇÕES"/>
    <x v="9"/>
  </r>
  <r>
    <x v="64"/>
    <x v="7"/>
    <s v="REIS FÁBRICA"/>
    <s v="REIS FÁBRICA"/>
    <d v="2024-06-01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764.00939999999991"/>
    <n v="2282.0093999999999"/>
    <s v="FABRICA"/>
    <x v="3"/>
  </r>
  <r>
    <x v="65"/>
    <x v="7"/>
    <s v="VALE XEL"/>
    <s v="REIS FÁBRICA"/>
    <d v="2023-07-03T00:00:00"/>
    <x v="0"/>
    <n v="1518"/>
    <n v="55.2"/>
    <n v="0"/>
    <n v="1462.8"/>
    <n v="0"/>
    <n v="0"/>
    <n v="0"/>
    <n v="0"/>
    <n v="0"/>
    <n v="0"/>
    <n v="0"/>
    <n v="0"/>
    <n v="0"/>
    <n v="0"/>
    <n v="0"/>
    <n v="0"/>
    <n v="0"/>
    <n v="0"/>
    <n v="1462.8"/>
    <n v="0"/>
    <n v="292.56"/>
    <n v="1755.36"/>
    <s v="VALE XEL"/>
    <x v="3"/>
  </r>
  <r>
    <x v="66"/>
    <x v="4"/>
    <s v="REIS FABRICA"/>
    <s v="REIS FÁBRICA"/>
    <d v="2025-01-17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764.00939999999991"/>
    <n v="2282.0093999999999"/>
    <s v="FABRICA"/>
    <x v="3"/>
  </r>
  <r>
    <x v="67"/>
    <x v="15"/>
    <s v="REIS MTZ"/>
    <s v="ESCRITORIO"/>
    <d v="2010-02-01T00:00:00"/>
    <x v="0"/>
    <n v="2092.21"/>
    <n v="0"/>
    <n v="0"/>
    <n v="2092.21"/>
    <n v="300"/>
    <n v="0"/>
    <n v="0"/>
    <n v="0"/>
    <n v="313.83"/>
    <n v="0"/>
    <n v="0"/>
    <n v="0"/>
    <n v="0"/>
    <n v="0"/>
    <n v="0"/>
    <n v="0"/>
    <n v="78.78"/>
    <n v="220"/>
    <n v="2626.04"/>
    <n v="300"/>
    <n v="1321.6859319999999"/>
    <n v="3947.7259319999998"/>
    <s v="SR PASSOS"/>
    <x v="5"/>
  </r>
  <r>
    <x v="68"/>
    <x v="16"/>
    <s v="GRAND CANYON"/>
    <s v="GRAND CANYON"/>
    <d v="2023-09-11T00:00:00"/>
    <x v="0"/>
    <n v="1885.86"/>
    <n v="0"/>
    <n v="0"/>
    <n v="1885.86"/>
    <n v="0"/>
    <n v="0"/>
    <n v="0"/>
    <n v="0"/>
    <n v="0"/>
    <n v="0"/>
    <n v="65"/>
    <n v="0"/>
    <n v="0"/>
    <n v="0"/>
    <n v="0"/>
    <n v="0"/>
    <n v="0"/>
    <n v="0"/>
    <n v="1885.86"/>
    <n v="0"/>
    <n v="377.17200000000003"/>
    <n v="2328.0320000000002"/>
    <s v="GRAND CANYON"/>
    <x v="7"/>
  </r>
  <r>
    <x v="69"/>
    <x v="4"/>
    <s v="REIS FABRICA"/>
    <s v="REIS FABRICA"/>
    <d v="2025-02-18T00:00:00"/>
    <x v="0"/>
    <n v="0"/>
    <n v="0"/>
    <n v="0"/>
    <n v="0"/>
    <n v="0"/>
    <n v="759"/>
    <n v="0"/>
    <n v="0"/>
    <n v="0"/>
    <n v="0"/>
    <n v="0"/>
    <n v="0"/>
    <n v="0"/>
    <n v="0"/>
    <n v="0"/>
    <n v="0"/>
    <n v="0"/>
    <n v="0"/>
    <n v="0"/>
    <n v="759"/>
    <n v="0"/>
    <n v="0"/>
    <s v="FABRICA"/>
    <x v="3"/>
  </r>
  <r>
    <x v="70"/>
    <x v="1"/>
    <s v="METANOIA"/>
    <s v="METANOIA"/>
    <d v="2018-04-09T00:00:00"/>
    <x v="0"/>
    <n v="1694.35"/>
    <n v="0"/>
    <n v="0"/>
    <n v="1694.35"/>
    <n v="0"/>
    <n v="0"/>
    <n v="152.5"/>
    <n v="0"/>
    <n v="101.66"/>
    <n v="0"/>
    <n v="0"/>
    <n v="0"/>
    <n v="0"/>
    <n v="0"/>
    <n v="0"/>
    <n v="0"/>
    <n v="0"/>
    <n v="0"/>
    <n v="1948.51"/>
    <n v="0"/>
    <n v="389.702"/>
    <n v="2338.212"/>
    <s v="METANÓIA"/>
    <x v="11"/>
  </r>
  <r>
    <x v="71"/>
    <x v="2"/>
    <s v="GENESIS"/>
    <s v="ESCRITORIO"/>
    <d v="2008-06-02T00:00:00"/>
    <x v="0"/>
    <n v="3604.02"/>
    <n v="0"/>
    <n v="0"/>
    <n v="3604.02"/>
    <n v="0"/>
    <n v="0"/>
    <n v="0"/>
    <n v="0"/>
    <n v="540.6"/>
    <n v="0"/>
    <n v="0"/>
    <n v="0"/>
    <n v="0"/>
    <n v="0"/>
    <n v="0"/>
    <n v="0"/>
    <n v="0"/>
    <n v="0"/>
    <n v="4144.62"/>
    <n v="0"/>
    <n v="828.92399999999998"/>
    <n v="4973.5439999999999"/>
    <s v="GENESIS"/>
    <x v="5"/>
  </r>
  <r>
    <x v="72"/>
    <x v="3"/>
    <s v="REIS FÁBRICA"/>
    <s v="REIS FÁBRICA"/>
    <d v="2021-01-20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764.00939999999991"/>
    <n v="2282.0093999999999"/>
    <s v="FABRICA"/>
    <x v="3"/>
  </r>
  <r>
    <x v="73"/>
    <x v="17"/>
    <s v="RAINHA HOME"/>
    <s v="ESCRITORIO"/>
    <d v="2024-03-01T00:00:00"/>
    <x v="0"/>
    <n v="0"/>
    <n v="0"/>
    <n v="0"/>
    <n v="0"/>
    <n v="0"/>
    <n v="2110"/>
    <n v="0"/>
    <n v="0"/>
    <n v="0"/>
    <n v="0"/>
    <n v="0"/>
    <n v="0"/>
    <n v="0"/>
    <n v="0"/>
    <n v="0"/>
    <n v="0"/>
    <n v="0"/>
    <n v="0"/>
    <n v="0"/>
    <n v="2110"/>
    <n v="0"/>
    <n v="0"/>
    <s v="HOME CENTER"/>
    <x v="5"/>
  </r>
  <r>
    <x v="74"/>
    <x v="18"/>
    <s v="PSG"/>
    <s v="ESCRITORIO"/>
    <d v="2023-12-22T00:00:00"/>
    <x v="0"/>
    <n v="0"/>
    <n v="0"/>
    <n v="0"/>
    <n v="0"/>
    <n v="0"/>
    <n v="1081.364"/>
    <n v="0"/>
    <n v="0"/>
    <n v="0"/>
    <n v="0"/>
    <n v="0"/>
    <n v="0"/>
    <n v="0"/>
    <n v="0"/>
    <n v="0"/>
    <n v="0"/>
    <n v="0"/>
    <n v="0"/>
    <n v="0"/>
    <n v="1081.364"/>
    <n v="0"/>
    <n v="0"/>
    <s v="PSG"/>
    <x v="5"/>
  </r>
  <r>
    <x v="75"/>
    <x v="1"/>
    <s v="GENESIS"/>
    <s v="GENESIS"/>
    <d v="2007-09-01T00:00:00"/>
    <x v="0"/>
    <n v="1660"/>
    <n v="0"/>
    <n v="0"/>
    <n v="1660"/>
    <n v="0"/>
    <n v="0"/>
    <n v="0"/>
    <n v="0"/>
    <n v="249"/>
    <n v="0"/>
    <n v="0"/>
    <n v="0"/>
    <n v="99.6"/>
    <n v="0"/>
    <n v="0"/>
    <n v="99.6"/>
    <n v="0"/>
    <n v="0"/>
    <n v="1909"/>
    <n v="0"/>
    <n v="381.8"/>
    <n v="2290.8000000000002"/>
    <s v="GENESIS"/>
    <x v="2"/>
  </r>
  <r>
    <x v="76"/>
    <x v="1"/>
    <s v="AVANTE"/>
    <s v="AVANTE"/>
    <d v="2024-12-07T00:00:00"/>
    <x v="0"/>
    <n v="1528"/>
    <n v="0"/>
    <n v="0"/>
    <n v="1528"/>
    <n v="0"/>
    <n v="0"/>
    <n v="183.36"/>
    <n v="0"/>
    <n v="0"/>
    <n v="23"/>
    <n v="65"/>
    <n v="0"/>
    <n v="0"/>
    <n v="0"/>
    <n v="23"/>
    <n v="-23"/>
    <n v="0"/>
    <n v="0"/>
    <n v="1711.3600000000001"/>
    <n v="0"/>
    <n v="342.27200000000005"/>
    <n v="2118.6320000000001"/>
    <s v="AVANTE"/>
    <x v="8"/>
  </r>
  <r>
    <x v="77"/>
    <x v="3"/>
    <s v="VALE XEL"/>
    <s v="REIS FÁBRICA"/>
    <d v="2024-04-08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303.60000000000002"/>
    <n v="1821.6"/>
    <s v="VALE XEL"/>
    <x v="3"/>
  </r>
  <r>
    <x v="78"/>
    <x v="19"/>
    <s v="REIS FÁBRICA"/>
    <s v="REIS FÁBRICA"/>
    <d v="2014-08-01T00:00:00"/>
    <x v="0"/>
    <n v="1518"/>
    <n v="0"/>
    <n v="0"/>
    <n v="1518"/>
    <n v="200"/>
    <n v="0"/>
    <n v="0"/>
    <n v="0"/>
    <n v="0"/>
    <n v="0"/>
    <n v="0"/>
    <n v="0"/>
    <n v="0"/>
    <n v="0"/>
    <n v="0"/>
    <n v="0"/>
    <n v="0"/>
    <n v="0"/>
    <n v="1518"/>
    <n v="200"/>
    <n v="764.00939999999991"/>
    <n v="2282.0093999999999"/>
    <s v="FABRICA"/>
    <x v="3"/>
  </r>
  <r>
    <x v="79"/>
    <x v="3"/>
    <s v="REIS FÁBRICA"/>
    <s v="REIS FÁBRICA"/>
    <d v="2021-01-20T00:00:00"/>
    <x v="0"/>
    <n v="1518"/>
    <n v="124.2"/>
    <n v="0"/>
    <n v="1393.8"/>
    <n v="100"/>
    <n v="0"/>
    <n v="0"/>
    <n v="0"/>
    <n v="0"/>
    <n v="0"/>
    <n v="0"/>
    <n v="0"/>
    <n v="0"/>
    <n v="0"/>
    <n v="0"/>
    <n v="0"/>
    <n v="0"/>
    <n v="0"/>
    <n v="1393.8"/>
    <n v="100"/>
    <n v="701.49953999999991"/>
    <n v="2095.29954"/>
    <s v="FABRICA"/>
    <x v="3"/>
  </r>
  <r>
    <x v="80"/>
    <x v="20"/>
    <s v="GENESIS"/>
    <s v="ESCRITORIO"/>
    <d v="2009-07-01T00:00:00"/>
    <x v="0"/>
    <n v="5808.37"/>
    <n v="0"/>
    <n v="0"/>
    <n v="5808.37"/>
    <n v="0"/>
    <n v="0"/>
    <n v="0"/>
    <n v="0"/>
    <n v="871.25"/>
    <n v="0"/>
    <n v="0"/>
    <n v="0"/>
    <n v="0"/>
    <n v="0"/>
    <n v="0"/>
    <n v="0"/>
    <n v="0"/>
    <n v="0"/>
    <n v="6679.62"/>
    <n v="0"/>
    <n v="1335.924"/>
    <n v="8015.5439999999999"/>
    <s v="GENESIS"/>
    <x v="5"/>
  </r>
  <r>
    <x v="81"/>
    <x v="7"/>
    <s v="REIS FÁBRICA"/>
    <s v="REIS FÁBRICA"/>
    <d v="2020-12-08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764.00939999999991"/>
    <n v="2282.0093999999999"/>
    <s v="FABRICA"/>
    <x v="3"/>
  </r>
  <r>
    <x v="82"/>
    <x v="21"/>
    <s v="REIS FÁBRICA"/>
    <s v="REIS FÁBRICA"/>
    <d v="2010-08-02T00:00:00"/>
    <x v="0"/>
    <n v="2300"/>
    <n v="0"/>
    <n v="0"/>
    <n v="2300"/>
    <n v="0"/>
    <n v="766.44"/>
    <n v="0"/>
    <n v="0"/>
    <n v="69"/>
    <n v="0"/>
    <n v="0"/>
    <n v="0"/>
    <n v="0"/>
    <n v="0"/>
    <n v="0"/>
    <n v="0"/>
    <n v="0"/>
    <n v="0"/>
    <n v="2369"/>
    <n v="766.44"/>
    <n v="1192.3176999999998"/>
    <n v="3561.3176999999996"/>
    <s v="FABRICA"/>
    <x v="3"/>
  </r>
  <r>
    <x v="83"/>
    <x v="9"/>
    <s v="PRATIKA"/>
    <s v="30K"/>
    <d v="2022-11-01T00:00:00"/>
    <x v="0"/>
    <n v="1660"/>
    <n v="0"/>
    <n v="0"/>
    <n v="1660"/>
    <n v="150"/>
    <n v="0"/>
    <n v="0"/>
    <n v="0"/>
    <n v="0"/>
    <n v="0"/>
    <n v="0"/>
    <n v="0"/>
    <n v="0"/>
    <n v="0"/>
    <n v="0"/>
    <n v="0"/>
    <n v="0"/>
    <n v="220"/>
    <n v="1880"/>
    <n v="150"/>
    <n v="376"/>
    <n v="2256"/>
    <s v="PRATTIKA"/>
    <x v="4"/>
  </r>
  <r>
    <x v="84"/>
    <x v="4"/>
    <s v="REIS FABRICA"/>
    <s v="REIS FÁBRICA"/>
    <d v="2025-03-15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764.00939999999991"/>
    <n v="2282.0093999999999"/>
    <s v="FABRICA"/>
    <x v="3"/>
  </r>
  <r>
    <x v="85"/>
    <x v="22"/>
    <s v="REIS FÁBRICA"/>
    <s v="REIS FÁBRICA"/>
    <d v="2007-06-01T00:00:00"/>
    <x v="0"/>
    <n v="0"/>
    <n v="0"/>
    <n v="0"/>
    <n v="0"/>
    <n v="200"/>
    <n v="0"/>
    <n v="0"/>
    <n v="0"/>
    <n v="0"/>
    <n v="0"/>
    <n v="0"/>
    <n v="0"/>
    <n v="0"/>
    <n v="0"/>
    <n v="0"/>
    <n v="0"/>
    <n v="0"/>
    <n v="0"/>
    <n v="0"/>
    <n v="200"/>
    <n v="0"/>
    <n v="0"/>
    <s v="FABRICA"/>
    <x v="3"/>
  </r>
  <r>
    <x v="86"/>
    <x v="3"/>
    <s v="REIS FÁBRICA"/>
    <s v="REIS FÁBRICA"/>
    <d v="2007-06-01T00:00:00"/>
    <x v="0"/>
    <n v="1518"/>
    <n v="0"/>
    <n v="0"/>
    <n v="1518"/>
    <n v="0"/>
    <n v="0"/>
    <n v="0"/>
    <n v="0"/>
    <n v="45.54"/>
    <n v="0"/>
    <n v="65"/>
    <n v="0"/>
    <n v="0"/>
    <n v="0"/>
    <n v="0"/>
    <n v="0"/>
    <n v="0"/>
    <n v="0"/>
    <n v="1563.54"/>
    <n v="0"/>
    <n v="786.92968199999996"/>
    <n v="2415.4696819999999"/>
    <s v="FABRICA"/>
    <x v="3"/>
  </r>
  <r>
    <x v="87"/>
    <x v="3"/>
    <s v="VALE XEL"/>
    <s v="30K"/>
    <d v="2022-08-01T00:00:00"/>
    <x v="0"/>
    <n v="1518"/>
    <n v="0"/>
    <n v="0"/>
    <n v="1518"/>
    <n v="482"/>
    <n v="0"/>
    <n v="0"/>
    <n v="0"/>
    <n v="0"/>
    <n v="0"/>
    <n v="65"/>
    <n v="0"/>
    <n v="0"/>
    <n v="0"/>
    <n v="0"/>
    <n v="0"/>
    <n v="0"/>
    <n v="0"/>
    <n v="1518"/>
    <n v="482"/>
    <n v="303.60000000000002"/>
    <n v="1886.6"/>
    <s v="VALE XEL"/>
    <x v="4"/>
  </r>
  <r>
    <x v="88"/>
    <x v="4"/>
    <s v="REIS FABRICA"/>
    <s v="REIS FABRICA"/>
    <d v="2025-02-18T00:00:00"/>
    <x v="0"/>
    <n v="0"/>
    <n v="0"/>
    <n v="0"/>
    <n v="0"/>
    <n v="0"/>
    <n v="759"/>
    <n v="0"/>
    <n v="0"/>
    <n v="0"/>
    <n v="0"/>
    <n v="0"/>
    <n v="0"/>
    <n v="0"/>
    <n v="0"/>
    <n v="0"/>
    <n v="0"/>
    <n v="0"/>
    <n v="0"/>
    <n v="0"/>
    <n v="759"/>
    <n v="0"/>
    <n v="0"/>
    <s v="FABRICA"/>
    <x v="3"/>
  </r>
  <r>
    <x v="89"/>
    <x v="23"/>
    <s v="REIS FABRICA"/>
    <s v="REIS FÁBRICA"/>
    <d v="2024-03-01T00:00:00"/>
    <x v="0"/>
    <n v="0"/>
    <n v="0"/>
    <n v="0"/>
    <n v="0"/>
    <n v="0"/>
    <n v="600"/>
    <n v="0"/>
    <n v="0"/>
    <n v="0"/>
    <n v="0"/>
    <n v="0"/>
    <n v="0"/>
    <n v="0"/>
    <n v="0"/>
    <n v="0"/>
    <n v="0"/>
    <n v="0"/>
    <n v="0"/>
    <n v="0"/>
    <n v="600"/>
    <n v="0"/>
    <n v="0"/>
    <s v="FABRICA"/>
    <x v="3"/>
  </r>
  <r>
    <x v="90"/>
    <x v="4"/>
    <s v="REIS FABRICA"/>
    <s v="REIS FÁBRICA"/>
    <d v="2025-03-15T00:00:00"/>
    <x v="0"/>
    <n v="1518"/>
    <n v="41.4"/>
    <n v="0"/>
    <n v="1476.6"/>
    <n v="0"/>
    <n v="0"/>
    <n v="0"/>
    <n v="0"/>
    <n v="0"/>
    <n v="0"/>
    <n v="0"/>
    <n v="0"/>
    <n v="0"/>
    <n v="0"/>
    <n v="0"/>
    <n v="0"/>
    <n v="0"/>
    <n v="0"/>
    <n v="1476.6"/>
    <n v="0"/>
    <n v="743.17277999999988"/>
    <n v="2219.7727799999998"/>
    <s v="FABRICA"/>
    <x v="3"/>
  </r>
  <r>
    <x v="91"/>
    <x v="7"/>
    <s v="REIS FÁBRICA"/>
    <s v="REIS FÁBRICA"/>
    <d v="2007-10-01T00:00:00"/>
    <x v="0"/>
    <n v="1518"/>
    <n v="0"/>
    <n v="0"/>
    <n v="1518"/>
    <n v="200"/>
    <n v="0"/>
    <n v="0"/>
    <n v="0"/>
    <n v="45.54"/>
    <n v="0"/>
    <n v="0"/>
    <n v="0"/>
    <n v="0"/>
    <n v="0"/>
    <n v="0"/>
    <n v="0"/>
    <n v="0"/>
    <n v="0"/>
    <n v="1563.54"/>
    <n v="200"/>
    <n v="786.92968199999996"/>
    <n v="2350.4696819999999"/>
    <s v="FABRICA"/>
    <x v="3"/>
  </r>
  <r>
    <x v="92"/>
    <x v="7"/>
    <s v="VALE XEL"/>
    <s v="REIS FÁBRICA"/>
    <d v="2022-08-01T00:00:00"/>
    <x v="0"/>
    <n v="1518"/>
    <n v="0"/>
    <n v="0"/>
    <n v="1518"/>
    <n v="0"/>
    <n v="0"/>
    <n v="0"/>
    <n v="0"/>
    <n v="0"/>
    <n v="0"/>
    <n v="65"/>
    <n v="0"/>
    <n v="0"/>
    <n v="0"/>
    <n v="0"/>
    <n v="0"/>
    <n v="0"/>
    <n v="0"/>
    <n v="1518"/>
    <n v="0"/>
    <n v="303.60000000000002"/>
    <n v="1886.6"/>
    <s v="VALE XEL"/>
    <x v="3"/>
  </r>
  <r>
    <x v="93"/>
    <x v="3"/>
    <s v="REIS FÁBRICA"/>
    <s v="REIS FÁBRICA"/>
    <d v="2014-01-11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764.00939999999991"/>
    <n v="2282.0093999999999"/>
    <s v="FABRICA"/>
    <x v="3"/>
  </r>
  <r>
    <x v="94"/>
    <x v="4"/>
    <s v="REIS FABRICA"/>
    <s v="REIS FABRICA"/>
    <d v="2025-03-01T00:00:00"/>
    <x v="0"/>
    <n v="0"/>
    <n v="0"/>
    <n v="0"/>
    <n v="0"/>
    <n v="0"/>
    <n v="759"/>
    <n v="0"/>
    <n v="0"/>
    <n v="0"/>
    <n v="0"/>
    <n v="0"/>
    <n v="0"/>
    <n v="0"/>
    <n v="0"/>
    <n v="0"/>
    <n v="0"/>
    <n v="0"/>
    <n v="0"/>
    <n v="0"/>
    <n v="759"/>
    <n v="0"/>
    <n v="0"/>
    <s v="FABRICA"/>
    <x v="3"/>
  </r>
  <r>
    <x v="95"/>
    <x v="1"/>
    <s v="GRAND CANYON"/>
    <s v="GRAND CANYON"/>
    <d v="2025-03-01T00:00:00"/>
    <x v="0"/>
    <n v="0"/>
    <n v="0"/>
    <n v="0"/>
    <n v="0"/>
    <n v="0"/>
    <n v="1113.2"/>
    <n v="0"/>
    <n v="0"/>
    <n v="0"/>
    <n v="0"/>
    <n v="0"/>
    <n v="0"/>
    <n v="0"/>
    <n v="0"/>
    <n v="0"/>
    <n v="0"/>
    <n v="0"/>
    <n v="0"/>
    <n v="0"/>
    <n v="1113.2"/>
    <n v="0"/>
    <n v="0"/>
    <s v="GRAND CANYON"/>
    <x v="7"/>
  </r>
  <r>
    <x v="96"/>
    <x v="7"/>
    <s v="VALE XEL"/>
    <s v="REIS FÁBRICA"/>
    <d v="2022-08-01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303.60000000000002"/>
    <n v="1821.6"/>
    <s v="VALE XEL"/>
    <x v="3"/>
  </r>
  <r>
    <x v="97"/>
    <x v="0"/>
    <s v="FENIX"/>
    <s v="GENESIS"/>
    <d v="2022-04-12T00:00:00"/>
    <x v="0"/>
    <n v="1660"/>
    <n v="0"/>
    <n v="0"/>
    <n v="1660"/>
    <n v="0"/>
    <n v="0"/>
    <n v="83"/>
    <n v="0"/>
    <n v="83"/>
    <n v="20"/>
    <n v="65"/>
    <n v="0"/>
    <n v="0"/>
    <n v="0"/>
    <n v="20"/>
    <n v="-20"/>
    <n v="0"/>
    <n v="220"/>
    <n v="2046"/>
    <n v="0"/>
    <n v="409.20000000000005"/>
    <n v="2520.1999999999998"/>
    <s v="FENIX"/>
    <x v="2"/>
  </r>
  <r>
    <x v="98"/>
    <x v="24"/>
    <s v="PSG"/>
    <s v="ESCRITORIO"/>
    <d v="2023-10-17T00:00:00"/>
    <x v="0"/>
    <n v="0"/>
    <n v="0"/>
    <n v="0"/>
    <n v="0"/>
    <n v="0"/>
    <n v="3165"/>
    <n v="0"/>
    <n v="0"/>
    <n v="0"/>
    <n v="0"/>
    <n v="0"/>
    <n v="0"/>
    <n v="0"/>
    <n v="0"/>
    <n v="0"/>
    <n v="0"/>
    <n v="0"/>
    <n v="0"/>
    <n v="0"/>
    <n v="3165"/>
    <n v="0"/>
    <n v="0"/>
    <s v="PSG"/>
    <x v="5"/>
  </r>
  <r>
    <x v="99"/>
    <x v="2"/>
    <s v="GRAND CANYON"/>
    <s v="GRAND CANYON"/>
    <d v="2018-10-10T00:00:00"/>
    <x v="0"/>
    <n v="2667.41"/>
    <n v="0"/>
    <n v="0"/>
    <n v="2667.41"/>
    <n v="500"/>
    <n v="0"/>
    <n v="0"/>
    <n v="0"/>
    <n v="0"/>
    <n v="0"/>
    <n v="0"/>
    <n v="0"/>
    <n v="0"/>
    <n v="0"/>
    <n v="0"/>
    <n v="0"/>
    <n v="0"/>
    <n v="0"/>
    <n v="2667.41"/>
    <n v="500"/>
    <n v="533.48199999999997"/>
    <n v="3200.8919999999998"/>
    <s v="GRAND CANYON"/>
    <x v="7"/>
  </r>
  <r>
    <x v="100"/>
    <x v="3"/>
    <s v="VALE XEL"/>
    <s v="REIS FÁBRICA"/>
    <d v="2022-08-01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303.60000000000002"/>
    <n v="1821.6"/>
    <s v="VALE XEL"/>
    <x v="3"/>
  </r>
  <r>
    <x v="101"/>
    <x v="25"/>
    <s v="PRATIKA"/>
    <s v="ESCRITORIO"/>
    <d v="2022-10-10T00:00:00"/>
    <x v="0"/>
    <n v="2110"/>
    <n v="0"/>
    <n v="0"/>
    <n v="2110"/>
    <n v="0"/>
    <n v="0"/>
    <n v="0"/>
    <n v="0"/>
    <n v="0"/>
    <n v="0"/>
    <n v="0"/>
    <n v="0"/>
    <n v="0"/>
    <n v="0"/>
    <n v="0"/>
    <n v="0"/>
    <n v="0"/>
    <n v="220"/>
    <n v="2330"/>
    <n v="0"/>
    <n v="466"/>
    <n v="2796"/>
    <s v="PRATTIKA"/>
    <x v="5"/>
  </r>
  <r>
    <x v="102"/>
    <x v="1"/>
    <s v="RAINHA HOME"/>
    <s v="GENESIS"/>
    <d v="2017-11-17T00:00:00"/>
    <x v="0"/>
    <n v="1660"/>
    <n v="0"/>
    <n v="0"/>
    <n v="1660"/>
    <n v="0"/>
    <n v="0"/>
    <n v="0"/>
    <n v="0"/>
    <n v="166"/>
    <n v="20"/>
    <n v="0"/>
    <n v="0"/>
    <n v="99.6"/>
    <n v="0"/>
    <n v="20"/>
    <n v="79.599999999999994"/>
    <n v="0"/>
    <n v="220"/>
    <n v="2046"/>
    <n v="0"/>
    <n v="409.20000000000005"/>
    <n v="2455.1999999999998"/>
    <s v="HOME CENTER"/>
    <x v="2"/>
  </r>
  <r>
    <x v="103"/>
    <x v="15"/>
    <s v="RAINHA HOME"/>
    <s v="ESCRITORIO"/>
    <d v="2017-04-26T00:00:00"/>
    <x v="0"/>
    <n v="2092.21"/>
    <n v="0"/>
    <n v="0"/>
    <n v="2092.21"/>
    <n v="0"/>
    <n v="0"/>
    <n v="0"/>
    <n v="0"/>
    <n v="209.22"/>
    <n v="20"/>
    <n v="0"/>
    <n v="0"/>
    <n v="0"/>
    <n v="0"/>
    <n v="20"/>
    <n v="-20"/>
    <n v="48"/>
    <n v="220"/>
    <n v="2521.4299999999998"/>
    <n v="0"/>
    <n v="504.286"/>
    <n v="3025.7159999999999"/>
    <s v="HOME CENTER"/>
    <x v="5"/>
  </r>
  <r>
    <x v="104"/>
    <x v="1"/>
    <s v="15K"/>
    <s v="15K"/>
    <d v="2023-11-06T00:00:00"/>
    <x v="0"/>
    <n v="1518"/>
    <n v="0"/>
    <n v="0"/>
    <n v="1518"/>
    <n v="0"/>
    <n v="0"/>
    <n v="0"/>
    <n v="0"/>
    <n v="0"/>
    <n v="20"/>
    <n v="0"/>
    <n v="0"/>
    <n v="0"/>
    <n v="0"/>
    <n v="20"/>
    <n v="-20"/>
    <n v="81.319999999999993"/>
    <n v="0"/>
    <n v="1518"/>
    <n v="0"/>
    <n v="303.60000000000002"/>
    <n v="1821.6"/>
    <s v="15 K COMERCIAL"/>
    <x v="6"/>
  </r>
  <r>
    <x v="105"/>
    <x v="4"/>
    <s v="REIS FABRICA"/>
    <s v="REIS FÁBRICA"/>
    <d v="2025-04-01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764.00939999999991"/>
    <n v="2282.0093999999999"/>
    <s v="FABRICA"/>
    <x v="3"/>
  </r>
  <r>
    <x v="106"/>
    <x v="0"/>
    <s v="GRAND CANYON"/>
    <s v="GRAND CANYON"/>
    <d v="2023-11-22T00:00:00"/>
    <x v="0"/>
    <n v="1600"/>
    <n v="0"/>
    <n v="0"/>
    <n v="1600"/>
    <n v="0"/>
    <n v="0"/>
    <n v="192"/>
    <n v="0"/>
    <n v="0"/>
    <n v="0"/>
    <n v="65"/>
    <n v="0"/>
    <n v="0"/>
    <n v="0"/>
    <n v="0"/>
    <n v="0"/>
    <n v="0"/>
    <n v="0"/>
    <n v="1792"/>
    <n v="0"/>
    <n v="358.40000000000003"/>
    <n v="2215.4"/>
    <s v="GRAND CANYON"/>
    <x v="7"/>
  </r>
  <r>
    <x v="107"/>
    <x v="7"/>
    <s v="VALE XEL"/>
    <s v="REIS FÁBRICA"/>
    <d v="2022-08-01T00:00:00"/>
    <x v="0"/>
    <n v="1518"/>
    <n v="55.2"/>
    <n v="0"/>
    <n v="1462.8"/>
    <n v="0"/>
    <n v="0"/>
    <n v="0"/>
    <n v="0"/>
    <n v="0"/>
    <n v="0"/>
    <n v="130"/>
    <n v="0"/>
    <n v="0"/>
    <n v="0"/>
    <n v="0"/>
    <n v="0"/>
    <n v="0"/>
    <n v="0"/>
    <n v="1462.8"/>
    <n v="0"/>
    <n v="292.56"/>
    <n v="1885.36"/>
    <s v="VALE XEL"/>
    <x v="3"/>
  </r>
  <r>
    <x v="108"/>
    <x v="2"/>
    <s v="RAINHA MAISON"/>
    <s v="REIS MTZ"/>
    <d v="2012-11-01T00:00:00"/>
    <x v="0"/>
    <n v="3687.65"/>
    <n v="0"/>
    <n v="0"/>
    <n v="3687.65"/>
    <n v="0"/>
    <n v="0"/>
    <n v="0"/>
    <n v="0"/>
    <n v="553.15"/>
    <n v="0"/>
    <n v="0"/>
    <n v="0"/>
    <n v="0"/>
    <n v="0"/>
    <n v="0"/>
    <n v="0"/>
    <n v="0"/>
    <n v="220"/>
    <n v="4460.8"/>
    <n v="0"/>
    <n v="892.16000000000008"/>
    <n v="5352.96"/>
    <s v="MAISON"/>
    <x v="1"/>
  </r>
  <r>
    <x v="109"/>
    <x v="18"/>
    <s v="GRAND CANYON"/>
    <s v="GRAND CANYON"/>
    <d v="2025-04-01T00:00:00"/>
    <x v="0"/>
    <n v="0"/>
    <n v="0"/>
    <n v="0"/>
    <n v="0"/>
    <n v="0"/>
    <n v="1163.8"/>
    <n v="0"/>
    <n v="0"/>
    <n v="0"/>
    <n v="0"/>
    <n v="0"/>
    <n v="0"/>
    <n v="0"/>
    <n v="0"/>
    <n v="0"/>
    <n v="0"/>
    <n v="0"/>
    <n v="0"/>
    <n v="0"/>
    <n v="1163.8"/>
    <n v="0"/>
    <n v="0"/>
    <s v="GRAND CANYON"/>
    <x v="7"/>
  </r>
  <r>
    <x v="110"/>
    <x v="6"/>
    <s v="AVANTE"/>
    <s v="AVANTE"/>
    <d v="2023-10-03T00:00:00"/>
    <x v="0"/>
    <n v="2500"/>
    <n v="0"/>
    <n v="0"/>
    <n v="2500"/>
    <n v="0"/>
    <n v="0"/>
    <n v="0"/>
    <n v="0"/>
    <n v="0"/>
    <n v="23"/>
    <n v="0"/>
    <n v="0"/>
    <n v="0"/>
    <n v="0"/>
    <n v="23"/>
    <n v="-23"/>
    <n v="73.63"/>
    <n v="0"/>
    <n v="2500"/>
    <n v="0"/>
    <n v="500"/>
    <n v="3000"/>
    <s v="AVANTE"/>
    <x v="8"/>
  </r>
  <r>
    <x v="111"/>
    <x v="7"/>
    <s v="VALE XEL"/>
    <s v="REIS FÁBRICA"/>
    <d v="2022-08-01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303.60000000000002"/>
    <n v="1821.6"/>
    <s v="VALE XEL"/>
    <x v="3"/>
  </r>
  <r>
    <x v="112"/>
    <x v="1"/>
    <s v="15K"/>
    <s v="15K"/>
    <d v="2022-05-02T00:00:00"/>
    <x v="2"/>
    <n v="1214.4000000000001"/>
    <n v="0"/>
    <n v="0"/>
    <n v="1214.4000000000001"/>
    <n v="0"/>
    <n v="0"/>
    <n v="0"/>
    <n v="0"/>
    <n v="0"/>
    <n v="20"/>
    <n v="52"/>
    <n v="0"/>
    <n v="0"/>
    <n v="0"/>
    <n v="20"/>
    <n v="-20"/>
    <n v="233.95"/>
    <n v="0"/>
    <n v="1214.4000000000001"/>
    <n v="0"/>
    <n v="242.88000000000002"/>
    <n v="1509.2800000000002"/>
    <s v="15 K COMERCIAL"/>
    <x v="6"/>
  </r>
  <r>
    <x v="113"/>
    <x v="4"/>
    <s v="REIS FÁBRICA"/>
    <s v="REIS FÁBRICA"/>
    <d v="2025-04-01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764.00939999999991"/>
    <n v="2282.0093999999999"/>
    <s v="FABRICA"/>
    <x v="3"/>
  </r>
  <r>
    <x v="114"/>
    <x v="4"/>
    <s v="REIS FABRICA"/>
    <s v="REIS FÁBRICA"/>
    <d v="2025-03-15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764.00939999999991"/>
    <n v="2282.0093999999999"/>
    <s v="FABRICA"/>
    <x v="3"/>
  </r>
  <r>
    <x v="115"/>
    <x v="1"/>
    <s v="REIS MTZ"/>
    <s v="RAINHA MAISON"/>
    <d v="2010-02-01T00:00:00"/>
    <x v="0"/>
    <n v="2321"/>
    <n v="0"/>
    <n v="0"/>
    <n v="2321"/>
    <n v="0"/>
    <n v="0"/>
    <n v="0"/>
    <n v="0"/>
    <n v="348.15"/>
    <n v="0"/>
    <n v="0"/>
    <n v="0"/>
    <n v="139.26"/>
    <n v="0"/>
    <n v="0"/>
    <n v="139.26"/>
    <n v="0"/>
    <n v="220"/>
    <n v="2889.15"/>
    <n v="0"/>
    <n v="1454.109195"/>
    <n v="4343.2591950000005"/>
    <s v="SR PASSOS"/>
    <x v="9"/>
  </r>
  <r>
    <x v="116"/>
    <x v="7"/>
    <s v="VALE XEL"/>
    <s v="REIS FÁBRICA"/>
    <d v="2022-08-01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303.60000000000002"/>
    <n v="1821.6"/>
    <s v="VALE XEL"/>
    <x v="3"/>
  </r>
  <r>
    <x v="117"/>
    <x v="7"/>
    <s v="REIS FÁBRICA"/>
    <s v="REIS FÁBRICA"/>
    <d v="2024-06-01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764.00939999999991"/>
    <n v="2282.0093999999999"/>
    <s v="FABRICA"/>
    <x v="3"/>
  </r>
  <r>
    <x v="118"/>
    <x v="0"/>
    <s v="FENIX"/>
    <s v="REIS MTZ"/>
    <d v="2024-02-07T00:00:00"/>
    <x v="0"/>
    <n v="2000"/>
    <n v="0"/>
    <n v="0"/>
    <n v="2000"/>
    <n v="0"/>
    <n v="0"/>
    <n v="0"/>
    <n v="0"/>
    <n v="0"/>
    <n v="0"/>
    <n v="0"/>
    <n v="0"/>
    <n v="120"/>
    <n v="0"/>
    <n v="0"/>
    <n v="120"/>
    <n v="0"/>
    <n v="0"/>
    <n v="2000"/>
    <n v="0"/>
    <n v="400"/>
    <n v="2400"/>
    <s v="FENIX"/>
    <x v="1"/>
  </r>
  <r>
    <x v="119"/>
    <x v="7"/>
    <s v="REIS FÁBRICA"/>
    <s v="REIS FÁBRICA"/>
    <d v="2024-04-08T00:00:00"/>
    <x v="0"/>
    <n v="1518"/>
    <n v="0"/>
    <n v="0"/>
    <n v="1518"/>
    <n v="0"/>
    <n v="0"/>
    <n v="0"/>
    <n v="0"/>
    <n v="0"/>
    <n v="0"/>
    <n v="65"/>
    <n v="0"/>
    <n v="0"/>
    <n v="0"/>
    <n v="0"/>
    <n v="0"/>
    <n v="0"/>
    <n v="0"/>
    <n v="1518"/>
    <n v="0"/>
    <n v="764.00939999999991"/>
    <n v="2347.0093999999999"/>
    <s v="FABRICA"/>
    <x v="3"/>
  </r>
  <r>
    <x v="120"/>
    <x v="0"/>
    <s v="10K"/>
    <s v="10K"/>
    <d v="2022-07-26T00:00:00"/>
    <x v="0"/>
    <n v="1605"/>
    <n v="0"/>
    <n v="0"/>
    <n v="1605"/>
    <n v="0"/>
    <n v="0"/>
    <n v="112.35"/>
    <n v="0"/>
    <n v="0"/>
    <n v="0"/>
    <n v="130"/>
    <n v="0"/>
    <n v="0"/>
    <n v="0"/>
    <n v="0"/>
    <n v="0"/>
    <n v="0"/>
    <n v="0"/>
    <n v="1717.35"/>
    <n v="0"/>
    <n v="343.47"/>
    <n v="2190.8199999999997"/>
    <s v="10k DECORAÇÕES"/>
    <x v="0"/>
  </r>
  <r>
    <x v="121"/>
    <x v="1"/>
    <s v="GENESIS"/>
    <s v="RAINHA MAISON"/>
    <d v="2024-07-10T00:00:00"/>
    <x v="0"/>
    <n v="1660"/>
    <n v="0"/>
    <n v="0"/>
    <n v="1660"/>
    <n v="0"/>
    <n v="0"/>
    <n v="0"/>
    <n v="0"/>
    <n v="0"/>
    <n v="0"/>
    <n v="130"/>
    <n v="0"/>
    <n v="0"/>
    <n v="0"/>
    <n v="0"/>
    <n v="0"/>
    <n v="0"/>
    <n v="0"/>
    <n v="1660"/>
    <n v="0"/>
    <n v="332"/>
    <n v="2122"/>
    <s v="GENESIS"/>
    <x v="9"/>
  </r>
  <r>
    <x v="122"/>
    <x v="2"/>
    <s v="30K"/>
    <s v="30K"/>
    <d v="2024-12-01T00:00:00"/>
    <x v="0"/>
    <n v="2146.59"/>
    <n v="0"/>
    <n v="0"/>
    <n v="2146.59"/>
    <n v="0"/>
    <n v="0"/>
    <n v="0"/>
    <n v="0"/>
    <n v="0"/>
    <n v="64.400000000000006"/>
    <n v="0"/>
    <n v="0"/>
    <n v="0"/>
    <n v="0"/>
    <n v="64.400000000000006"/>
    <n v="-64.400000000000006"/>
    <n v="70.819999999999993"/>
    <n v="0"/>
    <n v="2146.59"/>
    <n v="0"/>
    <n v="429.31800000000004"/>
    <n v="2575.9080000000004"/>
    <s v="30 K "/>
    <x v="4"/>
  </r>
  <r>
    <x v="123"/>
    <x v="7"/>
    <s v="REIS FÁBRICA"/>
    <s v="REIS FÁBRICA"/>
    <d v="2024-04-08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764.00939999999991"/>
    <n v="2282.0093999999999"/>
    <s v="FABRICA"/>
    <x v="3"/>
  </r>
  <r>
    <x v="124"/>
    <x v="1"/>
    <s v="10K"/>
    <s v="10K"/>
    <d v="2018-03-16T00:00:00"/>
    <x v="0"/>
    <n v="1605"/>
    <n v="0"/>
    <n v="0"/>
    <n v="1605"/>
    <n v="0"/>
    <n v="0"/>
    <n v="0"/>
    <n v="0"/>
    <n v="96.3"/>
    <n v="0"/>
    <n v="0"/>
    <n v="0"/>
    <n v="0"/>
    <n v="0"/>
    <n v="0"/>
    <n v="0"/>
    <n v="0"/>
    <n v="0"/>
    <n v="1701.3"/>
    <n v="0"/>
    <n v="340.26"/>
    <n v="2041.56"/>
    <s v="10k DECORAÇÕES"/>
    <x v="0"/>
  </r>
  <r>
    <x v="125"/>
    <x v="26"/>
    <s v="REIS FÁBRICA"/>
    <s v="REIS FÁBRICA"/>
    <d v="2024-02-01T00:00:00"/>
    <x v="0"/>
    <n v="0"/>
    <n v="0"/>
    <n v="0"/>
    <n v="0"/>
    <n v="0"/>
    <n v="850"/>
    <n v="0"/>
    <n v="0"/>
    <n v="0"/>
    <n v="0"/>
    <n v="0"/>
    <n v="0"/>
    <n v="0"/>
    <n v="0"/>
    <n v="0"/>
    <n v="0"/>
    <n v="0"/>
    <n v="0"/>
    <n v="0"/>
    <n v="850"/>
    <n v="0"/>
    <n v="0"/>
    <s v="FABRICA"/>
    <x v="3"/>
  </r>
  <r>
    <x v="126"/>
    <x v="4"/>
    <s v="REIS FÁBRICA"/>
    <s v="REIS FÁBRICA"/>
    <d v="2024-11-01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764.00939999999991"/>
    <n v="2282.0093999999999"/>
    <s v="FABRICA"/>
    <x v="3"/>
  </r>
  <r>
    <x v="127"/>
    <x v="7"/>
    <s v="REIS FÁBRICA"/>
    <s v="REIS FÁBRICA"/>
    <d v="2025-01-17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764.00939999999991"/>
    <n v="2282.0093999999999"/>
    <s v="FABRICA"/>
    <x v="3"/>
  </r>
  <r>
    <x v="128"/>
    <x v="3"/>
    <s v="REIS FÁBRICA"/>
    <s v="REIS FÁBRICA"/>
    <d v="2021-01-20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764.00939999999991"/>
    <n v="2282.0093999999999"/>
    <s v="FABRICA"/>
    <x v="3"/>
  </r>
  <r>
    <x v="129"/>
    <x v="11"/>
    <s v="GENESIS"/>
    <s v="REIS MTZ"/>
    <d v="2023-01-02T00:00:00"/>
    <x v="0"/>
    <n v="1660"/>
    <n v="0"/>
    <n v="0"/>
    <n v="1660"/>
    <n v="0"/>
    <n v="0"/>
    <n v="83"/>
    <n v="0"/>
    <n v="0"/>
    <n v="0"/>
    <n v="0"/>
    <n v="0"/>
    <n v="99.6"/>
    <n v="0"/>
    <n v="0"/>
    <n v="99.6"/>
    <n v="0"/>
    <n v="0"/>
    <n v="1743"/>
    <n v="0"/>
    <n v="348.6"/>
    <n v="2091.6"/>
    <s v="GENESIS"/>
    <x v="1"/>
  </r>
  <r>
    <x v="130"/>
    <x v="18"/>
    <s v="SEM REGISTRO"/>
    <s v="05K"/>
    <d v="2025-04-01T00:00:00"/>
    <x v="0"/>
    <n v="0"/>
    <n v="0"/>
    <n v="0"/>
    <n v="0"/>
    <n v="0"/>
    <n v="1660"/>
    <n v="0"/>
    <n v="0"/>
    <n v="0"/>
    <n v="0"/>
    <n v="0"/>
    <n v="0"/>
    <n v="0"/>
    <n v="0"/>
    <n v="0"/>
    <n v="0"/>
    <n v="0"/>
    <n v="0"/>
    <n v="0"/>
    <n v="1660"/>
    <n v="0"/>
    <n v="0"/>
    <s v="ESCRITORIO"/>
    <x v="12"/>
  </r>
  <r>
    <x v="131"/>
    <x v="9"/>
    <s v="RAINHA HOME"/>
    <s v="REIS MTZ"/>
    <d v="2024-03-04T00:00:00"/>
    <x v="0"/>
    <n v="1660"/>
    <n v="0"/>
    <n v="0"/>
    <n v="1660"/>
    <n v="0"/>
    <n v="0"/>
    <n v="0"/>
    <n v="0"/>
    <n v="0"/>
    <n v="20"/>
    <n v="0"/>
    <n v="0"/>
    <n v="0"/>
    <n v="0"/>
    <n v="20"/>
    <n v="-20"/>
    <n v="0"/>
    <n v="220"/>
    <n v="1880"/>
    <n v="0"/>
    <n v="376"/>
    <n v="2256"/>
    <s v="HOME CENTER"/>
    <x v="1"/>
  </r>
  <r>
    <x v="132"/>
    <x v="7"/>
    <s v="REIS FÁBRICA"/>
    <s v="REIS FÁBRICA"/>
    <d v="2021-04-01T00:00:00"/>
    <x v="0"/>
    <n v="1518"/>
    <n v="0"/>
    <n v="0"/>
    <n v="1518"/>
    <n v="0"/>
    <n v="0"/>
    <n v="0"/>
    <n v="0"/>
    <n v="0"/>
    <n v="0"/>
    <n v="65"/>
    <n v="0"/>
    <n v="0"/>
    <n v="0"/>
    <n v="0"/>
    <n v="0"/>
    <n v="0"/>
    <n v="0"/>
    <n v="1518"/>
    <n v="0"/>
    <n v="764.00939999999991"/>
    <n v="2347.0093999999999"/>
    <s v="FABRICA"/>
    <x v="3"/>
  </r>
  <r>
    <x v="133"/>
    <x v="10"/>
    <s v="GENESIS"/>
    <s v="REIS MTZ"/>
    <d v="2024-11-21T00:00:00"/>
    <x v="0"/>
    <n v="600"/>
    <n v="0"/>
    <n v="0"/>
    <n v="600"/>
    <n v="0"/>
    <n v="0"/>
    <n v="0"/>
    <n v="0"/>
    <n v="0"/>
    <n v="0"/>
    <n v="0"/>
    <n v="0"/>
    <n v="100"/>
    <n v="0"/>
    <n v="0"/>
    <n v="100"/>
    <n v="0"/>
    <n v="0"/>
    <n v="600"/>
    <n v="0"/>
    <n v="120"/>
    <n v="720"/>
    <s v="GENESIS"/>
    <x v="1"/>
  </r>
  <r>
    <x v="134"/>
    <x v="27"/>
    <s v="REIS MTZ"/>
    <s v="REIS FÁBRICA"/>
    <d v="2022-07-20T00:00:00"/>
    <x v="0"/>
    <n v="2596.36"/>
    <n v="0"/>
    <n v="0"/>
    <n v="2596.36"/>
    <n v="539"/>
    <n v="0"/>
    <n v="0"/>
    <n v="0"/>
    <n v="0"/>
    <n v="0"/>
    <n v="0"/>
    <n v="0"/>
    <n v="0"/>
    <n v="0"/>
    <n v="0"/>
    <n v="0"/>
    <n v="0"/>
    <n v="220"/>
    <n v="2816.36"/>
    <n v="539"/>
    <n v="1417.473988"/>
    <n v="4233.8339880000003"/>
    <s v="SR PASSOS"/>
    <x v="3"/>
  </r>
  <r>
    <x v="135"/>
    <x v="1"/>
    <s v="REIS MTZ"/>
    <s v="REIS MTZ"/>
    <d v="2014-12-01T00:00:00"/>
    <x v="0"/>
    <n v="1660"/>
    <n v="0"/>
    <n v="0"/>
    <n v="1660"/>
    <n v="0"/>
    <n v="0"/>
    <n v="0"/>
    <n v="0"/>
    <n v="249"/>
    <n v="0"/>
    <n v="0"/>
    <n v="0"/>
    <n v="99.6"/>
    <n v="0"/>
    <n v="0"/>
    <n v="99.6"/>
    <n v="0"/>
    <n v="220"/>
    <n v="2129"/>
    <n v="0"/>
    <n v="1071.5256999999999"/>
    <n v="3200.5257000000001"/>
    <s v="SR PASSOS"/>
    <x v="1"/>
  </r>
  <r>
    <x v="136"/>
    <x v="6"/>
    <s v="FENIX"/>
    <s v="05K"/>
    <d v="2018-09-06T00:00:00"/>
    <x v="0"/>
    <n v="2615.2600000000002"/>
    <n v="0"/>
    <n v="0"/>
    <n v="2615.2600000000002"/>
    <n v="0"/>
    <n v="0"/>
    <n v="0"/>
    <n v="0"/>
    <n v="261.52999999999997"/>
    <n v="0"/>
    <n v="0"/>
    <n v="0"/>
    <n v="0"/>
    <n v="0"/>
    <n v="0"/>
    <n v="0"/>
    <n v="0"/>
    <n v="220"/>
    <n v="3096.79"/>
    <n v="0"/>
    <n v="619.35800000000006"/>
    <n v="3716.1480000000001"/>
    <s v="FENIX"/>
    <x v="12"/>
  </r>
  <r>
    <x v="137"/>
    <x v="9"/>
    <s v="RAINHA HOME"/>
    <s v="RAINHA HOME"/>
    <d v="2018-06-04T00:00:00"/>
    <x v="0"/>
    <n v="1660"/>
    <n v="1660"/>
    <n v="0"/>
    <n v="0"/>
    <n v="0"/>
    <n v="0"/>
    <n v="0"/>
    <n v="0"/>
    <n v="0"/>
    <n v="0"/>
    <n v="0"/>
    <n v="0"/>
    <n v="0"/>
    <n v="0"/>
    <n v="0"/>
    <n v="0"/>
    <n v="0"/>
    <n v="220"/>
    <n v="220"/>
    <n v="0"/>
    <n v="44"/>
    <n v="264"/>
    <s v="HOME CENTER"/>
    <x v="10"/>
  </r>
  <r>
    <x v="138"/>
    <x v="7"/>
    <s v="REIS FÁBRICA"/>
    <s v="REIS FÁBRICA"/>
    <d v="2021-10-13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764.00939999999991"/>
    <n v="2282.0093999999999"/>
    <s v="FABRICA"/>
    <x v="3"/>
  </r>
  <r>
    <x v="139"/>
    <x v="21"/>
    <s v="METANOIA"/>
    <s v="METANOIA"/>
    <d v="2023-12-11T00:00:00"/>
    <x v="0"/>
    <n v="2834.71"/>
    <n v="0"/>
    <n v="0"/>
    <n v="2834.71"/>
    <n v="0"/>
    <n v="0"/>
    <n v="0"/>
    <n v="0"/>
    <n v="0"/>
    <n v="0"/>
    <n v="0"/>
    <n v="0"/>
    <n v="0"/>
    <n v="0"/>
    <n v="0"/>
    <n v="0"/>
    <n v="0"/>
    <n v="0"/>
    <n v="2834.71"/>
    <n v="0"/>
    <n v="566.94200000000001"/>
    <n v="3401.652"/>
    <s v="METANÓIA"/>
    <x v="11"/>
  </r>
  <r>
    <x v="140"/>
    <x v="4"/>
    <s v="REIS FABRICA"/>
    <s v="REIS FABRICA"/>
    <d v="2025-04-01T00:00:00"/>
    <x v="0"/>
    <n v="0"/>
    <n v="0"/>
    <n v="0"/>
    <n v="0"/>
    <n v="0"/>
    <n v="759"/>
    <n v="0"/>
    <n v="0"/>
    <n v="0"/>
    <n v="0"/>
    <n v="0"/>
    <n v="0"/>
    <n v="0"/>
    <n v="0"/>
    <n v="0"/>
    <n v="0"/>
    <n v="0"/>
    <n v="0"/>
    <n v="0"/>
    <n v="759"/>
    <n v="0"/>
    <n v="0"/>
    <s v="FABRICA"/>
    <x v="3"/>
  </r>
  <r>
    <x v="141"/>
    <x v="0"/>
    <s v="REIS MTZ"/>
    <s v="REIS MTZ"/>
    <d v="2023-09-20T00:00:00"/>
    <x v="3"/>
    <n v="1756.58"/>
    <n v="0"/>
    <n v="1756.58"/>
    <n v="0"/>
    <n v="0"/>
    <n v="0"/>
    <n v="87.83"/>
    <n v="0"/>
    <n v="0"/>
    <n v="0"/>
    <n v="65"/>
    <n v="0"/>
    <n v="0"/>
    <n v="0"/>
    <n v="0"/>
    <n v="0"/>
    <n v="0"/>
    <n v="220"/>
    <n v="307.83"/>
    <n v="0"/>
    <n v="154.93083899999999"/>
    <n v="527.76083900000003"/>
    <s v="SR PASSOS"/>
    <x v="1"/>
  </r>
  <r>
    <x v="142"/>
    <x v="4"/>
    <s v="REIS FÁBRICA"/>
    <s v="REIS FÁBRICA"/>
    <d v="2025-01-24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764.00939999999991"/>
    <n v="2282.0093999999999"/>
    <s v="FABRICA"/>
    <x v="3"/>
  </r>
  <r>
    <x v="143"/>
    <x v="4"/>
    <s v="REIS FABRICA"/>
    <s v="REIS FABRICA"/>
    <d v="2025-03-01T00:00:00"/>
    <x v="0"/>
    <n v="0"/>
    <n v="0"/>
    <n v="0"/>
    <n v="0"/>
    <n v="0"/>
    <n v="759"/>
    <n v="0"/>
    <n v="0"/>
    <n v="0"/>
    <n v="0"/>
    <n v="0"/>
    <n v="0"/>
    <n v="0"/>
    <n v="0"/>
    <n v="0"/>
    <n v="0"/>
    <n v="0"/>
    <n v="0"/>
    <n v="0"/>
    <n v="759"/>
    <n v="0"/>
    <n v="0"/>
    <s v="FABRICA"/>
    <x v="3"/>
  </r>
  <r>
    <x v="144"/>
    <x v="2"/>
    <s v="RAINHA HOME"/>
    <s v="RAINHA HOME"/>
    <d v="2016-11-01T00:00:00"/>
    <x v="0"/>
    <n v="3041.4"/>
    <n v="0"/>
    <n v="0"/>
    <n v="3041.4"/>
    <n v="0"/>
    <n v="0"/>
    <n v="0"/>
    <n v="0"/>
    <n v="304.14"/>
    <n v="20"/>
    <n v="0"/>
    <n v="0"/>
    <n v="0"/>
    <n v="0"/>
    <n v="20"/>
    <n v="-20"/>
    <n v="0"/>
    <n v="220"/>
    <n v="3565.54"/>
    <n v="0"/>
    <n v="713.10800000000006"/>
    <n v="4278.6480000000001"/>
    <s v="HOME CENTER"/>
    <x v="10"/>
  </r>
  <r>
    <x v="145"/>
    <x v="22"/>
    <s v="SEM REGISTRO"/>
    <s v="REIS FABRICA"/>
    <d v="2025-04-01T00:00:00"/>
    <x v="0"/>
    <n v="0"/>
    <n v="0"/>
    <n v="0"/>
    <n v="0"/>
    <n v="0"/>
    <n v="1872.1999999999998"/>
    <n v="0"/>
    <n v="0"/>
    <n v="0"/>
    <n v="0"/>
    <n v="0"/>
    <n v="0"/>
    <n v="0"/>
    <n v="0"/>
    <n v="0"/>
    <n v="0"/>
    <n v="0"/>
    <n v="0"/>
    <n v="0"/>
    <n v="1872.1999999999998"/>
    <n v="0"/>
    <n v="0"/>
    <s v="ESCRITORIO"/>
    <x v="3"/>
  </r>
  <r>
    <x v="146"/>
    <x v="3"/>
    <s v="REIS FÁBRICA"/>
    <s v="REIS FÁBRICA"/>
    <d v="2018-05-02T00:00:00"/>
    <x v="0"/>
    <n v="0"/>
    <n v="0"/>
    <n v="0"/>
    <n v="0"/>
    <n v="300"/>
    <n v="0"/>
    <n v="0"/>
    <n v="0"/>
    <n v="0"/>
    <n v="0"/>
    <n v="0"/>
    <n v="0"/>
    <n v="0"/>
    <n v="0"/>
    <n v="0"/>
    <n v="0"/>
    <n v="0"/>
    <n v="0"/>
    <n v="0"/>
    <n v="300"/>
    <n v="0"/>
    <n v="0"/>
    <s v="FABRICA"/>
    <x v="3"/>
  </r>
  <r>
    <x v="147"/>
    <x v="7"/>
    <s v="VALE XEL"/>
    <s v="REIS FÁBRICA"/>
    <d v="2024-04-12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303.60000000000002"/>
    <n v="1821.6"/>
    <s v="VALE XEL"/>
    <x v="3"/>
  </r>
  <r>
    <x v="148"/>
    <x v="4"/>
    <s v="REIS FÁBRICA"/>
    <s v="REIS FÁBRICA"/>
    <d v="2025-04-01T00:00:00"/>
    <x v="0"/>
    <n v="1518"/>
    <n v="234.6"/>
    <n v="0"/>
    <n v="1283.4000000000001"/>
    <n v="0"/>
    <n v="0"/>
    <n v="0"/>
    <n v="0"/>
    <n v="0"/>
    <n v="0"/>
    <n v="0"/>
    <n v="0"/>
    <n v="0"/>
    <n v="0"/>
    <n v="0"/>
    <n v="0"/>
    <n v="0"/>
    <n v="0"/>
    <n v="1283.4000000000001"/>
    <n v="0"/>
    <n v="645.93521999999996"/>
    <n v="1929.3352199999999"/>
    <s v="FABRICA"/>
    <x v="3"/>
  </r>
  <r>
    <x v="149"/>
    <x v="1"/>
    <s v="REIS MTZ"/>
    <s v="REIS MTZ"/>
    <d v="2010-02-01T00:00:00"/>
    <x v="1"/>
    <n v="1660"/>
    <n v="0"/>
    <n v="0"/>
    <n v="1660"/>
    <n v="0"/>
    <n v="0"/>
    <n v="0"/>
    <n v="0"/>
    <n v="0"/>
    <n v="0"/>
    <n v="0"/>
    <n v="0"/>
    <n v="0"/>
    <n v="0"/>
    <n v="0"/>
    <n v="0"/>
    <n v="0"/>
    <n v="220"/>
    <n v="1880"/>
    <n v="0"/>
    <n v="946.20399999999995"/>
    <n v="2826.2039999999997"/>
    <s v="SR PASSOS"/>
    <x v="1"/>
  </r>
  <r>
    <x v="150"/>
    <x v="28"/>
    <s v="SEM REGISTRO"/>
    <s v="ESCRITORIO"/>
    <d v="2025-04-01T00:00:00"/>
    <x v="0"/>
    <n v="0"/>
    <n v="0"/>
    <n v="0"/>
    <n v="0"/>
    <n v="0"/>
    <n v="1500"/>
    <n v="0"/>
    <n v="0"/>
    <n v="0"/>
    <n v="0"/>
    <n v="0"/>
    <n v="0"/>
    <n v="0"/>
    <n v="0"/>
    <n v="0"/>
    <n v="0"/>
    <n v="0"/>
    <n v="0"/>
    <n v="0"/>
    <n v="1500"/>
    <n v="0"/>
    <n v="0"/>
    <s v="ESCRITORIO"/>
    <x v="5"/>
  </r>
  <r>
    <x v="151"/>
    <x v="1"/>
    <s v="FENIX"/>
    <s v="GENESIS"/>
    <d v="2015-11-12T00:00:00"/>
    <x v="0"/>
    <n v="1660"/>
    <n v="0"/>
    <n v="0"/>
    <n v="1660"/>
    <n v="0"/>
    <n v="0"/>
    <n v="0"/>
    <n v="0"/>
    <n v="249"/>
    <n v="0"/>
    <n v="0"/>
    <n v="0"/>
    <n v="99.6"/>
    <n v="0"/>
    <n v="0"/>
    <n v="99.6"/>
    <n v="0"/>
    <n v="220"/>
    <n v="2129"/>
    <n v="0"/>
    <n v="425.8"/>
    <n v="2554.8000000000002"/>
    <s v="FENIX"/>
    <x v="2"/>
  </r>
  <r>
    <x v="152"/>
    <x v="2"/>
    <s v="10K"/>
    <s v="10K"/>
    <d v="2022-10-10T00:00:00"/>
    <x v="2"/>
    <n v="662.34"/>
    <n v="0"/>
    <n v="0"/>
    <n v="662.34"/>
    <n v="0"/>
    <n v="0"/>
    <n v="0"/>
    <n v="0"/>
    <n v="0"/>
    <n v="0"/>
    <n v="0"/>
    <n v="0"/>
    <n v="0"/>
    <n v="0"/>
    <n v="0"/>
    <n v="0"/>
    <n v="100"/>
    <n v="0"/>
    <n v="662.34"/>
    <n v="0"/>
    <n v="132.46800000000002"/>
    <n v="794.80799999999999"/>
    <s v="10k DECORAÇÕES"/>
    <x v="0"/>
  </r>
  <r>
    <x v="153"/>
    <x v="1"/>
    <s v="RAINHA HOME"/>
    <s v="GENESIS"/>
    <d v="2017-07-11T00:00:00"/>
    <x v="0"/>
    <n v="1660"/>
    <n v="55.31"/>
    <n v="0"/>
    <n v="1604.69"/>
    <n v="0"/>
    <n v="0"/>
    <n v="0"/>
    <n v="0"/>
    <n v="160.47"/>
    <n v="20"/>
    <n v="65"/>
    <n v="0"/>
    <n v="0"/>
    <n v="0"/>
    <n v="20"/>
    <n v="-20"/>
    <n v="101.99"/>
    <n v="220"/>
    <n v="1985.16"/>
    <n v="0"/>
    <n v="397.03200000000004"/>
    <n v="2447.192"/>
    <s v="HOME CENTER"/>
    <x v="2"/>
  </r>
  <r>
    <x v="154"/>
    <x v="11"/>
    <s v="GENESIS"/>
    <s v="REIS MTZ"/>
    <d v="2023-07-03T00:00:00"/>
    <x v="0"/>
    <n v="2000"/>
    <n v="0"/>
    <n v="0"/>
    <n v="2000"/>
    <n v="0"/>
    <n v="0"/>
    <n v="0"/>
    <n v="0"/>
    <n v="0"/>
    <n v="0"/>
    <n v="0"/>
    <n v="0"/>
    <n v="120"/>
    <n v="0"/>
    <n v="0"/>
    <n v="120"/>
    <n v="0"/>
    <n v="0"/>
    <n v="2000"/>
    <n v="0"/>
    <n v="400"/>
    <n v="2400"/>
    <s v="GENESIS"/>
    <x v="1"/>
  </r>
  <r>
    <x v="155"/>
    <x v="1"/>
    <s v="30K"/>
    <s v="30K"/>
    <d v="2025-03-01T00:00:00"/>
    <x v="0"/>
    <n v="1607"/>
    <n v="0"/>
    <n v="0"/>
    <n v="1607"/>
    <n v="0"/>
    <n v="0"/>
    <n v="0"/>
    <n v="0"/>
    <n v="0"/>
    <n v="48.21"/>
    <n v="0"/>
    <n v="0"/>
    <n v="0"/>
    <n v="0"/>
    <n v="48.21"/>
    <n v="-48.21"/>
    <n v="0"/>
    <n v="0"/>
    <n v="1607"/>
    <n v="0"/>
    <n v="321.40000000000003"/>
    <n v="1928.4"/>
    <s v="30 K "/>
    <x v="4"/>
  </r>
  <r>
    <x v="156"/>
    <x v="7"/>
    <s v="VALE XEL"/>
    <s v="REIS FÁBRICA"/>
    <d v="2023-07-03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303.60000000000002"/>
    <n v="1821.6"/>
    <s v="VALE XEL"/>
    <x v="3"/>
  </r>
  <r>
    <x v="157"/>
    <x v="7"/>
    <s v="VALE XEL"/>
    <s v="REIS FÁBRICA"/>
    <d v="2023-07-03T00:00:00"/>
    <x v="0"/>
    <n v="1518"/>
    <n v="69"/>
    <n v="0"/>
    <n v="1449"/>
    <n v="0"/>
    <n v="0"/>
    <n v="0"/>
    <n v="0"/>
    <n v="0"/>
    <n v="0"/>
    <n v="0"/>
    <n v="0"/>
    <n v="0"/>
    <n v="0"/>
    <n v="0"/>
    <n v="0"/>
    <n v="0"/>
    <n v="0"/>
    <n v="1449"/>
    <n v="0"/>
    <n v="289.8"/>
    <n v="1738.8"/>
    <s v="VALE XEL"/>
    <x v="3"/>
  </r>
  <r>
    <x v="158"/>
    <x v="4"/>
    <s v="REIS FABRICA"/>
    <s v="REIS FABRICA"/>
    <d v="2025-03-01T00:00:00"/>
    <x v="0"/>
    <n v="0"/>
    <n v="0"/>
    <n v="0"/>
    <n v="0"/>
    <n v="0"/>
    <n v="223.1"/>
    <n v="0"/>
    <n v="0"/>
    <n v="0"/>
    <n v="0"/>
    <n v="0"/>
    <n v="0"/>
    <n v="0"/>
    <n v="0"/>
    <n v="0"/>
    <n v="0"/>
    <n v="0"/>
    <n v="0"/>
    <n v="0"/>
    <n v="223.1"/>
    <n v="0"/>
    <n v="0"/>
    <s v="FABRICA"/>
    <x v="3"/>
  </r>
  <r>
    <x v="159"/>
    <x v="9"/>
    <s v="REIS MTZ"/>
    <s v="GENESIS"/>
    <d v="2018-12-03T00:00:00"/>
    <x v="0"/>
    <n v="1660"/>
    <n v="0"/>
    <n v="0"/>
    <n v="1660"/>
    <n v="300"/>
    <n v="0"/>
    <n v="0"/>
    <n v="0"/>
    <n v="166"/>
    <n v="0"/>
    <n v="130"/>
    <n v="0"/>
    <n v="0"/>
    <n v="0"/>
    <n v="0"/>
    <n v="0"/>
    <n v="0"/>
    <n v="220"/>
    <n v="2046"/>
    <n v="300"/>
    <n v="1029.7518"/>
    <n v="3205.7518"/>
    <s v="SR PASSOS"/>
    <x v="2"/>
  </r>
  <r>
    <x v="160"/>
    <x v="27"/>
    <s v="RAINHA MAISON"/>
    <s v="REIS FÁBRICA"/>
    <d v="2012-02-01T00:00:00"/>
    <x v="0"/>
    <n v="4595.8899999999994"/>
    <n v="0"/>
    <n v="0"/>
    <n v="4595.8899999999994"/>
    <n v="0"/>
    <n v="0"/>
    <n v="0"/>
    <n v="0"/>
    <n v="334.78"/>
    <n v="0"/>
    <n v="0"/>
    <n v="0"/>
    <n v="0"/>
    <n v="0"/>
    <n v="0"/>
    <n v="0"/>
    <n v="0"/>
    <n v="220"/>
    <n v="5150.6699999999992"/>
    <n v="0"/>
    <n v="1030.1339999999998"/>
    <n v="6180.8039999999992"/>
    <s v="MAISON"/>
    <x v="3"/>
  </r>
  <r>
    <x v="161"/>
    <x v="1"/>
    <s v="REIS MTZ"/>
    <s v="REIS MTZ"/>
    <d v="2014-05-16T00:00:00"/>
    <x v="0"/>
    <n v="1660"/>
    <n v="0"/>
    <n v="0"/>
    <n v="1660"/>
    <n v="0"/>
    <n v="0"/>
    <n v="0"/>
    <n v="0"/>
    <n v="249"/>
    <n v="0"/>
    <n v="0"/>
    <n v="0"/>
    <n v="99.6"/>
    <n v="0"/>
    <n v="0"/>
    <n v="99.6"/>
    <n v="0"/>
    <n v="220"/>
    <n v="2129"/>
    <n v="0"/>
    <n v="1071.5256999999999"/>
    <n v="3200.5257000000001"/>
    <s v="SR PASSOS"/>
    <x v="1"/>
  </r>
  <r>
    <x v="162"/>
    <x v="4"/>
    <s v="REIS FABRICA"/>
    <s v="REIS FÁBRICA"/>
    <d v="2025-03-15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764.00939999999991"/>
    <n v="2282.0093999999999"/>
    <s v="FABRICA"/>
    <x v="3"/>
  </r>
  <r>
    <x v="163"/>
    <x v="4"/>
    <s v="REIS FÁBRICA"/>
    <s v="REIS FÁBRICA"/>
    <d v="2025-01-16T00:00:00"/>
    <x v="0"/>
    <n v="1518"/>
    <n v="0"/>
    <n v="0"/>
    <n v="1518"/>
    <n v="0"/>
    <n v="0"/>
    <n v="0"/>
    <n v="0"/>
    <n v="0"/>
    <n v="0"/>
    <n v="0"/>
    <n v="0"/>
    <n v="0"/>
    <n v="0"/>
    <n v="0"/>
    <n v="0"/>
    <n v="0"/>
    <n v="0"/>
    <n v="1518"/>
    <n v="0"/>
    <n v="764.00939999999991"/>
    <n v="2282.0093999999999"/>
    <s v="FABRICA"/>
    <x v="3"/>
  </r>
  <r>
    <x v="164"/>
    <x v="9"/>
    <s v="GRAND CANYON"/>
    <s v="GRAND CANYON"/>
    <d v="2024-03-04T00:00:00"/>
    <x v="2"/>
    <n v="480"/>
    <n v="0"/>
    <n v="0"/>
    <n v="480"/>
    <n v="0"/>
    <n v="0"/>
    <n v="0"/>
    <n v="0"/>
    <n v="0"/>
    <n v="0"/>
    <n v="0"/>
    <n v="0"/>
    <n v="0"/>
    <n v="0"/>
    <n v="0"/>
    <n v="0"/>
    <n v="0"/>
    <n v="0"/>
    <n v="480"/>
    <n v="0"/>
    <n v="96"/>
    <n v="576"/>
    <s v="GRAND CANYON"/>
    <x v="7"/>
  </r>
  <r>
    <x v="165"/>
    <x v="7"/>
    <s v="REIS FÁBRICA"/>
    <s v="REIS FÁBRICA"/>
    <d v="2014-03-01T00:00:00"/>
    <x v="0"/>
    <n v="0"/>
    <n v="0"/>
    <n v="0"/>
    <n v="0"/>
    <n v="200"/>
    <n v="0"/>
    <n v="0"/>
    <n v="0"/>
    <n v="0"/>
    <n v="0"/>
    <n v="0"/>
    <n v="0"/>
    <n v="0"/>
    <n v="0"/>
    <n v="0"/>
    <n v="0"/>
    <n v="0"/>
    <n v="0"/>
    <n v="0"/>
    <n v="200"/>
    <n v="0"/>
    <n v="0"/>
    <s v="FABRICA"/>
    <x v="3"/>
  </r>
  <r>
    <x v="166"/>
    <x v="29"/>
    <s v="SEM REGISTRO"/>
    <s v="REIS FABRICA"/>
    <d v="2025-04-01T00:00:00"/>
    <x v="0"/>
    <n v="0"/>
    <n v="0"/>
    <n v="0"/>
    <n v="0"/>
    <n v="0"/>
    <n v="1518"/>
    <n v="0"/>
    <n v="0"/>
    <n v="0"/>
    <n v="0"/>
    <n v="0"/>
    <n v="0"/>
    <n v="0"/>
    <n v="0"/>
    <n v="0"/>
    <n v="0"/>
    <n v="0"/>
    <n v="0"/>
    <n v="0"/>
    <n v="1518"/>
    <n v="0"/>
    <n v="0"/>
    <s v="ESCRITORIO"/>
    <x v="3"/>
  </r>
  <r>
    <x v="167"/>
    <x v="3"/>
    <s v="REIS FÁBRICA"/>
    <s v="REIS FÁBRICA"/>
    <d v="2014-08-01T00:00:00"/>
    <x v="0"/>
    <n v="1518"/>
    <n v="0"/>
    <n v="0"/>
    <n v="1518"/>
    <n v="100"/>
    <n v="0"/>
    <n v="0"/>
    <n v="0"/>
    <n v="0"/>
    <n v="0"/>
    <n v="0"/>
    <n v="0"/>
    <n v="0"/>
    <n v="0"/>
    <n v="0"/>
    <n v="0"/>
    <n v="0"/>
    <n v="0"/>
    <n v="1518"/>
    <n v="100"/>
    <n v="764.00939999999991"/>
    <n v="2282.0093999999999"/>
    <s v="FABRICA"/>
    <x v="3"/>
  </r>
  <r>
    <x v="168"/>
    <x v="30"/>
    <s v="REIS FÁBRICA"/>
    <s v="REIS FÁBRICA"/>
    <d v="2014-11-03T00:00:00"/>
    <x v="0"/>
    <n v="1518"/>
    <n v="0"/>
    <n v="0"/>
    <n v="1518"/>
    <n v="200"/>
    <n v="0"/>
    <n v="0"/>
    <n v="0"/>
    <n v="0"/>
    <n v="0"/>
    <n v="65"/>
    <n v="0"/>
    <n v="0"/>
    <n v="0"/>
    <n v="0"/>
    <n v="0"/>
    <n v="0"/>
    <n v="0"/>
    <n v="1518"/>
    <n v="200"/>
    <n v="764.00939999999991"/>
    <n v="2347.0093999999999"/>
    <s v="FABRICA"/>
    <x v="3"/>
  </r>
  <r>
    <x v="169"/>
    <x v="7"/>
    <s v="REIS FÁBRICA"/>
    <s v="REIS FÁBRICA"/>
    <d v="2024-07-01T00:00:00"/>
    <x v="0"/>
    <n v="1518"/>
    <n v="0"/>
    <n v="0"/>
    <n v="1518"/>
    <n v="200"/>
    <n v="0"/>
    <n v="0"/>
    <n v="0"/>
    <n v="0"/>
    <n v="0"/>
    <n v="0"/>
    <n v="0"/>
    <n v="0"/>
    <n v="0"/>
    <n v="0"/>
    <n v="0"/>
    <n v="0"/>
    <n v="0"/>
    <n v="1518"/>
    <n v="200"/>
    <n v="764.00939999999991"/>
    <n v="2282.0093999999999"/>
    <s v="FABRICA"/>
    <x v="3"/>
  </r>
  <r>
    <x v="170"/>
    <x v="1"/>
    <s v="METANOIA"/>
    <s v="METANOIA"/>
    <d v="2023-11-06T00:00:00"/>
    <x v="0"/>
    <n v="1694.35"/>
    <n v="451.83"/>
    <n v="0"/>
    <n v="1242.52"/>
    <n v="0"/>
    <n v="0"/>
    <n v="0"/>
    <n v="0"/>
    <n v="0"/>
    <n v="0"/>
    <n v="65"/>
    <n v="0"/>
    <n v="0"/>
    <n v="0"/>
    <n v="0"/>
    <n v="0"/>
    <n v="0"/>
    <n v="0"/>
    <n v="1242.52"/>
    <n v="0"/>
    <n v="248.50400000000002"/>
    <n v="1556.0239999999999"/>
    <s v="METANÓIA"/>
    <x v="11"/>
  </r>
  <r>
    <x v="171"/>
    <x v="3"/>
    <s v="REIS FÁBRICA"/>
    <s v="REIS FÁBRICA"/>
    <d v="2014-01-16T00:00:00"/>
    <x v="0"/>
    <n v="1518"/>
    <n v="0"/>
    <n v="0"/>
    <n v="1518"/>
    <n v="0"/>
    <n v="0"/>
    <n v="0"/>
    <n v="0"/>
    <n v="0"/>
    <n v="0"/>
    <n v="65"/>
    <n v="0"/>
    <n v="0"/>
    <n v="0"/>
    <n v="0"/>
    <n v="0"/>
    <n v="0"/>
    <n v="0"/>
    <n v="1518"/>
    <n v="0"/>
    <n v="764.00939999999991"/>
    <n v="2347.0093999999999"/>
    <s v="FABRICA"/>
    <x v="3"/>
  </r>
  <r>
    <x v="172"/>
    <x v="1"/>
    <s v="METANOIA"/>
    <s v="METANOIA"/>
    <d v="2015-09-16T00:00:00"/>
    <x v="0"/>
    <n v="1694.35"/>
    <n v="0"/>
    <n v="0"/>
    <n v="1694.35"/>
    <n v="0"/>
    <n v="0"/>
    <n v="0"/>
    <n v="0"/>
    <n v="152.49"/>
    <n v="0"/>
    <n v="0"/>
    <n v="0"/>
    <n v="0"/>
    <n v="0"/>
    <n v="0"/>
    <n v="0"/>
    <n v="0"/>
    <n v="0"/>
    <n v="1846.84"/>
    <n v="0"/>
    <n v="369.36799999999999"/>
    <n v="2216.2080000000001"/>
    <s v="METANÓIA"/>
    <x v="11"/>
  </r>
  <r>
    <x v="173"/>
    <x v="31"/>
    <s v="REIS MTZ"/>
    <s v="ESCRITORIO"/>
    <d v="2005-02-22T00:00:0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R PASSOS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49ACB-3C48-481A-A616-1B6EEB16374B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4:E18" firstHeaderRow="0" firstDataRow="1" firstDataCol="1" rowPageCount="2" colPageCount="1"/>
  <pivotFields count="31">
    <pivotField axis="axisRow" showAll="0">
      <items count="488">
        <item m="1" x="320"/>
        <item m="1" x="242"/>
        <item m="1" x="321"/>
        <item x="1"/>
        <item x="2"/>
        <item x="3"/>
        <item x="4"/>
        <item m="1" x="174"/>
        <item x="5"/>
        <item x="6"/>
        <item x="8"/>
        <item m="1" x="394"/>
        <item x="10"/>
        <item m="1" x="467"/>
        <item m="1" x="322"/>
        <item m="1" x="291"/>
        <item x="11"/>
        <item m="1" x="425"/>
        <item m="1" x="468"/>
        <item m="1" x="183"/>
        <item m="1" x="323"/>
        <item m="1" x="391"/>
        <item m="1" x="431"/>
        <item x="21"/>
        <item x="22"/>
        <item m="1" x="187"/>
        <item m="1" x="374"/>
        <item m="1" x="283"/>
        <item x="24"/>
        <item x="25"/>
        <item m="1" x="470"/>
        <item m="1" x="188"/>
        <item x="28"/>
        <item x="29"/>
        <item x="31"/>
        <item m="1" x="406"/>
        <item x="32"/>
        <item m="1" x="190"/>
        <item m="1" x="393"/>
        <item m="1" x="397"/>
        <item x="34"/>
        <item m="1" x="471"/>
        <item x="35"/>
        <item m="1" x="192"/>
        <item x="36"/>
        <item x="37"/>
        <item m="1" x="325"/>
        <item m="1" x="380"/>
        <item m="1" x="375"/>
        <item m="1" x="463"/>
        <item x="38"/>
        <item m="1" x="464"/>
        <item m="1" x="396"/>
        <item x="42"/>
        <item m="1" x="195"/>
        <item x="46"/>
        <item x="49"/>
        <item m="1" x="196"/>
        <item x="50"/>
        <item m="1" x="398"/>
        <item x="52"/>
        <item x="53"/>
        <item x="54"/>
        <item x="55"/>
        <item x="56"/>
        <item x="57"/>
        <item x="59"/>
        <item x="60"/>
        <item m="1" x="473"/>
        <item x="65"/>
        <item x="67"/>
        <item m="1" x="299"/>
        <item x="70"/>
        <item x="71"/>
        <item x="72"/>
        <item m="1" x="202"/>
        <item x="75"/>
        <item m="1" x="475"/>
        <item m="1" x="205"/>
        <item m="1" x="285"/>
        <item x="78"/>
        <item x="79"/>
        <item x="80"/>
        <item m="1" x="395"/>
        <item x="81"/>
        <item x="82"/>
        <item m="1" x="328"/>
        <item m="1" x="207"/>
        <item x="83"/>
        <item m="1" x="208"/>
        <item m="1" x="209"/>
        <item x="86"/>
        <item m="1" x="210"/>
        <item x="87"/>
        <item m="1" x="286"/>
        <item m="1" x="399"/>
        <item m="1" x="329"/>
        <item x="91"/>
        <item x="92"/>
        <item x="93"/>
        <item m="1" x="318"/>
        <item x="96"/>
        <item x="97"/>
        <item m="1" x="301"/>
        <item x="99"/>
        <item x="100"/>
        <item m="1" x="245"/>
        <item x="101"/>
        <item x="102"/>
        <item x="103"/>
        <item m="1" x="378"/>
        <item x="107"/>
        <item x="108"/>
        <item m="1" x="433"/>
        <item m="1" x="331"/>
        <item m="1" x="332"/>
        <item x="110"/>
        <item x="111"/>
        <item x="112"/>
        <item x="115"/>
        <item x="116"/>
        <item x="120"/>
        <item x="122"/>
        <item m="1" x="373"/>
        <item x="128"/>
        <item m="1" x="407"/>
        <item x="129"/>
        <item m="1" x="223"/>
        <item x="132"/>
        <item m="1" x="477"/>
        <item x="134"/>
        <item m="1" x="478"/>
        <item x="135"/>
        <item x="136"/>
        <item x="137"/>
        <item x="138"/>
        <item m="1" x="479"/>
        <item m="1" x="481"/>
        <item m="1" x="386"/>
        <item m="1" x="482"/>
        <item m="1" x="387"/>
        <item m="1" x="228"/>
        <item m="1" x="483"/>
        <item m="1" x="383"/>
        <item m="1" x="484"/>
        <item x="144"/>
        <item m="1" x="384"/>
        <item x="146"/>
        <item m="1" x="337"/>
        <item m="1" x="485"/>
        <item m="1" x="402"/>
        <item m="1" x="338"/>
        <item x="149"/>
        <item m="1" x="390"/>
        <item x="151"/>
        <item x="152"/>
        <item x="153"/>
        <item x="154"/>
        <item x="156"/>
        <item x="157"/>
        <item m="1" x="339"/>
        <item m="1" x="232"/>
        <item x="159"/>
        <item m="1" x="341"/>
        <item m="1" x="233"/>
        <item x="160"/>
        <item x="161"/>
        <item m="1" x="290"/>
        <item m="1" x="234"/>
        <item m="1" x="404"/>
        <item m="1" x="235"/>
        <item x="165"/>
        <item x="167"/>
        <item x="168"/>
        <item x="169"/>
        <item x="171"/>
        <item m="1" x="405"/>
        <item x="172"/>
        <item m="1" x="466"/>
        <item x="125"/>
        <item x="15"/>
        <item m="1" x="469"/>
        <item m="1" x="472"/>
        <item m="1" x="258"/>
        <item m="1" x="474"/>
        <item x="77"/>
        <item m="1" x="476"/>
        <item m="1" x="347"/>
        <item x="123"/>
        <item x="131"/>
        <item m="1" x="480"/>
        <item x="141"/>
        <item x="147"/>
        <item m="1" x="408"/>
        <item m="1" x="486"/>
        <item m="1" x="410"/>
        <item m="1" x="246"/>
        <item m="1" x="379"/>
        <item m="1" x="388"/>
        <item m="1" x="377"/>
        <item m="1" x="182"/>
        <item m="1" x="252"/>
        <item m="1" x="432"/>
        <item m="1" x="361"/>
        <item m="1" x="381"/>
        <item m="1" x="389"/>
        <item m="1" x="409"/>
        <item x="58"/>
        <item m="1" x="376"/>
        <item m="1" x="260"/>
        <item m="1" x="365"/>
        <item x="68"/>
        <item m="1" x="262"/>
        <item m="1" x="214"/>
        <item m="1" x="266"/>
        <item m="1" x="400"/>
        <item m="1" x="268"/>
        <item m="1" x="382"/>
        <item m="1" x="401"/>
        <item x="139"/>
        <item m="1" x="385"/>
        <item m="1" x="349"/>
        <item m="1" x="403"/>
        <item m="1" x="392"/>
        <item m="1" x="311"/>
        <item m="1" x="465"/>
        <item m="1" x="438"/>
        <item m="1" x="184"/>
        <item m="1" x="440"/>
        <item m="1" x="443"/>
        <item m="1" x="330"/>
        <item x="98"/>
        <item m="1" x="451"/>
        <item x="124"/>
        <item m="1" x="430"/>
        <item m="1" x="412"/>
        <item m="1" x="336"/>
        <item m="1" x="226"/>
        <item m="1" x="456"/>
        <item m="1" x="230"/>
        <item m="1" x="413"/>
        <item m="1" x="416"/>
        <item m="1" x="435"/>
        <item m="1" x="436"/>
        <item x="13"/>
        <item m="1" x="437"/>
        <item m="1" x="186"/>
        <item x="20"/>
        <item m="1" x="439"/>
        <item x="23"/>
        <item m="1" x="324"/>
        <item m="1" x="191"/>
        <item m="1" x="442"/>
        <item x="41"/>
        <item x="43"/>
        <item m="1" x="327"/>
        <item m="1" x="445"/>
        <item m="1" x="447"/>
        <item m="1" x="448"/>
        <item m="1" x="449"/>
        <item m="1" x="450"/>
        <item x="104"/>
        <item x="106"/>
        <item m="1" x="452"/>
        <item m="1" x="453"/>
        <item m="1" x="454"/>
        <item m="1" x="455"/>
        <item m="1" x="427"/>
        <item m="1" x="457"/>
        <item m="1" x="458"/>
        <item m="1" x="459"/>
        <item m="1" x="460"/>
        <item m="1" x="461"/>
        <item x="170"/>
        <item m="1" x="434"/>
        <item m="1" x="316"/>
        <item m="1" x="426"/>
        <item m="1" x="294"/>
        <item m="1" x="441"/>
        <item m="1" x="444"/>
        <item m="1" x="326"/>
        <item x="74"/>
        <item m="1" x="446"/>
        <item m="1" x="333"/>
        <item m="1" x="340"/>
        <item m="1" x="462"/>
        <item m="1" x="423"/>
        <item x="17"/>
        <item m="1" x="284"/>
        <item m="1" x="429"/>
        <item x="118"/>
        <item m="1" x="424"/>
        <item m="1" x="334"/>
        <item m="1" x="335"/>
        <item m="1" x="229"/>
        <item m="1" x="428"/>
        <item x="164"/>
        <item m="1" x="348"/>
        <item m="1" x="360"/>
        <item m="1" x="411"/>
        <item m="1" x="414"/>
        <item m="1" x="415"/>
        <item m="1" x="372"/>
        <item m="1" x="370"/>
        <item m="1" x="417"/>
        <item m="1" x="367"/>
        <item m="1" x="292"/>
        <item m="1" x="309"/>
        <item m="1" x="359"/>
        <item m="1" x="362"/>
        <item m="1" x="418"/>
        <item m="1" x="419"/>
        <item m="1" x="420"/>
        <item m="1" x="319"/>
        <item m="1" x="421"/>
        <item m="1" x="422"/>
        <item m="1" x="358"/>
        <item m="1" x="363"/>
        <item m="1" x="364"/>
        <item m="1" x="366"/>
        <item m="1" x="368"/>
        <item m="1" x="211"/>
        <item m="1" x="369"/>
        <item m="1" x="371"/>
        <item m="1" x="350"/>
        <item m="1" x="351"/>
        <item m="1" x="352"/>
        <item m="1" x="298"/>
        <item m="1" x="353"/>
        <item m="1" x="310"/>
        <item m="1" x="354"/>
        <item m="1" x="317"/>
        <item m="1" x="250"/>
        <item m="1" x="312"/>
        <item m="1" x="355"/>
        <item m="1" x="356"/>
        <item m="1" x="313"/>
        <item m="1" x="314"/>
        <item m="1" x="357"/>
        <item x="119"/>
        <item m="1" x="342"/>
        <item m="1" x="346"/>
        <item x="73"/>
        <item x="89"/>
        <item m="1" x="287"/>
        <item x="117"/>
        <item m="1" x="345"/>
        <item m="1" x="302"/>
        <item m="1" x="300"/>
        <item m="1" x="213"/>
        <item x="63"/>
        <item m="1" x="304"/>
        <item m="1" x="343"/>
        <item m="1" x="315"/>
        <item m="1" x="289"/>
        <item m="1" x="344"/>
        <item m="1" x="303"/>
        <item m="1" x="270"/>
        <item x="9"/>
        <item m="1" x="282"/>
        <item x="64"/>
        <item m="1" x="288"/>
        <item m="1" x="308"/>
        <item m="1" x="293"/>
        <item x="16"/>
        <item m="1" x="281"/>
        <item x="47"/>
        <item x="66"/>
        <item m="1" x="305"/>
        <item m="1" x="306"/>
        <item m="1" x="307"/>
        <item x="126"/>
        <item m="1" x="222"/>
        <item m="1" x="297"/>
        <item x="163"/>
        <item x="19"/>
        <item m="1" x="185"/>
        <item x="48"/>
        <item x="121"/>
        <item m="1" x="224"/>
        <item m="1" x="295"/>
        <item m="1" x="296"/>
        <item x="142"/>
        <item m="1" x="247"/>
        <item m="1" x="248"/>
        <item m="1" x="249"/>
        <item m="1" x="251"/>
        <item m="1" x="253"/>
        <item m="1" x="254"/>
        <item m="1" x="255"/>
        <item m="1" x="256"/>
        <item m="1" x="257"/>
        <item m="1" x="259"/>
        <item m="1" x="203"/>
        <item m="1" x="263"/>
        <item m="1" x="265"/>
        <item m="1" x="264"/>
        <item m="1" x="267"/>
        <item m="1" x="269"/>
        <item m="1" x="221"/>
        <item m="1" x="271"/>
        <item m="1" x="272"/>
        <item m="1" x="273"/>
        <item m="1" x="274"/>
        <item m="1" x="275"/>
        <item m="1" x="276"/>
        <item m="1" x="277"/>
        <item m="1" x="238"/>
        <item m="1" x="244"/>
        <item m="1" x="278"/>
        <item m="1" x="279"/>
        <item m="1" x="197"/>
        <item m="1" x="201"/>
        <item x="85"/>
        <item m="1" x="280"/>
        <item m="1" x="243"/>
        <item x="14"/>
        <item x="27"/>
        <item m="1" x="261"/>
        <item x="113"/>
        <item x="148"/>
        <item x="162"/>
        <item x="0"/>
        <item m="1" x="199"/>
        <item x="173"/>
        <item m="1" x="175"/>
        <item m="1" x="180"/>
        <item x="30"/>
        <item m="1" x="236"/>
        <item x="51"/>
        <item x="90"/>
        <item m="1" x="217"/>
        <item x="114"/>
        <item m="1" x="240"/>
        <item x="26"/>
        <item m="1" x="241"/>
        <item x="45"/>
        <item m="1" x="204"/>
        <item m="1" x="212"/>
        <item m="1" x="215"/>
        <item x="105"/>
        <item x="133"/>
        <item m="1" x="176"/>
        <item m="1" x="177"/>
        <item m="1" x="178"/>
        <item m="1" x="179"/>
        <item m="1" x="181"/>
        <item m="1" x="189"/>
        <item m="1" x="193"/>
        <item m="1" x="194"/>
        <item x="62"/>
        <item x="76"/>
        <item m="1" x="206"/>
        <item m="1" x="216"/>
        <item m="1" x="218"/>
        <item m="1" x="219"/>
        <item m="1" x="225"/>
        <item m="1" x="227"/>
        <item m="1" x="239"/>
        <item m="1" x="237"/>
        <item x="12"/>
        <item x="40"/>
        <item m="1" x="198"/>
        <item x="69"/>
        <item x="88"/>
        <item x="95"/>
        <item m="1" x="220"/>
        <item x="127"/>
        <item m="1" x="231"/>
        <item x="33"/>
        <item x="44"/>
        <item m="1" x="200"/>
        <item x="94"/>
        <item x="130"/>
        <item x="143"/>
        <item x="158"/>
        <item x="7"/>
        <item x="18"/>
        <item x="61"/>
        <item x="84"/>
        <item x="155"/>
        <item x="39"/>
        <item x="109"/>
        <item x="140"/>
        <item x="145"/>
        <item x="150"/>
        <item x="166"/>
        <item t="default"/>
      </items>
    </pivotField>
    <pivotField axis="axisPage" multipleItemSelectionAllowed="1" showAll="0">
      <items count="107">
        <item m="1" x="70"/>
        <item m="1" x="93"/>
        <item m="1" x="72"/>
        <item m="1" x="73"/>
        <item m="1" x="74"/>
        <item m="1" x="104"/>
        <item x="0"/>
        <item m="1" x="103"/>
        <item x="11"/>
        <item m="1" x="36"/>
        <item x="12"/>
        <item m="1" x="84"/>
        <item m="1" x="88"/>
        <item x="7"/>
        <item m="1" x="64"/>
        <item x="22"/>
        <item x="3"/>
        <item m="1" x="71"/>
        <item m="1" x="101"/>
        <item m="1" x="98"/>
        <item m="1" x="38"/>
        <item m="1" x="66"/>
        <item m="1" x="32"/>
        <item m="1" x="62"/>
        <item m="1" x="102"/>
        <item m="1" x="97"/>
        <item x="2"/>
        <item x="20"/>
        <item m="1" x="77"/>
        <item x="27"/>
        <item h="1" m="1" x="78"/>
        <item x="9"/>
        <item m="1" x="100"/>
        <item h="1" m="1" x="60"/>
        <item m="1" x="58"/>
        <item m="1" x="69"/>
        <item m="1" x="65"/>
        <item m="1" x="63"/>
        <item m="1" x="61"/>
        <item m="1" x="99"/>
        <item m="1" x="81"/>
        <item m="1" x="51"/>
        <item x="23"/>
        <item m="1" x="53"/>
        <item m="1" x="105"/>
        <item x="21"/>
        <item m="1" x="76"/>
        <item m="1" x="83"/>
        <item m="1" x="35"/>
        <item m="1" x="54"/>
        <item m="1" x="52"/>
        <item m="1" x="85"/>
        <item x="6"/>
        <item m="1" x="56"/>
        <item m="1" x="86"/>
        <item m="1" x="87"/>
        <item x="16"/>
        <item m="1" x="89"/>
        <item m="1" x="90"/>
        <item m="1" x="91"/>
        <item m="1" x="92"/>
        <item m="1" x="48"/>
        <item m="1" x="94"/>
        <item m="1" x="95"/>
        <item m="1" x="96"/>
        <item x="30"/>
        <item x="29"/>
        <item m="1" x="44"/>
        <item m="1" x="79"/>
        <item m="1" x="68"/>
        <item m="1" x="67"/>
        <item m="1" x="75"/>
        <item m="1" x="80"/>
        <item x="1"/>
        <item x="19"/>
        <item h="1" m="1" x="40"/>
        <item h="1" m="1" x="82"/>
        <item x="26"/>
        <item m="1" x="59"/>
        <item x="5"/>
        <item m="1" x="57"/>
        <item x="10"/>
        <item x="13"/>
        <item m="1" x="43"/>
        <item m="1" x="33"/>
        <item m="1" x="45"/>
        <item m="1" x="46"/>
        <item m="1" x="47"/>
        <item m="1" x="39"/>
        <item m="1" x="55"/>
        <item x="4"/>
        <item m="1" x="49"/>
        <item m="1" x="42"/>
        <item x="18"/>
        <item m="1" x="50"/>
        <item x="17"/>
        <item x="8"/>
        <item x="15"/>
        <item x="24"/>
        <item x="25"/>
        <item m="1" x="41"/>
        <item m="1" x="34"/>
        <item m="1" x="37"/>
        <item h="1" x="31"/>
        <item x="14"/>
        <item x="28"/>
        <item t="default"/>
      </items>
    </pivotField>
    <pivotField showAll="0"/>
    <pivotField showAll="0"/>
    <pivotField numFmtId="14" showAll="0"/>
    <pivotField axis="axisPage" multipleItemSelectionAllowed="1" showAll="0">
      <items count="6">
        <item x="0"/>
        <item m="1" x="4"/>
        <item x="2"/>
        <item x="1"/>
        <item h="1" x="3"/>
        <item t="default"/>
      </items>
    </pivotField>
    <pivotField numFmtId="43"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showAll="0"/>
    <pivotField dataField="1" showAll="0"/>
    <pivotField dataField="1" showAll="0"/>
    <pivotField numFmtId="43" showAll="0"/>
    <pivotField showAll="0"/>
    <pivotField dataField="1" showAll="0"/>
    <pivotField showAll="0"/>
    <pivotField dataField="1" showAll="0"/>
    <pivotField showAll="0"/>
    <pivotField axis="axisRow" showAll="0">
      <items count="15">
        <item sd="0" x="12"/>
        <item sd="0" x="2"/>
        <item sd="0" x="10"/>
        <item sd="0" x="9"/>
        <item sd="0" m="1" x="13"/>
        <item sd="0" x="5"/>
        <item sd="0" x="3"/>
        <item sd="0" x="4"/>
        <item sd="0" x="7"/>
        <item sd="0" x="0"/>
        <item sd="0" x="8"/>
        <item sd="0" x="11"/>
        <item sd="0" x="1"/>
        <item sd="0" x="6"/>
        <item t="default"/>
      </items>
    </pivotField>
    <pivotField dragToRow="0" dragToCol="0" dragToPage="0" showAll="0" defaultSubtotal="0"/>
  </pivotFields>
  <rowFields count="2">
    <field x="29"/>
    <field x="0"/>
  </rowFields>
  <rowItems count="14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5" hier="-1"/>
    <pageField fld="1" hier="-1"/>
  </pageFields>
  <dataFields count="4">
    <dataField name=" SALARIO COM  IMPOSTOS" fld="27" baseField="1" baseItem="0" numFmtId="43"/>
    <dataField name=" SALARIO BASE 2" fld="25" baseField="27" baseItem="5" numFmtId="43"/>
    <dataField name=" BENEFICIOS" fld="21" baseField="1" baseItem="0" numFmtId="43"/>
    <dataField name=" VALE COMPRAS TOTAIS" fld="22" baseField="1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44CDF-17F4-4AA1-9225-80259149A956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6:A7" firstHeaderRow="1" firstDataRow="1" firstDataCol="0" rowPageCount="1" colPageCount="1"/>
  <pivotFields count="8">
    <pivotField showAll="0"/>
    <pivotField showAll="0"/>
    <pivotField showAll="0"/>
    <pivotField numFmtId="14" showAll="0"/>
    <pivotField axis="axisPage" multipleItemSelectionAllowed="1" showAll="0">
      <items count="8">
        <item x="3"/>
        <item x="1"/>
        <item h="1" x="2"/>
        <item x="0"/>
        <item x="4"/>
        <item h="1" m="1" x="5"/>
        <item h="1" m="1" x="6"/>
        <item t="default"/>
      </items>
    </pivotField>
    <pivotField showAll="0"/>
    <pivotField showAll="0"/>
    <pivotField dataField="1" dragToRow="0" dragToCol="0" dragToPage="0" showAll="0" defaultSubtotal="0"/>
  </pivotFields>
  <rowItems count="1">
    <i/>
  </rowItems>
  <colItems count="1">
    <i/>
  </colItems>
  <pageFields count="1">
    <pageField fld="4" hier="-1"/>
  </pageFields>
  <dataFields count="1">
    <dataField name="Soma de Total" fld="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9" xr16:uid="{1F989125-2EB8-4257-86CE-08B0604EC20E}" autoFormatId="16" applyNumberFormats="0" applyBorderFormats="0" applyFontFormats="0" applyPatternFormats="0" applyAlignmentFormats="0" applyWidthHeightFormats="0">
  <queryTableRefresh nextId="19" unboundColumnsRight="1">
    <queryTableFields count="7">
      <queryTableField id="17" name="COLABORADOR" tableColumnId="3"/>
      <queryTableField id="2" name="FUNÇÃO" tableColumnId="2"/>
      <queryTableField id="8" name="Razão Social" tableColumnId="5"/>
      <queryTableField id="4" name="ALOCAÇÃO" tableColumnId="4"/>
      <queryTableField id="9" name="Origem" tableColumnId="6"/>
      <queryTableField id="16" name="Valor Total" tableColumnId="1"/>
      <queryTableField id="15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2" xr16:uid="{66817C33-8A7B-47A8-8283-F4AD3BA620E0}" autoFormatId="16" applyNumberFormats="0" applyBorderFormats="0" applyFontFormats="0" applyPatternFormats="0" applyAlignmentFormats="0" applyWidthHeightFormats="0">
  <queryTableRefresh nextId="40" unboundColumnsRight="1">
    <queryTableFields count="6">
      <queryTableField id="8" name="Nome" tableColumnId="1"/>
      <queryTableField id="20" name="Função" tableColumnId="2"/>
      <queryTableField id="21" name="Razão Social" tableColumnId="4"/>
      <queryTableField id="16" name="Alocação" tableColumnId="3"/>
      <queryTableField id="39" name="Valor Pago" tableColumnId="5"/>
      <queryTableField id="14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BE6A02FD-9090-4330-ACBE-D54A79D91607}" autoFormatId="16" applyNumberFormats="0" applyBorderFormats="0" applyFontFormats="0" applyPatternFormats="0" applyAlignmentFormats="0" applyWidthHeightFormats="0">
  <queryTableRefresh nextId="4">
    <queryTableFields count="3">
      <queryTableField id="1" name="Index" tableColumnId="1"/>
      <queryTableField id="2" name="Column3" tableColumnId="2"/>
      <queryTableField id="3" name="Column1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4F90C2E-C94E-4C87-9F21-247599A5B65D}" autoFormatId="16" applyNumberFormats="0" applyBorderFormats="0" applyFontFormats="0" applyPatternFormats="0" applyAlignmentFormats="0" applyWidthHeightFormats="0">
  <queryTableRefresh nextId="72" unboundColumnsRight="26">
    <queryTableFields count="30">
      <queryTableField id="2" name="Nome" tableColumnId="2"/>
      <queryTableField id="43" name="Função" tableColumnId="3"/>
      <queryTableField id="4" name="Razão Social" tableColumnId="4"/>
      <queryTableField id="41" name="Alocações" tableColumnId="5"/>
      <queryTableField id="46" dataBound="0" tableColumnId="1"/>
      <queryTableField id="47" dataBound="0" tableColumnId="6"/>
      <queryTableField id="48" dataBound="0" tableColumnId="7"/>
      <queryTableField id="49" dataBound="0" tableColumnId="8"/>
      <queryTableField id="50" dataBound="0" tableColumnId="9"/>
      <queryTableField id="51" dataBound="0" tableColumnId="10"/>
      <queryTableField id="52" dataBound="0" tableColumnId="11"/>
      <queryTableField id="53" dataBound="0" tableColumnId="12"/>
      <queryTableField id="54" dataBound="0" tableColumnId="13"/>
      <queryTableField id="55" dataBound="0" tableColumnId="14"/>
      <queryTableField id="56" dataBound="0" tableColumnId="15"/>
      <queryTableField id="57" dataBound="0" tableColumnId="16"/>
      <queryTableField id="58" dataBound="0" tableColumnId="17"/>
      <queryTableField id="59" dataBound="0" tableColumnId="18"/>
      <queryTableField id="60" dataBound="0" tableColumnId="19"/>
      <queryTableField id="61" dataBound="0" tableColumnId="20"/>
      <queryTableField id="62" dataBound="0" tableColumnId="21"/>
      <queryTableField id="63" dataBound="0" tableColumnId="22"/>
      <queryTableField id="64" dataBound="0" tableColumnId="23"/>
      <queryTableField id="71" dataBound="0" tableColumnId="30"/>
      <queryTableField id="65" dataBound="0" tableColumnId="24"/>
      <queryTableField id="66" dataBound="0" tableColumnId="25"/>
      <queryTableField id="67" dataBound="0" tableColumnId="26"/>
      <queryTableField id="68" dataBound="0" tableColumnId="27"/>
      <queryTableField id="69" dataBound="0" tableColumnId="28"/>
      <queryTableField id="70" dataBound="0" tableColumnId="2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CAB2CA80-A136-4587-A401-01136F4A655E}" autoFormatId="16" applyNumberFormats="0" applyBorderFormats="0" applyFontFormats="0" applyPatternFormats="0" applyAlignmentFormats="0" applyWidthHeightFormats="0">
  <queryTableRefresh nextId="64">
    <queryTableFields count="7">
      <queryTableField id="2" name="LOJAS" tableColumnId="2"/>
      <queryTableField id="56" name="Nome" tableColumnId="8"/>
      <queryTableField id="57" name="Cargo" tableColumnId="9"/>
      <queryTableField id="58" name="Adm:" tableColumnId="10"/>
      <queryTableField id="59" name="Situação" tableColumnId="11"/>
      <queryTableField id="45" name="Atributo" tableColumnId="1"/>
      <queryTableField id="46" name="Valo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16C727-F9E4-4FD8-8241-E6EA539A6E91}" name="GRATIFICAÇÃO" displayName="GRATIFICAÇÃO" ref="A1:G27" tableType="queryTable" totalsRowCount="1">
  <autoFilter ref="A1:G26" xr:uid="{7B16C727-F9E4-4FD8-8241-E6EA539A6E91}"/>
  <tableColumns count="7">
    <tableColumn id="3" xr3:uid="{A508A45F-CDDA-40AE-BB77-7F0E493C7B19}" uniqueName="3" name="COLABORADOR" queryTableFieldId="17" dataDxfId="64"/>
    <tableColumn id="2" xr3:uid="{381C7C48-411C-4483-A5AC-8D671D7D0624}" uniqueName="2" name="Função" queryTableFieldId="2" dataDxfId="63"/>
    <tableColumn id="5" xr3:uid="{024F28B1-BC43-4ED3-922E-6E8C5500E91F}" uniqueName="5" name="Razão Social" queryTableFieldId="8" dataDxfId="62"/>
    <tableColumn id="4" xr3:uid="{8BD1207F-68BF-4E26-A7EF-7AE359D0CFE0}" uniqueName="4" name="Alocação" queryTableFieldId="4" dataDxfId="61"/>
    <tableColumn id="6" xr3:uid="{90A9CA54-EAB2-4147-AC1F-3F3B3B8F9861}" uniqueName="6" name="Origem" queryTableFieldId="9" dataDxfId="60"/>
    <tableColumn id="1" xr3:uid="{93103721-E398-4A8E-A815-F7B68C988E27}" uniqueName="1" name="Valor Total" totalsRowFunction="sum" queryTableFieldId="16" totalsRowDxfId="10"/>
    <tableColumn id="7" xr3:uid="{F940956B-88CB-4786-B830-2817ADA4B59E}" uniqueName="7" name="Coluna1" totalsRowFunction="sum" queryTableFieldId="15" dataDxfId="59">
      <calculatedColumnFormula>SUMIF(BASE_DE_NOMES[Nome],GRATIFICAÇÃO[[#This Row],[COLABORADOR]],BASE_DE_NOMES[GRATIFICAÇÃO])-GRATIFICAÇÃO[[#This Row],[Valor Total]]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F710D5-3481-48C2-AC54-315B2097795C}" name="PG" displayName="PG" ref="A1:F29" tableType="queryTable" totalsRowCount="1">
  <autoFilter ref="A1:F28" xr:uid="{04F710D5-3481-48C2-AC54-315B2097795C}">
    <filterColumn colId="5">
      <filters>
        <filter val="-1.081,36"/>
        <filter val="-1.163,80"/>
        <filter val="-1.407,60"/>
        <filter val="-1.500,00"/>
        <filter val="-1.518,00"/>
        <filter val="-1.872,20"/>
        <filter val="-3.165,00"/>
        <filter val="-632,50"/>
        <filter val="-759,00"/>
      </filters>
    </filterColumn>
  </autoFilter>
  <tableColumns count="6">
    <tableColumn id="1" xr3:uid="{810026AE-326F-4374-9B9E-D9B4D1151069}" uniqueName="1" name="Nome" queryTableFieldId="8" dataDxfId="5"/>
    <tableColumn id="2" xr3:uid="{717A8A13-1A20-440A-8F1E-07C899C2481A}" uniqueName="2" name="Função" queryTableFieldId="20" dataDxfId="4" dataCellStyle="Vírgula"/>
    <tableColumn id="4" xr3:uid="{F69CDD6D-B1A4-4841-8EDE-D3D1D58C1148}" uniqueName="4" name="Razão Social" queryTableFieldId="21" dataDxfId="3" dataCellStyle="Vírgula"/>
    <tableColumn id="3" xr3:uid="{D432F8D2-B6A1-49B7-AF75-E5FF0220E67D}" uniqueName="3" name="Alocação" queryTableFieldId="16" dataDxfId="2" dataCellStyle="Vírgula"/>
    <tableColumn id="5" xr3:uid="{83BBEEE4-E273-4E38-8A86-EBFD0A8FF360}" uniqueName="5" name="Valor Pago" totalsRowFunction="sum" queryTableFieldId="39" dataDxfId="1" totalsRowDxfId="8" dataCellStyle="Vírgula"/>
    <tableColumn id="8" xr3:uid="{C0772D7A-17AE-4ED8-AC11-12A7DF4CBBEF}" uniqueName="8" name="Coluna1" totalsRowFunction="sum" queryTableFieldId="14" dataDxfId="0" totalsRowDxfId="9">
      <calculatedColumnFormula>SUMIF(BASE_DE_NOMES[Nome],PG[[#This Row],[Nome]],BASE_DE_NOMES[PAGAMENTOS])-PG[[#This Row],[Valor Pago]]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9F7951C-7993-460F-AE09-1E1573476336}" name="Demitidos" displayName="Demitidos" ref="A1:C9" tableType="queryTable" totalsRowShown="0">
  <autoFilter ref="A1:C9" xr:uid="{D9F7951C-7993-460F-AE09-1E1573476336}"/>
  <tableColumns count="3">
    <tableColumn id="1" xr3:uid="{20B0920A-FFB0-4290-B33B-765C1D72B985}" uniqueName="1" name="Index" queryTableFieldId="1"/>
    <tableColumn id="2" xr3:uid="{1DF2C498-891E-4011-8455-E237C29ED8D4}" uniqueName="2" name="Column3" queryTableFieldId="2" dataDxfId="58"/>
    <tableColumn id="3" xr3:uid="{1CB9931F-128F-4F2F-B393-C108F4935681}" uniqueName="3" name="Column1" queryTableFieldId="3" dataDxfId="5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FE0765-9F08-46DA-A7A0-9EF26DE957E3}" name="BASE_DE_NOMES" displayName="BASE_DE_NOMES" ref="A1:AD166" tableType="queryTable" totalsRowCount="1">
  <autoFilter ref="A1:AD165" xr:uid="{FDFE0765-9F08-46DA-A7A0-9EF26DE957E3}"/>
  <tableColumns count="30">
    <tableColumn id="2" xr3:uid="{950DB270-00F7-4EF4-832A-E505E095C7F9}" uniqueName="2" name="Nome" queryTableFieldId="2" dataDxfId="56"/>
    <tableColumn id="3" xr3:uid="{4D9218F9-3325-421A-B48D-88D43CFAD991}" uniqueName="3" name="Função" queryTableFieldId="43" dataDxfId="55"/>
    <tableColumn id="4" xr3:uid="{D569D1BA-8878-451C-AB21-73B0FDF1F201}" uniqueName="4" name="Razão Social" queryTableFieldId="4" dataDxfId="54"/>
    <tableColumn id="5" xr3:uid="{0F7279DE-F4BF-4242-9438-62CBAF1768D2}" uniqueName="5" name="Alocações" queryTableFieldId="41" dataDxfId="53"/>
    <tableColumn id="1" xr3:uid="{BB364F41-723B-4E5F-B0A2-AA4C521E3BD6}" uniqueName="1" name="Admissão" queryTableFieldId="46" dataDxfId="52" totalsRowDxfId="51">
      <calculatedColumnFormula>IFERROR(_xlfn.XLOOKUP(BASE_DE_NOMES[[#This Row],[Nome]],'Folha Rainha'!B:B,'Folha Rainha'!D:D),0)</calculatedColumnFormula>
    </tableColumn>
    <tableColumn id="6" xr3:uid="{3DC75F96-8601-498B-A457-2C241B9F7353}" uniqueName="6" name="SITUAÇÃO" queryTableFieldId="47" dataDxfId="50">
      <calculatedColumnFormula>IFERROR(_xlfn.XLOOKUP(BASE_DE_NOMES[[#This Row],[Nome]],'Folha Rainha'!B:B,'Folha Rainha'!E:E)," ")</calculatedColumnFormula>
    </tableColumn>
    <tableColumn id="7" xr3:uid="{E169CD3A-BE88-4B07-A9DC-551A9E9FD3CE}" uniqueName="7" name="C.CHEQUE" queryTableFieldId="48" dataDxfId="49">
      <calculatedColumnFormula>SUMIFS('Folha Rainha'!G:G,'Folha Rainha'!B:B,BASE_DE_NOMES[[#This Row],[Nome]],'Folha Rainha'!F:F,"Salário Base")+SUMIFS('Folha Rainha'!G:G,'Folha Rainha'!B:B,BASE_DE_NOMES[[#This Row],[Nome]],'Folha Rainha'!F:F,"Salário:")</calculatedColumnFormula>
    </tableColumn>
    <tableColumn id="8" xr3:uid="{1D1833CA-B00D-4DBF-AB08-A07432A53165}" uniqueName="8" name="FALTAS" queryTableFieldId="49" dataDxfId="48">
      <calculatedColumnFormula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calculatedColumnFormula>
    </tableColumn>
    <tableColumn id="9" xr3:uid="{CD5E4C66-54C1-45C0-A8F0-797C42B5348B}" uniqueName="9" name="DESCONTO " queryTableFieldId="50" dataDxfId="47">
      <calculatedColumnFormula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calculatedColumnFormula>
    </tableColumn>
    <tableColumn id="10" xr3:uid="{327455A6-17AE-48CE-9CF1-1EAB46947720}" uniqueName="10" name="TOTAL DE C.CHEQUE" queryTableFieldId="51" dataDxfId="46">
      <calculatedColumnFormula>BASE_DE_NOMES[[#This Row],[C.CHEQUE]]-BASE_DE_NOMES[[#This Row],[FALTAS]]-BASE_DE_NOMES[[#This Row],[DESCONTO ]]</calculatedColumnFormula>
    </tableColumn>
    <tableColumn id="11" xr3:uid="{7D9CB66E-714F-4B50-AA09-C541322758A6}" uniqueName="11" name="GRATIFICAÇÃO" queryTableFieldId="52" dataDxfId="45">
      <calculatedColumnFormula>SUMIF(GRATIFICAÇÃO!A:A,BASE_DE_NOMES[[#This Row],[Nome]],GRATIFICAÇÃO!F:F)</calculatedColumnFormula>
    </tableColumn>
    <tableColumn id="12" xr3:uid="{2A0794C7-09EC-446E-8EC5-0535265514C2}" uniqueName="12" name="PAGAMENTOS" queryTableFieldId="53" dataDxfId="44">
      <calculatedColumnFormula>SUMIF(PG!A:A,BASE_DE_NOMES[[#This Row],[Nome]],PG!E:E)</calculatedColumnFormula>
    </tableColumn>
    <tableColumn id="13" xr3:uid="{D6F7F417-22FA-4A35-AF3E-D28D1F4FFCF9}" uniqueName="13" name="TOTAL DE QUEBRA" queryTableFieldId="54" dataDxfId="43">
      <calculatedColumnFormula>SUMIFS('Folha Rainha'!G:G,'Folha Rainha'!B:B,BASE_DE_NOMES[[#This Row],[Nome]],'Folha Rainha'!F:F,"*Quebra*",'Folha Rainha'!F:F,"*QUEBRA*")</calculatedColumnFormula>
    </tableColumn>
    <tableColumn id="14" xr3:uid="{BC154FF7-28E2-44D3-BB4C-4E4573ECC7BD}" uniqueName="14" name="ADC. ANTIGUIDADE" queryTableFieldId="55" dataDxfId="42">
      <calculatedColumnFormula>SUMIFS('Folha Rainha'!G:G,'Folha Rainha'!B:B,BASE_DE_NOMES[[#This Row],[Nome]],'Folha Rainha'!F:F,"ADC. ANTIGUIDADE")</calculatedColumnFormula>
    </tableColumn>
    <tableColumn id="15" xr3:uid="{D981473C-FA1A-4680-BF63-301787D56743}" uniqueName="15" name="TOTAL DE TRIENIO" queryTableFieldId="56" dataDxfId="41">
      <calculatedColumnFormula>SUMIFS('Folha Rainha'!G:G,'Folha Rainha'!B:B,BASE_DE_NOMES[[#This Row],[Nome]],'Folha Rainha'!F:F,"*Trienio*")</calculatedColumnFormula>
    </tableColumn>
    <tableColumn id="16" xr3:uid="{D7D64D58-1826-4BE7-95A8-E4AADD4E0100}" uniqueName="16" name="TX ASSIS. TOTAL" queryTableFieldId="57" dataDxfId="40">
      <calculatedColumnFormula>SUMIFS('Folha Rainha'!G:G,'Folha Rainha'!B:B,BASE_DE_NOMES[[#This Row],[Nome]],'Folha Rainha'!F:F,"*TAXA*")</calculatedColumnFormula>
    </tableColumn>
    <tableColumn id="17" xr3:uid="{493682B9-8E9B-471D-A78D-D42320BD1FD2}" uniqueName="17" name="FAMILIA" queryTableFieldId="58" dataDxfId="39">
      <calculatedColumnFormula>SUMIFS('Folha Rainha'!G:G,'Folha Rainha'!B:B,BASE_DE_NOMES[[#This Row],[Nome]],'Folha Rainha'!F:F,"SALARIO FAMILIA")+SUMIFS('Folha Rainha'!G:G,'Folha Rainha'!B:B,BASE_DE_NOMES[[#This Row],[Nome]],'Folha Rainha'!F:F,"Salário Família")</calculatedColumnFormula>
    </tableColumn>
    <tableColumn id="18" xr3:uid="{9081E793-1A37-4F2F-8BB7-F2B685D8CDF8}" uniqueName="18" name="BOLSA DE AUXILIO" queryTableFieldId="59" dataDxfId="38">
      <calculatedColumnFormula>SUMIFS('Folha Rainha'!G:G,'Folha Rainha'!B:B,BASE_DE_NOMES[[#This Row],[Nome]],'Folha Rainha'!F:F,"BOLSA AUXILIO")+SUMIFS('Folha Rainha'!G:G,'Folha Rainha'!B:B,BASE_DE_NOMES[[#This Row],[Nome]],'Folha Rainha'!F:F,"BOLSA AUXILIO AFASTAMENTO DIREITOS INT")</calculatedColumnFormula>
    </tableColumn>
    <tableColumn id="19" xr3:uid="{CBEE4228-D592-487C-913C-92349181F936}" uniqueName="19" name="VALE TRANSP" queryTableFieldId="60" dataDxfId="37">
      <calculatedColumnFormula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calculatedColumnFormula>
    </tableColumn>
    <tableColumn id="20" xr3:uid="{83A6C81E-57A2-49A5-BF96-44D4ECDECCC3}" uniqueName="20" name="PLANO DE SAUDE" queryTableFieldId="61" dataDxfId="36">
      <calculatedColumnFormula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calculatedColumnFormula>
    </tableColumn>
    <tableColumn id="21" xr3:uid="{FDBA92BF-58A6-4066-A91E-F7392CDF3681}" uniqueName="21" name="DESCONTOS" queryTableFieldId="62" dataDxfId="35">
      <calculatedColumnFormula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calculatedColumnFormula>
    </tableColumn>
    <tableColumn id="22" xr3:uid="{44E35D7C-C4BB-40E3-B767-BEB5FBD0626F}" uniqueName="22" name="BENEFICIOS" queryTableFieldId="63" dataDxfId="34">
      <calculatedColumnFormula>BASE_DE_NOMES[[#This Row],[BOLSA DE AUXILIO]]+BASE_DE_NOMES[[#This Row],[VALE TRANSP]]+BASE_DE_NOMES[[#This Row],[PLANO DE SAUDE]]-BASE_DE_NOMES[[#This Row],[DESCONTOS]]</calculatedColumnFormula>
    </tableColumn>
    <tableColumn id="23" xr3:uid="{39254B54-F119-4779-83C2-DDB61747F377}" uniqueName="23" name="VALE COMPRAS TOTAIS" queryTableFieldId="64" dataDxfId="33">
      <calculatedColumnFormula>SUMIFS('Folha Rainha'!G:G,'Folha Rainha'!B:B,BASE_DE_NOMES[[#This Row],[Nome]],'Folha Rainha'!F:F,"VALE COMPRAS")+SUMIFS('Folha Rainha'!G:G,'Folha Rainha'!B:B,BASE_DE_NOMES[[#This Row],[Nome]],'Folha Rainha'!F:F,"VALES")</calculatedColumnFormula>
    </tableColumn>
    <tableColumn id="30" xr3:uid="{5A3437FF-E753-485F-8B22-96960745139D}" uniqueName="30" name="CCT" totalsRowFunction="sum" queryTableFieldId="71" dataDxfId="32" totalsRowDxfId="31">
      <calculatedColumnFormula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calculatedColumnFormula>
    </tableColumn>
    <tableColumn id="24" xr3:uid="{5E8F6491-34FC-46A8-ADAC-5E31E2E4D07E}" uniqueName="24" name="SALARIO BASE" queryTableFieldId="65" dataDxfId="30">
      <calculatedColumnFormula>BASE_DE_NOMES[[#This Row],[TOTAL DE C.CHEQUE]]+BASE_DE_NOMES[[#This Row],[TOTAL DE QUEBRA]]+BASE_DE_NOMES[[#This Row],[ADC. ANTIGUIDADE]]+BASE_DE_NOMES[[#This Row],[TOTAL DE TRIENIO]]+BASE_DE_NOMES[[#This Row],[CCT]]</calculatedColumnFormula>
    </tableColumn>
    <tableColumn id="25" xr3:uid="{378599ED-823C-4C34-B2F5-60D5C77BD99F}" uniqueName="25" name="SALARIO BASE 2" queryTableFieldId="66" dataDxfId="29">
      <calculatedColumnFormula>BASE_DE_NOMES[[#This Row],[PAGAMENTOS]]+BASE_DE_NOMES[[#This Row],[GRATIFICAÇÃO]]</calculatedColumnFormula>
    </tableColumn>
    <tableColumn id="26" xr3:uid="{E329D504-1BC1-4B9D-A8E4-4DAF606A3ECA}" uniqueName="26" name="IMPOSTOS" queryTableFieldId="67" dataDxfId="28">
      <calculatedColumnFormula>_xlfn.XLOOKUP(BASE_DE_NOMES[[#This Row],[NOME2]],Planilha1!C:C,Planilha1!D:D)*Y2</calculatedColumnFormula>
    </tableColumn>
    <tableColumn id="27" xr3:uid="{BD716A99-790A-48C5-8CFE-5F6A58CB8F39}" uniqueName="27" name="SALARIO COM  IMPOSTOS" queryTableFieldId="68" dataDxfId="27">
      <calculatedColumnFormula>BASE_DE_NOMES[[#This Row],[IMPOSTOS]]+BASE_DE_NOMES[[#This Row],[SALARIO BASE]]+BASE_DE_NOMES[[#This Row],[FAMILIA]]</calculatedColumnFormula>
    </tableColumn>
    <tableColumn id="28" xr3:uid="{F37F24D1-3B15-4235-B986-89A9FA1FF695}" uniqueName="28" name="NOME2" queryTableFieldId="69" dataDxfId="26">
      <calculatedColumnFormula>_xlfn.XLOOKUP(BASE_DE_NOMES[[#This Row],[Razão Social]],Planilha1!B:B,Planilha1!C:C)</calculatedColumnFormula>
    </tableColumn>
    <tableColumn id="29" xr3:uid="{18C923F2-36A5-4795-9243-78C5F887B7AA}" uniqueName="29" name="NOME3" queryTableFieldId="70" dataDxfId="25">
      <calculatedColumnFormula>_xlfn.XLOOKUP(BASE_DE_NOMES[[#This Row],[Alocações]],Planilha1!B:B,Planilha1!C:C)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CA4E27-3F15-448F-8E74-A70FC05B96AA}" name="Tabela4" displayName="Tabela4" ref="A1:D65" totalsRowShown="0">
  <autoFilter ref="A1:D65" xr:uid="{42CA4E27-3F15-448F-8E74-A70FC05B96AA}"/>
  <tableColumns count="4">
    <tableColumn id="1" xr3:uid="{58D874BA-05F5-4760-94CF-DFA11D9DBA59}" name="Nº">
      <calculatedColumnFormula>A1+1</calculatedColumnFormula>
    </tableColumn>
    <tableColumn id="5" xr3:uid="{6C9FA8DC-E848-42B3-AB52-0149660D2B08}" name="DE"/>
    <tableColumn id="2" xr3:uid="{80022FD7-8807-4A5E-8B1A-7697756995C2}" name="PARA"/>
    <tableColumn id="4" xr3:uid="{1AD3CB5F-C95A-4CF7-98FA-66C85B52A50B}" name="tx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9AF738-A259-4046-8CE3-03859EE98E21}" name="BASE_DE_NOMES__2" displayName="BASE_DE_NOMES__2" ref="A1:F186" totalsRowShown="0">
  <autoFilter ref="A1:F186" xr:uid="{C79AF738-A259-4046-8CE3-03859EE98E21}"/>
  <tableColumns count="6">
    <tableColumn id="1" xr3:uid="{71CFAF96-22EC-4873-AE18-383120F9A02A}" name="Status" dataDxfId="24"/>
    <tableColumn id="2" xr3:uid="{96C478EC-93DE-4631-A3DD-5299183D5F0F}" name="Nome" dataDxfId="23"/>
    <tableColumn id="3" xr3:uid="{8BEF190C-E2CC-4D33-993E-AE626166D093}" name="Função" dataDxfId="22"/>
    <tableColumn id="4" xr3:uid="{AEF9A89D-6D72-49CE-BD03-742BB0F150BB}" name="Razão Social" dataDxfId="21"/>
    <tableColumn id="5" xr3:uid="{4FDDB0D6-8272-4377-970A-775C5B4E0CF1}" name="Alocação" dataDxfId="20"/>
    <tableColumn id="6" xr3:uid="{7FC7AFE6-9463-42DE-B953-9A09995EA80C}" name="Admissão" dataDxfId="1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D6B435-BD29-4928-9F0C-D113AC1DDB83}" name="Folha_Rainha" displayName="Folha_Rainha" ref="A1:G708" tableType="queryTable" totalsRowCount="1">
  <autoFilter ref="A1:G707" xr:uid="{87D6B435-BD29-4928-9F0C-D113AC1DDB83}">
    <filterColumn colId="1">
      <filters>
        <filter val="VALDILENE DOS SANTOS BACELAR"/>
      </filters>
    </filterColumn>
  </autoFilter>
  <tableColumns count="7">
    <tableColumn id="2" xr3:uid="{F6969BC8-8A0F-4F60-AD22-7C08B1499B92}" uniqueName="2" name="LOJAS" queryTableFieldId="2" dataDxfId="18"/>
    <tableColumn id="8" xr3:uid="{F7A4374E-D491-48E2-9352-4BC6A1FB10DC}" uniqueName="8" name="Nome" queryTableFieldId="56" dataDxfId="17"/>
    <tableColumn id="9" xr3:uid="{674C1759-B444-42FE-A004-8B9C9AE20083}" uniqueName="9" name="Cargo" queryTableFieldId="57" dataDxfId="16"/>
    <tableColumn id="10" xr3:uid="{2FE941CC-7B71-4F3B-9114-A99AC455E775}" uniqueName="10" name="Adm:" queryTableFieldId="58" dataDxfId="15"/>
    <tableColumn id="11" xr3:uid="{AFD78EF1-73A1-415B-AC14-E6F3D5CBA2D4}" uniqueName="11" name="Situação" queryTableFieldId="59" dataDxfId="14"/>
    <tableColumn id="1" xr3:uid="{BE468CE7-2B13-48B8-B6BC-3FE68985B15B}" uniqueName="1" name="Atributo" queryTableFieldId="45" dataDxfId="13"/>
    <tableColumn id="3" xr3:uid="{5DE9ABC6-354E-420E-992B-29849FBEE7D4}" uniqueName="3" name="Valor" totalsRowFunction="sum" queryTableFieldId="46" dataDxfId="12" totalsRowDxfId="11" dataCellStyle="Vírgul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B827E-F923-472A-AFC7-453446EA5624}">
  <dimension ref="A2:J592"/>
  <sheetViews>
    <sheetView workbookViewId="0"/>
  </sheetViews>
  <sheetFormatPr defaultRowHeight="15" x14ac:dyDescent="0.25"/>
  <cols>
    <col min="1" max="1" width="46.28515625" bestFit="1" customWidth="1"/>
    <col min="2" max="2" width="15.140625" bestFit="1" customWidth="1"/>
    <col min="3" max="3" width="45.28515625" bestFit="1" customWidth="1"/>
    <col min="4" max="4" width="33.140625" bestFit="1" customWidth="1"/>
    <col min="5" max="5" width="5.7109375" bestFit="1" customWidth="1"/>
    <col min="6" max="6" width="17" bestFit="1" customWidth="1"/>
    <col min="7" max="7" width="13" bestFit="1" customWidth="1"/>
    <col min="8" max="8" width="23" bestFit="1" customWidth="1"/>
    <col min="9" max="9" width="43.85546875" bestFit="1" customWidth="1"/>
    <col min="10" max="10" width="8" customWidth="1"/>
    <col min="11" max="11" width="9.85546875" bestFit="1" customWidth="1"/>
    <col min="12" max="12" width="24.42578125" bestFit="1" customWidth="1"/>
    <col min="13" max="13" width="26.7109375" bestFit="1" customWidth="1"/>
    <col min="14" max="14" width="17.28515625" bestFit="1" customWidth="1"/>
    <col min="15" max="15" width="10.42578125" bestFit="1" customWidth="1"/>
    <col min="16" max="16" width="27" bestFit="1" customWidth="1"/>
    <col min="17" max="17" width="23" bestFit="1" customWidth="1"/>
    <col min="18" max="18" width="32.7109375" bestFit="1" customWidth="1"/>
    <col min="19" max="19" width="34.7109375" bestFit="1" customWidth="1"/>
    <col min="20" max="20" width="38.5703125" bestFit="1" customWidth="1"/>
    <col min="21" max="21" width="18.85546875" bestFit="1" customWidth="1"/>
    <col min="22" max="22" width="26.85546875" bestFit="1" customWidth="1"/>
    <col min="23" max="23" width="37.7109375" bestFit="1" customWidth="1"/>
    <col min="24" max="24" width="30.28515625" bestFit="1" customWidth="1"/>
    <col min="25" max="25" width="28" bestFit="1" customWidth="1"/>
    <col min="26" max="26" width="8.7109375" bestFit="1" customWidth="1"/>
    <col min="27" max="27" width="28.5703125" bestFit="1" customWidth="1"/>
    <col min="28" max="28" width="16" bestFit="1" customWidth="1"/>
    <col min="29" max="29" width="21.140625" bestFit="1" customWidth="1"/>
    <col min="30" max="30" width="27.85546875" bestFit="1" customWidth="1"/>
    <col min="31" max="31" width="22.85546875" bestFit="1" customWidth="1"/>
    <col min="32" max="32" width="23" bestFit="1" customWidth="1"/>
    <col min="33" max="33" width="30.42578125" bestFit="1" customWidth="1"/>
    <col min="34" max="34" width="42.42578125" bestFit="1" customWidth="1"/>
    <col min="35" max="35" width="19.5703125" bestFit="1" customWidth="1"/>
    <col min="36" max="36" width="23" bestFit="1" customWidth="1"/>
    <col min="37" max="37" width="18.28515625" bestFit="1" customWidth="1"/>
    <col min="38" max="38" width="17.5703125" bestFit="1" customWidth="1"/>
    <col min="39" max="39" width="20.85546875" bestFit="1" customWidth="1"/>
    <col min="40" max="40" width="13.42578125" bestFit="1" customWidth="1"/>
    <col min="41" max="41" width="23.7109375" bestFit="1" customWidth="1"/>
    <col min="42" max="42" width="20.42578125" bestFit="1" customWidth="1"/>
    <col min="43" max="43" width="16.42578125" bestFit="1" customWidth="1"/>
    <col min="44" max="44" width="25.85546875" bestFit="1" customWidth="1"/>
    <col min="45" max="45" width="20" bestFit="1" customWidth="1"/>
    <col min="46" max="46" width="33.5703125" bestFit="1" customWidth="1"/>
    <col min="47" max="47" width="20.85546875" bestFit="1" customWidth="1"/>
    <col min="48" max="48" width="14.5703125" bestFit="1" customWidth="1"/>
    <col min="49" max="49" width="24.85546875" bestFit="1" customWidth="1"/>
    <col min="50" max="50" width="22" bestFit="1" customWidth="1"/>
    <col min="51" max="51" width="21.85546875" bestFit="1" customWidth="1"/>
    <col min="52" max="52" width="20.85546875" bestFit="1" customWidth="1"/>
    <col min="53" max="53" width="39.85546875" bestFit="1" customWidth="1"/>
    <col min="54" max="54" width="30.28515625" bestFit="1" customWidth="1"/>
    <col min="55" max="55" width="20.5703125" bestFit="1" customWidth="1"/>
    <col min="56" max="56" width="40" bestFit="1" customWidth="1"/>
    <col min="57" max="57" width="22.5703125" bestFit="1" customWidth="1"/>
    <col min="58" max="58" width="28.85546875" bestFit="1" customWidth="1"/>
    <col min="59" max="59" width="24.5703125" bestFit="1" customWidth="1"/>
    <col min="60" max="60" width="16.5703125" bestFit="1" customWidth="1"/>
  </cols>
  <sheetData>
    <row r="2" spans="1:10" x14ac:dyDescent="0.25">
      <c r="A2" t="s">
        <v>102</v>
      </c>
      <c r="B2" t="s">
        <v>198</v>
      </c>
      <c r="C2" t="s">
        <v>156</v>
      </c>
      <c r="D2" t="s">
        <v>58</v>
      </c>
      <c r="E2">
        <v>72</v>
      </c>
      <c r="F2" t="s">
        <v>35</v>
      </c>
      <c r="G2" s="1">
        <v>42438</v>
      </c>
      <c r="H2" t="s">
        <v>36</v>
      </c>
      <c r="I2" t="s">
        <v>184</v>
      </c>
      <c r="J2">
        <v>1388.5</v>
      </c>
    </row>
    <row r="3" spans="1:10" x14ac:dyDescent="0.25">
      <c r="A3" t="s">
        <v>102</v>
      </c>
      <c r="B3" t="s">
        <v>198</v>
      </c>
      <c r="C3" t="s">
        <v>156</v>
      </c>
      <c r="D3" t="s">
        <v>58</v>
      </c>
      <c r="E3">
        <v>72</v>
      </c>
      <c r="F3" t="s">
        <v>35</v>
      </c>
      <c r="G3" s="1">
        <v>42438</v>
      </c>
      <c r="H3" t="s">
        <v>36</v>
      </c>
      <c r="I3" t="s">
        <v>1</v>
      </c>
      <c r="J3">
        <v>555.4</v>
      </c>
    </row>
    <row r="4" spans="1:10" x14ac:dyDescent="0.25">
      <c r="A4" t="s">
        <v>102</v>
      </c>
      <c r="B4" t="s">
        <v>198</v>
      </c>
      <c r="C4" t="s">
        <v>156</v>
      </c>
      <c r="D4" t="s">
        <v>58</v>
      </c>
      <c r="E4">
        <v>72</v>
      </c>
      <c r="F4" t="s">
        <v>35</v>
      </c>
      <c r="G4" s="1">
        <v>42438</v>
      </c>
      <c r="H4" t="s">
        <v>36</v>
      </c>
      <c r="I4" t="s">
        <v>260</v>
      </c>
      <c r="J4">
        <v>119.28</v>
      </c>
    </row>
    <row r="5" spans="1:10" x14ac:dyDescent="0.25">
      <c r="A5" t="s">
        <v>102</v>
      </c>
      <c r="B5" t="s">
        <v>198</v>
      </c>
      <c r="C5" t="s">
        <v>156</v>
      </c>
      <c r="D5" t="s">
        <v>58</v>
      </c>
      <c r="E5">
        <v>72</v>
      </c>
      <c r="F5" t="s">
        <v>35</v>
      </c>
      <c r="G5" s="1">
        <v>42438</v>
      </c>
      <c r="H5" t="s">
        <v>36</v>
      </c>
      <c r="I5" t="s">
        <v>27</v>
      </c>
      <c r="J5">
        <v>138.85</v>
      </c>
    </row>
    <row r="6" spans="1:10" x14ac:dyDescent="0.25">
      <c r="A6" t="s">
        <v>102</v>
      </c>
      <c r="B6" t="s">
        <v>198</v>
      </c>
      <c r="C6" t="s">
        <v>156</v>
      </c>
      <c r="D6" t="s">
        <v>58</v>
      </c>
      <c r="E6">
        <v>72</v>
      </c>
      <c r="F6" t="s">
        <v>35</v>
      </c>
      <c r="G6" s="1">
        <v>42438</v>
      </c>
      <c r="H6" t="s">
        <v>36</v>
      </c>
      <c r="I6" t="s">
        <v>200</v>
      </c>
      <c r="J6">
        <v>29.99</v>
      </c>
    </row>
    <row r="7" spans="1:10" x14ac:dyDescent="0.25">
      <c r="A7" t="s">
        <v>102</v>
      </c>
      <c r="B7" t="s">
        <v>198</v>
      </c>
      <c r="C7" t="s">
        <v>156</v>
      </c>
      <c r="D7" t="s">
        <v>58</v>
      </c>
      <c r="E7">
        <v>72</v>
      </c>
      <c r="F7" t="s">
        <v>35</v>
      </c>
      <c r="G7" s="1">
        <v>42438</v>
      </c>
      <c r="H7" t="s">
        <v>36</v>
      </c>
      <c r="I7" t="s">
        <v>2</v>
      </c>
      <c r="J7">
        <v>83.31</v>
      </c>
    </row>
    <row r="8" spans="1:10" x14ac:dyDescent="0.25">
      <c r="A8" t="s">
        <v>102</v>
      </c>
      <c r="B8" t="s">
        <v>198</v>
      </c>
      <c r="C8" t="s">
        <v>178</v>
      </c>
      <c r="D8" t="s">
        <v>58</v>
      </c>
      <c r="E8">
        <v>100</v>
      </c>
      <c r="F8" t="s">
        <v>35</v>
      </c>
      <c r="G8" s="1">
        <v>44117</v>
      </c>
      <c r="H8" t="s">
        <v>36</v>
      </c>
      <c r="I8" t="s">
        <v>184</v>
      </c>
      <c r="J8">
        <v>1388.5</v>
      </c>
    </row>
    <row r="9" spans="1:10" x14ac:dyDescent="0.25">
      <c r="A9" t="s">
        <v>102</v>
      </c>
      <c r="B9" t="s">
        <v>198</v>
      </c>
      <c r="C9" t="s">
        <v>178</v>
      </c>
      <c r="D9" t="s">
        <v>58</v>
      </c>
      <c r="E9">
        <v>100</v>
      </c>
      <c r="F9" t="s">
        <v>35</v>
      </c>
      <c r="G9" s="1">
        <v>44117</v>
      </c>
      <c r="H9" t="s">
        <v>36</v>
      </c>
      <c r="I9" t="s">
        <v>1</v>
      </c>
      <c r="J9">
        <v>555.4</v>
      </c>
    </row>
    <row r="10" spans="1:10" x14ac:dyDescent="0.25">
      <c r="A10" t="s">
        <v>102</v>
      </c>
      <c r="B10" t="s">
        <v>198</v>
      </c>
      <c r="C10" t="s">
        <v>178</v>
      </c>
      <c r="D10" t="s">
        <v>58</v>
      </c>
      <c r="E10">
        <v>100</v>
      </c>
      <c r="F10" t="s">
        <v>35</v>
      </c>
      <c r="G10" s="1">
        <v>44117</v>
      </c>
      <c r="H10" t="s">
        <v>36</v>
      </c>
      <c r="I10" t="s">
        <v>260</v>
      </c>
      <c r="J10">
        <v>106.78</v>
      </c>
    </row>
    <row r="11" spans="1:10" x14ac:dyDescent="0.25">
      <c r="A11" t="s">
        <v>102</v>
      </c>
      <c r="B11" t="s">
        <v>198</v>
      </c>
      <c r="C11" t="s">
        <v>178</v>
      </c>
      <c r="D11" t="s">
        <v>58</v>
      </c>
      <c r="E11">
        <v>100</v>
      </c>
      <c r="F11" t="s">
        <v>35</v>
      </c>
      <c r="G11" s="1">
        <v>44117</v>
      </c>
      <c r="H11" t="s">
        <v>36</v>
      </c>
      <c r="I11" t="s">
        <v>7</v>
      </c>
      <c r="J11">
        <v>56.47</v>
      </c>
    </row>
    <row r="12" spans="1:10" x14ac:dyDescent="0.25">
      <c r="A12" t="s">
        <v>102</v>
      </c>
      <c r="B12" t="s">
        <v>198</v>
      </c>
      <c r="C12" t="s">
        <v>178</v>
      </c>
      <c r="D12" t="s">
        <v>58</v>
      </c>
      <c r="E12">
        <v>100</v>
      </c>
      <c r="F12" t="s">
        <v>35</v>
      </c>
      <c r="G12" s="1">
        <v>44117</v>
      </c>
      <c r="H12" t="s">
        <v>36</v>
      </c>
      <c r="I12" t="s">
        <v>200</v>
      </c>
      <c r="J12">
        <v>153.26</v>
      </c>
    </row>
    <row r="13" spans="1:10" x14ac:dyDescent="0.25">
      <c r="A13" t="s">
        <v>102</v>
      </c>
      <c r="B13" t="s">
        <v>198</v>
      </c>
      <c r="C13" t="s">
        <v>178</v>
      </c>
      <c r="D13" t="s">
        <v>58</v>
      </c>
      <c r="E13">
        <v>100</v>
      </c>
      <c r="F13" t="s">
        <v>35</v>
      </c>
      <c r="G13" s="1">
        <v>44117</v>
      </c>
      <c r="H13" t="s">
        <v>36</v>
      </c>
      <c r="I13" t="s">
        <v>2</v>
      </c>
      <c r="J13">
        <v>83.31</v>
      </c>
    </row>
    <row r="14" spans="1:10" x14ac:dyDescent="0.25">
      <c r="A14" t="s">
        <v>102</v>
      </c>
      <c r="B14" t="s">
        <v>198</v>
      </c>
      <c r="C14" t="s">
        <v>179</v>
      </c>
      <c r="D14" t="s">
        <v>58</v>
      </c>
      <c r="E14">
        <v>102</v>
      </c>
      <c r="F14" t="s">
        <v>35</v>
      </c>
      <c r="G14" s="1">
        <v>44173</v>
      </c>
      <c r="H14" t="s">
        <v>36</v>
      </c>
      <c r="I14" t="s">
        <v>184</v>
      </c>
      <c r="J14">
        <v>1388.5</v>
      </c>
    </row>
    <row r="15" spans="1:10" x14ac:dyDescent="0.25">
      <c r="A15" t="s">
        <v>102</v>
      </c>
      <c r="B15" t="s">
        <v>198</v>
      </c>
      <c r="C15" t="s">
        <v>179</v>
      </c>
      <c r="D15" t="s">
        <v>58</v>
      </c>
      <c r="E15">
        <v>102</v>
      </c>
      <c r="F15" t="s">
        <v>35</v>
      </c>
      <c r="G15" s="1">
        <v>44173</v>
      </c>
      <c r="H15" t="s">
        <v>36</v>
      </c>
      <c r="I15" t="s">
        <v>260</v>
      </c>
      <c r="J15">
        <v>106.78</v>
      </c>
    </row>
    <row r="16" spans="1:10" x14ac:dyDescent="0.25">
      <c r="A16" t="s">
        <v>102</v>
      </c>
      <c r="B16" t="s">
        <v>198</v>
      </c>
      <c r="C16" t="s">
        <v>179</v>
      </c>
      <c r="D16" t="s">
        <v>58</v>
      </c>
      <c r="E16">
        <v>102</v>
      </c>
      <c r="F16" t="s">
        <v>35</v>
      </c>
      <c r="G16" s="1">
        <v>44173</v>
      </c>
      <c r="H16" t="s">
        <v>36</v>
      </c>
      <c r="I16" t="s">
        <v>7</v>
      </c>
      <c r="J16">
        <v>56.47</v>
      </c>
    </row>
    <row r="17" spans="1:10" x14ac:dyDescent="0.25">
      <c r="A17" t="s">
        <v>102</v>
      </c>
      <c r="B17" t="s">
        <v>198</v>
      </c>
      <c r="C17" t="s">
        <v>179</v>
      </c>
      <c r="D17" t="s">
        <v>58</v>
      </c>
      <c r="E17">
        <v>102</v>
      </c>
      <c r="F17" t="s">
        <v>35</v>
      </c>
      <c r="G17" s="1">
        <v>44173</v>
      </c>
      <c r="H17" t="s">
        <v>36</v>
      </c>
      <c r="I17" t="s">
        <v>1</v>
      </c>
      <c r="J17">
        <v>555.4</v>
      </c>
    </row>
    <row r="18" spans="1:10" x14ac:dyDescent="0.25">
      <c r="A18" t="s">
        <v>102</v>
      </c>
      <c r="B18" t="s">
        <v>198</v>
      </c>
      <c r="C18" t="s">
        <v>179</v>
      </c>
      <c r="D18" t="s">
        <v>58</v>
      </c>
      <c r="E18">
        <v>102</v>
      </c>
      <c r="F18" t="s">
        <v>35</v>
      </c>
      <c r="G18" s="1">
        <v>44173</v>
      </c>
      <c r="H18" t="s">
        <v>36</v>
      </c>
      <c r="I18" t="s">
        <v>200</v>
      </c>
      <c r="J18">
        <v>219.36</v>
      </c>
    </row>
    <row r="19" spans="1:10" x14ac:dyDescent="0.25">
      <c r="A19" t="s">
        <v>102</v>
      </c>
      <c r="B19" t="s">
        <v>198</v>
      </c>
      <c r="C19" t="s">
        <v>283</v>
      </c>
      <c r="D19" t="s">
        <v>285</v>
      </c>
      <c r="E19">
        <v>106</v>
      </c>
      <c r="F19" t="s">
        <v>35</v>
      </c>
      <c r="G19" s="1">
        <v>44718</v>
      </c>
      <c r="H19" t="s">
        <v>36</v>
      </c>
      <c r="I19" t="s">
        <v>184</v>
      </c>
      <c r="J19">
        <v>600</v>
      </c>
    </row>
    <row r="20" spans="1:10" x14ac:dyDescent="0.25">
      <c r="A20" t="s">
        <v>102</v>
      </c>
      <c r="B20" t="s">
        <v>198</v>
      </c>
      <c r="C20" t="s">
        <v>283</v>
      </c>
      <c r="D20" t="s">
        <v>285</v>
      </c>
      <c r="E20">
        <v>106</v>
      </c>
      <c r="F20" t="s">
        <v>35</v>
      </c>
      <c r="G20" s="1">
        <v>44718</v>
      </c>
      <c r="H20" t="s">
        <v>36</v>
      </c>
      <c r="I20" t="s">
        <v>286</v>
      </c>
      <c r="J20">
        <v>200</v>
      </c>
    </row>
    <row r="21" spans="1:10" x14ac:dyDescent="0.25">
      <c r="A21" t="s">
        <v>102</v>
      </c>
      <c r="B21" t="s">
        <v>198</v>
      </c>
      <c r="C21" t="s">
        <v>180</v>
      </c>
      <c r="D21" t="s">
        <v>80</v>
      </c>
      <c r="E21">
        <v>4</v>
      </c>
      <c r="F21" t="s">
        <v>35</v>
      </c>
      <c r="G21" s="1">
        <v>40210</v>
      </c>
      <c r="H21" t="s">
        <v>36</v>
      </c>
      <c r="I21" t="s">
        <v>184</v>
      </c>
      <c r="J21">
        <v>1760</v>
      </c>
    </row>
    <row r="22" spans="1:10" x14ac:dyDescent="0.25">
      <c r="A22" t="s">
        <v>102</v>
      </c>
      <c r="B22" t="s">
        <v>198</v>
      </c>
      <c r="C22" t="s">
        <v>180</v>
      </c>
      <c r="D22" t="s">
        <v>80</v>
      </c>
      <c r="E22">
        <v>4</v>
      </c>
      <c r="F22" t="s">
        <v>35</v>
      </c>
      <c r="G22" s="1">
        <v>40210</v>
      </c>
      <c r="H22" t="s">
        <v>36</v>
      </c>
      <c r="I22" t="s">
        <v>260</v>
      </c>
      <c r="J22">
        <v>163.98</v>
      </c>
    </row>
    <row r="23" spans="1:10" x14ac:dyDescent="0.25">
      <c r="A23" t="s">
        <v>102</v>
      </c>
      <c r="B23" t="s">
        <v>198</v>
      </c>
      <c r="C23" t="s">
        <v>180</v>
      </c>
      <c r="D23" t="s">
        <v>80</v>
      </c>
      <c r="E23">
        <v>4</v>
      </c>
      <c r="F23" t="s">
        <v>35</v>
      </c>
      <c r="G23" s="1">
        <v>40210</v>
      </c>
      <c r="H23" t="s">
        <v>36</v>
      </c>
      <c r="I23" t="s">
        <v>27</v>
      </c>
      <c r="J23">
        <v>264</v>
      </c>
    </row>
    <row r="24" spans="1:10" x14ac:dyDescent="0.25">
      <c r="A24" t="s">
        <v>102</v>
      </c>
      <c r="B24" t="s">
        <v>198</v>
      </c>
      <c r="C24" t="s">
        <v>180</v>
      </c>
      <c r="D24" t="s">
        <v>80</v>
      </c>
      <c r="E24">
        <v>4</v>
      </c>
      <c r="F24" t="s">
        <v>35</v>
      </c>
      <c r="G24" s="1">
        <v>40210</v>
      </c>
      <c r="H24" t="s">
        <v>36</v>
      </c>
      <c r="I24" t="s">
        <v>1</v>
      </c>
      <c r="J24">
        <v>704</v>
      </c>
    </row>
    <row r="25" spans="1:10" x14ac:dyDescent="0.25">
      <c r="A25" t="s">
        <v>102</v>
      </c>
      <c r="B25" t="s">
        <v>198</v>
      </c>
      <c r="C25" t="s">
        <v>180</v>
      </c>
      <c r="D25" t="s">
        <v>80</v>
      </c>
      <c r="E25">
        <v>4</v>
      </c>
      <c r="F25" t="s">
        <v>35</v>
      </c>
      <c r="G25" s="1">
        <v>40210</v>
      </c>
      <c r="H25" t="s">
        <v>36</v>
      </c>
      <c r="I25" t="s">
        <v>200</v>
      </c>
      <c r="J25">
        <v>36.99</v>
      </c>
    </row>
    <row r="26" spans="1:10" x14ac:dyDescent="0.25">
      <c r="A26" t="s">
        <v>102</v>
      </c>
      <c r="B26" t="s">
        <v>198</v>
      </c>
      <c r="C26" t="s">
        <v>157</v>
      </c>
      <c r="D26" t="s">
        <v>261</v>
      </c>
      <c r="E26">
        <v>6</v>
      </c>
      <c r="F26" t="s">
        <v>35</v>
      </c>
      <c r="G26" s="1">
        <v>39114</v>
      </c>
      <c r="H26" t="s">
        <v>36</v>
      </c>
      <c r="I26" t="s">
        <v>184</v>
      </c>
      <c r="J26">
        <v>4197.2</v>
      </c>
    </row>
    <row r="27" spans="1:10" x14ac:dyDescent="0.25">
      <c r="A27" t="s">
        <v>102</v>
      </c>
      <c r="B27" t="s">
        <v>198</v>
      </c>
      <c r="C27" t="s">
        <v>157</v>
      </c>
      <c r="D27" t="s">
        <v>261</v>
      </c>
      <c r="E27">
        <v>6</v>
      </c>
      <c r="F27" t="s">
        <v>35</v>
      </c>
      <c r="G27" s="1">
        <v>39114</v>
      </c>
      <c r="H27" t="s">
        <v>36</v>
      </c>
      <c r="I27" t="s">
        <v>1</v>
      </c>
      <c r="J27">
        <v>2098.6</v>
      </c>
    </row>
    <row r="28" spans="1:10" x14ac:dyDescent="0.25">
      <c r="A28" t="s">
        <v>102</v>
      </c>
      <c r="B28" t="s">
        <v>198</v>
      </c>
      <c r="C28" t="s">
        <v>157</v>
      </c>
      <c r="D28" t="s">
        <v>261</v>
      </c>
      <c r="E28">
        <v>6</v>
      </c>
      <c r="F28" t="s">
        <v>35</v>
      </c>
      <c r="G28" s="1">
        <v>39114</v>
      </c>
      <c r="H28" t="s">
        <v>36</v>
      </c>
      <c r="I28" t="s">
        <v>260</v>
      </c>
      <c r="J28">
        <v>511.92</v>
      </c>
    </row>
    <row r="29" spans="1:10" x14ac:dyDescent="0.25">
      <c r="A29" t="s">
        <v>102</v>
      </c>
      <c r="B29" t="s">
        <v>198</v>
      </c>
      <c r="C29" t="s">
        <v>157</v>
      </c>
      <c r="D29" t="s">
        <v>261</v>
      </c>
      <c r="E29">
        <v>6</v>
      </c>
      <c r="F29" t="s">
        <v>35</v>
      </c>
      <c r="G29" s="1">
        <v>39114</v>
      </c>
      <c r="H29" t="s">
        <v>36</v>
      </c>
      <c r="I29" t="s">
        <v>30</v>
      </c>
      <c r="J29">
        <v>71.11</v>
      </c>
    </row>
    <row r="30" spans="1:10" x14ac:dyDescent="0.25">
      <c r="A30" t="s">
        <v>102</v>
      </c>
      <c r="B30" t="s">
        <v>198</v>
      </c>
      <c r="C30" t="s">
        <v>157</v>
      </c>
      <c r="D30" t="s">
        <v>261</v>
      </c>
      <c r="E30">
        <v>6</v>
      </c>
      <c r="F30" t="s">
        <v>35</v>
      </c>
      <c r="G30" s="1">
        <v>39114</v>
      </c>
      <c r="H30" t="s">
        <v>36</v>
      </c>
      <c r="I30" t="s">
        <v>27</v>
      </c>
      <c r="J30">
        <v>629.58000000000004</v>
      </c>
    </row>
    <row r="31" spans="1:10" x14ac:dyDescent="0.25">
      <c r="A31" t="s">
        <v>102</v>
      </c>
      <c r="B31" t="s">
        <v>198</v>
      </c>
      <c r="C31" t="s">
        <v>157</v>
      </c>
      <c r="D31" t="s">
        <v>261</v>
      </c>
      <c r="E31">
        <v>6</v>
      </c>
      <c r="F31" t="s">
        <v>35</v>
      </c>
      <c r="G31" s="1">
        <v>39114</v>
      </c>
      <c r="H31" t="s">
        <v>36</v>
      </c>
      <c r="I31" t="s">
        <v>29</v>
      </c>
      <c r="J31">
        <v>22.89</v>
      </c>
    </row>
    <row r="32" spans="1:10" x14ac:dyDescent="0.25">
      <c r="A32" t="s">
        <v>102</v>
      </c>
      <c r="B32" t="s">
        <v>198</v>
      </c>
      <c r="C32" t="s">
        <v>157</v>
      </c>
      <c r="D32" t="s">
        <v>261</v>
      </c>
      <c r="E32">
        <v>6</v>
      </c>
      <c r="F32" t="s">
        <v>35</v>
      </c>
      <c r="G32" s="1">
        <v>39114</v>
      </c>
      <c r="H32" t="s">
        <v>36</v>
      </c>
      <c r="I32" t="s">
        <v>200</v>
      </c>
      <c r="J32">
        <v>1052.6400000000001</v>
      </c>
    </row>
    <row r="33" spans="1:10" x14ac:dyDescent="0.25">
      <c r="A33" t="s">
        <v>102</v>
      </c>
      <c r="B33" t="s">
        <v>198</v>
      </c>
      <c r="C33" t="s">
        <v>45</v>
      </c>
      <c r="D33" t="s">
        <v>56</v>
      </c>
      <c r="E33">
        <v>104</v>
      </c>
      <c r="F33" t="s">
        <v>35</v>
      </c>
      <c r="G33" s="1">
        <v>44663</v>
      </c>
      <c r="H33" t="s">
        <v>36</v>
      </c>
      <c r="I33" t="s">
        <v>184</v>
      </c>
      <c r="J33">
        <v>1388.5</v>
      </c>
    </row>
    <row r="34" spans="1:10" x14ac:dyDescent="0.25">
      <c r="A34" t="s">
        <v>102</v>
      </c>
      <c r="B34" t="s">
        <v>198</v>
      </c>
      <c r="C34" t="s">
        <v>45</v>
      </c>
      <c r="D34" t="s">
        <v>56</v>
      </c>
      <c r="E34">
        <v>104</v>
      </c>
      <c r="F34" t="s">
        <v>35</v>
      </c>
      <c r="G34" s="1">
        <v>44663</v>
      </c>
      <c r="H34" t="s">
        <v>36</v>
      </c>
      <c r="I34" t="s">
        <v>262</v>
      </c>
      <c r="J34">
        <v>69.430000000000007</v>
      </c>
    </row>
    <row r="35" spans="1:10" x14ac:dyDescent="0.25">
      <c r="A35" t="s">
        <v>102</v>
      </c>
      <c r="B35" t="s">
        <v>198</v>
      </c>
      <c r="C35" t="s">
        <v>45</v>
      </c>
      <c r="D35" t="s">
        <v>56</v>
      </c>
      <c r="E35">
        <v>104</v>
      </c>
      <c r="F35" t="s">
        <v>35</v>
      </c>
      <c r="G35" s="1">
        <v>44663</v>
      </c>
      <c r="H35" t="s">
        <v>36</v>
      </c>
      <c r="I35" t="s">
        <v>260</v>
      </c>
      <c r="J35">
        <v>113.03</v>
      </c>
    </row>
    <row r="36" spans="1:10" x14ac:dyDescent="0.25">
      <c r="A36" t="s">
        <v>102</v>
      </c>
      <c r="B36" t="s">
        <v>198</v>
      </c>
      <c r="C36" t="s">
        <v>45</v>
      </c>
      <c r="D36" t="s">
        <v>56</v>
      </c>
      <c r="E36">
        <v>104</v>
      </c>
      <c r="F36" t="s">
        <v>35</v>
      </c>
      <c r="G36" s="1">
        <v>44663</v>
      </c>
      <c r="H36" t="s">
        <v>36</v>
      </c>
      <c r="I36" t="s">
        <v>1</v>
      </c>
      <c r="J36">
        <v>555.4</v>
      </c>
    </row>
    <row r="37" spans="1:10" x14ac:dyDescent="0.25">
      <c r="A37" t="s">
        <v>102</v>
      </c>
      <c r="B37" t="s">
        <v>198</v>
      </c>
      <c r="C37" t="s">
        <v>181</v>
      </c>
      <c r="D37" t="s">
        <v>58</v>
      </c>
      <c r="E37">
        <v>2</v>
      </c>
      <c r="F37" t="s">
        <v>35</v>
      </c>
      <c r="G37" s="1">
        <v>40210</v>
      </c>
      <c r="H37" t="s">
        <v>36</v>
      </c>
      <c r="I37" t="s">
        <v>184</v>
      </c>
      <c r="J37">
        <v>1388.5</v>
      </c>
    </row>
    <row r="38" spans="1:10" x14ac:dyDescent="0.25">
      <c r="A38" t="s">
        <v>102</v>
      </c>
      <c r="B38" t="s">
        <v>198</v>
      </c>
      <c r="C38" t="s">
        <v>181</v>
      </c>
      <c r="D38" t="s">
        <v>58</v>
      </c>
      <c r="E38">
        <v>2</v>
      </c>
      <c r="F38" t="s">
        <v>35</v>
      </c>
      <c r="G38" s="1">
        <v>40210</v>
      </c>
      <c r="H38" t="s">
        <v>36</v>
      </c>
      <c r="I38" t="s">
        <v>1</v>
      </c>
      <c r="J38">
        <v>555.4</v>
      </c>
    </row>
    <row r="39" spans="1:10" x14ac:dyDescent="0.25">
      <c r="A39" t="s">
        <v>102</v>
      </c>
      <c r="B39" t="s">
        <v>198</v>
      </c>
      <c r="C39" t="s">
        <v>181</v>
      </c>
      <c r="D39" t="s">
        <v>58</v>
      </c>
      <c r="E39">
        <v>2</v>
      </c>
      <c r="F39" t="s">
        <v>35</v>
      </c>
      <c r="G39" s="1">
        <v>40210</v>
      </c>
      <c r="H39" t="s">
        <v>36</v>
      </c>
      <c r="I39" t="s">
        <v>260</v>
      </c>
      <c r="J39">
        <v>125.52</v>
      </c>
    </row>
    <row r="40" spans="1:10" x14ac:dyDescent="0.25">
      <c r="A40" t="s">
        <v>102</v>
      </c>
      <c r="B40" t="s">
        <v>198</v>
      </c>
      <c r="C40" t="s">
        <v>181</v>
      </c>
      <c r="D40" t="s">
        <v>58</v>
      </c>
      <c r="E40">
        <v>2</v>
      </c>
      <c r="F40" t="s">
        <v>35</v>
      </c>
      <c r="G40" s="1">
        <v>40210</v>
      </c>
      <c r="H40" t="s">
        <v>36</v>
      </c>
      <c r="I40" t="s">
        <v>27</v>
      </c>
      <c r="J40">
        <v>208.27</v>
      </c>
    </row>
    <row r="41" spans="1:10" x14ac:dyDescent="0.25">
      <c r="A41" t="s">
        <v>102</v>
      </c>
      <c r="B41" t="s">
        <v>198</v>
      </c>
      <c r="C41" t="s">
        <v>181</v>
      </c>
      <c r="D41" t="s">
        <v>58</v>
      </c>
      <c r="E41">
        <v>2</v>
      </c>
      <c r="F41" t="s">
        <v>35</v>
      </c>
      <c r="G41" s="1">
        <v>40210</v>
      </c>
      <c r="H41" t="s">
        <v>36</v>
      </c>
      <c r="I41" t="s">
        <v>200</v>
      </c>
      <c r="J41">
        <v>392.64</v>
      </c>
    </row>
    <row r="42" spans="1:10" x14ac:dyDescent="0.25">
      <c r="A42" t="s">
        <v>102</v>
      </c>
      <c r="B42" t="s">
        <v>198</v>
      </c>
      <c r="C42" t="s">
        <v>181</v>
      </c>
      <c r="D42" t="s">
        <v>58</v>
      </c>
      <c r="E42">
        <v>2</v>
      </c>
      <c r="F42" t="s">
        <v>35</v>
      </c>
      <c r="G42" s="1">
        <v>40210</v>
      </c>
      <c r="H42" t="s">
        <v>36</v>
      </c>
      <c r="I42" t="s">
        <v>2</v>
      </c>
      <c r="J42">
        <v>83.31</v>
      </c>
    </row>
    <row r="43" spans="1:10" x14ac:dyDescent="0.25">
      <c r="A43" t="s">
        <v>102</v>
      </c>
      <c r="B43" t="s">
        <v>198</v>
      </c>
      <c r="C43" t="s">
        <v>158</v>
      </c>
      <c r="D43" t="s">
        <v>58</v>
      </c>
      <c r="E43">
        <v>44</v>
      </c>
      <c r="F43" t="s">
        <v>35</v>
      </c>
      <c r="G43" s="1">
        <v>41964</v>
      </c>
      <c r="H43" t="s">
        <v>36</v>
      </c>
      <c r="I43" t="s">
        <v>184</v>
      </c>
      <c r="J43">
        <v>1388.5</v>
      </c>
    </row>
    <row r="44" spans="1:10" x14ac:dyDescent="0.25">
      <c r="A44" t="s">
        <v>102</v>
      </c>
      <c r="B44" t="s">
        <v>198</v>
      </c>
      <c r="C44" t="s">
        <v>158</v>
      </c>
      <c r="D44" t="s">
        <v>58</v>
      </c>
      <c r="E44">
        <v>44</v>
      </c>
      <c r="F44" t="s">
        <v>35</v>
      </c>
      <c r="G44" s="1">
        <v>41964</v>
      </c>
      <c r="H44" t="s">
        <v>36</v>
      </c>
      <c r="I44" t="s">
        <v>27</v>
      </c>
      <c r="J44">
        <v>138.85</v>
      </c>
    </row>
    <row r="45" spans="1:10" x14ac:dyDescent="0.25">
      <c r="A45" t="s">
        <v>102</v>
      </c>
      <c r="B45" t="s">
        <v>198</v>
      </c>
      <c r="C45" t="s">
        <v>158</v>
      </c>
      <c r="D45" t="s">
        <v>58</v>
      </c>
      <c r="E45">
        <v>44</v>
      </c>
      <c r="F45" t="s">
        <v>35</v>
      </c>
      <c r="G45" s="1">
        <v>41964</v>
      </c>
      <c r="H45" t="s">
        <v>36</v>
      </c>
      <c r="I45" t="s">
        <v>260</v>
      </c>
      <c r="J45">
        <v>119.28</v>
      </c>
    </row>
    <row r="46" spans="1:10" x14ac:dyDescent="0.25">
      <c r="A46" t="s">
        <v>102</v>
      </c>
      <c r="B46" t="s">
        <v>198</v>
      </c>
      <c r="C46" t="s">
        <v>158</v>
      </c>
      <c r="D46" t="s">
        <v>58</v>
      </c>
      <c r="E46">
        <v>44</v>
      </c>
      <c r="F46" t="s">
        <v>35</v>
      </c>
      <c r="G46" s="1">
        <v>41964</v>
      </c>
      <c r="H46" t="s">
        <v>36</v>
      </c>
      <c r="I46" t="s">
        <v>7</v>
      </c>
      <c r="J46">
        <v>56.47</v>
      </c>
    </row>
    <row r="47" spans="1:10" x14ac:dyDescent="0.25">
      <c r="A47" t="s">
        <v>102</v>
      </c>
      <c r="B47" t="s">
        <v>198</v>
      </c>
      <c r="C47" t="s">
        <v>158</v>
      </c>
      <c r="D47" t="s">
        <v>58</v>
      </c>
      <c r="E47">
        <v>44</v>
      </c>
      <c r="F47" t="s">
        <v>35</v>
      </c>
      <c r="G47" s="1">
        <v>41964</v>
      </c>
      <c r="H47" t="s">
        <v>36</v>
      </c>
      <c r="I47" t="s">
        <v>1</v>
      </c>
      <c r="J47">
        <v>555.4</v>
      </c>
    </row>
    <row r="48" spans="1:10" x14ac:dyDescent="0.25">
      <c r="A48" t="s">
        <v>102</v>
      </c>
      <c r="B48" t="s">
        <v>198</v>
      </c>
      <c r="C48" t="s">
        <v>159</v>
      </c>
      <c r="D48" t="s">
        <v>58</v>
      </c>
      <c r="E48">
        <v>98</v>
      </c>
      <c r="F48" t="s">
        <v>35</v>
      </c>
      <c r="G48" s="1">
        <v>41974</v>
      </c>
      <c r="H48" t="s">
        <v>36</v>
      </c>
      <c r="I48" t="s">
        <v>184</v>
      </c>
      <c r="J48">
        <v>1388.5</v>
      </c>
    </row>
    <row r="49" spans="1:10" x14ac:dyDescent="0.25">
      <c r="A49" t="s">
        <v>102</v>
      </c>
      <c r="B49" t="s">
        <v>198</v>
      </c>
      <c r="C49" t="s">
        <v>159</v>
      </c>
      <c r="D49" t="s">
        <v>58</v>
      </c>
      <c r="E49">
        <v>98</v>
      </c>
      <c r="F49" t="s">
        <v>35</v>
      </c>
      <c r="G49" s="1">
        <v>41974</v>
      </c>
      <c r="H49" t="s">
        <v>36</v>
      </c>
      <c r="I49" t="s">
        <v>260</v>
      </c>
      <c r="J49">
        <v>119.28</v>
      </c>
    </row>
    <row r="50" spans="1:10" x14ac:dyDescent="0.25">
      <c r="A50" t="s">
        <v>102</v>
      </c>
      <c r="B50" t="s">
        <v>198</v>
      </c>
      <c r="C50" t="s">
        <v>159</v>
      </c>
      <c r="D50" t="s">
        <v>58</v>
      </c>
      <c r="E50">
        <v>98</v>
      </c>
      <c r="F50" t="s">
        <v>35</v>
      </c>
      <c r="G50" s="1">
        <v>41974</v>
      </c>
      <c r="H50" t="s">
        <v>36</v>
      </c>
      <c r="I50" t="s">
        <v>27</v>
      </c>
      <c r="J50">
        <v>138.85</v>
      </c>
    </row>
    <row r="51" spans="1:10" x14ac:dyDescent="0.25">
      <c r="A51" t="s">
        <v>102</v>
      </c>
      <c r="B51" t="s">
        <v>198</v>
      </c>
      <c r="C51" t="s">
        <v>159</v>
      </c>
      <c r="D51" t="s">
        <v>58</v>
      </c>
      <c r="E51">
        <v>98</v>
      </c>
      <c r="F51" t="s">
        <v>35</v>
      </c>
      <c r="G51" s="1">
        <v>41974</v>
      </c>
      <c r="H51" t="s">
        <v>36</v>
      </c>
      <c r="I51" t="s">
        <v>200</v>
      </c>
      <c r="J51">
        <v>240.45</v>
      </c>
    </row>
    <row r="52" spans="1:10" x14ac:dyDescent="0.25">
      <c r="A52" t="s">
        <v>102</v>
      </c>
      <c r="B52" t="s">
        <v>198</v>
      </c>
      <c r="C52" t="s">
        <v>159</v>
      </c>
      <c r="D52" t="s">
        <v>58</v>
      </c>
      <c r="E52">
        <v>98</v>
      </c>
      <c r="F52" t="s">
        <v>35</v>
      </c>
      <c r="G52" s="1">
        <v>41974</v>
      </c>
      <c r="H52" t="s">
        <v>36</v>
      </c>
      <c r="I52" t="s">
        <v>7</v>
      </c>
      <c r="J52">
        <v>112.94</v>
      </c>
    </row>
    <row r="53" spans="1:10" x14ac:dyDescent="0.25">
      <c r="A53" t="s">
        <v>102</v>
      </c>
      <c r="B53" t="s">
        <v>198</v>
      </c>
      <c r="C53" t="s">
        <v>159</v>
      </c>
      <c r="D53" t="s">
        <v>58</v>
      </c>
      <c r="E53">
        <v>98</v>
      </c>
      <c r="F53" t="s">
        <v>35</v>
      </c>
      <c r="G53" s="1">
        <v>41974</v>
      </c>
      <c r="H53" t="s">
        <v>36</v>
      </c>
      <c r="I53" t="s">
        <v>1</v>
      </c>
      <c r="J53">
        <v>555.4</v>
      </c>
    </row>
    <row r="54" spans="1:10" x14ac:dyDescent="0.25">
      <c r="A54" t="s">
        <v>102</v>
      </c>
      <c r="B54" t="s">
        <v>198</v>
      </c>
      <c r="C54" t="s">
        <v>159</v>
      </c>
      <c r="D54" t="s">
        <v>58</v>
      </c>
      <c r="E54">
        <v>98</v>
      </c>
      <c r="F54" t="s">
        <v>35</v>
      </c>
      <c r="G54" s="1">
        <v>41974</v>
      </c>
      <c r="H54" t="s">
        <v>36</v>
      </c>
      <c r="I54" t="s">
        <v>2</v>
      </c>
      <c r="J54">
        <v>83.31</v>
      </c>
    </row>
    <row r="55" spans="1:10" x14ac:dyDescent="0.25">
      <c r="A55" t="s">
        <v>102</v>
      </c>
      <c r="B55" t="s">
        <v>198</v>
      </c>
      <c r="C55" t="s">
        <v>217</v>
      </c>
      <c r="D55" t="s">
        <v>144</v>
      </c>
      <c r="E55">
        <v>105</v>
      </c>
      <c r="F55" t="s">
        <v>35</v>
      </c>
      <c r="G55" s="1">
        <v>37781</v>
      </c>
      <c r="H55" t="s">
        <v>36</v>
      </c>
      <c r="I55" t="s">
        <v>184</v>
      </c>
      <c r="J55">
        <v>5559</v>
      </c>
    </row>
    <row r="56" spans="1:10" x14ac:dyDescent="0.25">
      <c r="A56" t="s">
        <v>102</v>
      </c>
      <c r="B56" t="s">
        <v>198</v>
      </c>
      <c r="C56" t="s">
        <v>217</v>
      </c>
      <c r="D56" t="s">
        <v>144</v>
      </c>
      <c r="E56">
        <v>105</v>
      </c>
      <c r="F56" t="s">
        <v>35</v>
      </c>
      <c r="G56" s="1">
        <v>37781</v>
      </c>
      <c r="H56" t="s">
        <v>36</v>
      </c>
      <c r="I56" t="s">
        <v>18</v>
      </c>
      <c r="J56">
        <v>5559</v>
      </c>
    </row>
    <row r="57" spans="1:10" x14ac:dyDescent="0.25">
      <c r="A57" t="s">
        <v>102</v>
      </c>
      <c r="B57" t="s">
        <v>198</v>
      </c>
      <c r="C57" t="s">
        <v>282</v>
      </c>
      <c r="D57" t="s">
        <v>77</v>
      </c>
      <c r="E57">
        <v>108</v>
      </c>
      <c r="F57" t="s">
        <v>35</v>
      </c>
      <c r="G57" s="1">
        <v>44735</v>
      </c>
      <c r="H57" t="s">
        <v>36</v>
      </c>
      <c r="I57" t="s">
        <v>184</v>
      </c>
      <c r="J57">
        <v>1388.5</v>
      </c>
    </row>
    <row r="58" spans="1:10" x14ac:dyDescent="0.25">
      <c r="A58" t="s">
        <v>102</v>
      </c>
      <c r="B58" t="s">
        <v>198</v>
      </c>
      <c r="C58" t="s">
        <v>160</v>
      </c>
      <c r="D58" t="s">
        <v>58</v>
      </c>
      <c r="E58">
        <v>22</v>
      </c>
      <c r="F58" t="s">
        <v>35</v>
      </c>
      <c r="G58" s="1">
        <v>40210</v>
      </c>
      <c r="H58" t="s">
        <v>36</v>
      </c>
      <c r="I58" t="s">
        <v>2</v>
      </c>
      <c r="J58">
        <v>83.31</v>
      </c>
    </row>
    <row r="59" spans="1:10" x14ac:dyDescent="0.25">
      <c r="A59" t="s">
        <v>102</v>
      </c>
      <c r="B59" t="s">
        <v>198</v>
      </c>
      <c r="C59" t="s">
        <v>182</v>
      </c>
      <c r="D59" t="s">
        <v>56</v>
      </c>
      <c r="E59">
        <v>64</v>
      </c>
      <c r="F59" t="s">
        <v>35</v>
      </c>
      <c r="G59" s="1">
        <v>42342</v>
      </c>
      <c r="H59" t="s">
        <v>36</v>
      </c>
      <c r="I59" t="s">
        <v>184</v>
      </c>
      <c r="J59">
        <v>1388.5</v>
      </c>
    </row>
    <row r="60" spans="1:10" x14ac:dyDescent="0.25">
      <c r="A60" t="s">
        <v>102</v>
      </c>
      <c r="B60" t="s">
        <v>198</v>
      </c>
      <c r="C60" t="s">
        <v>182</v>
      </c>
      <c r="D60" t="s">
        <v>56</v>
      </c>
      <c r="E60">
        <v>64</v>
      </c>
      <c r="F60" t="s">
        <v>35</v>
      </c>
      <c r="G60" s="1">
        <v>42342</v>
      </c>
      <c r="H60" t="s">
        <v>36</v>
      </c>
      <c r="I60" t="s">
        <v>260</v>
      </c>
      <c r="J60">
        <v>125.53</v>
      </c>
    </row>
    <row r="61" spans="1:10" x14ac:dyDescent="0.25">
      <c r="A61" t="s">
        <v>102</v>
      </c>
      <c r="B61" t="s">
        <v>198</v>
      </c>
      <c r="C61" t="s">
        <v>182</v>
      </c>
      <c r="D61" t="s">
        <v>56</v>
      </c>
      <c r="E61">
        <v>64</v>
      </c>
      <c r="F61" t="s">
        <v>35</v>
      </c>
      <c r="G61" s="1">
        <v>42342</v>
      </c>
      <c r="H61" t="s">
        <v>36</v>
      </c>
      <c r="I61" t="s">
        <v>262</v>
      </c>
      <c r="J61">
        <v>69.430000000000007</v>
      </c>
    </row>
    <row r="62" spans="1:10" x14ac:dyDescent="0.25">
      <c r="A62" t="s">
        <v>102</v>
      </c>
      <c r="B62" t="s">
        <v>198</v>
      </c>
      <c r="C62" t="s">
        <v>182</v>
      </c>
      <c r="D62" t="s">
        <v>56</v>
      </c>
      <c r="E62">
        <v>64</v>
      </c>
      <c r="F62" t="s">
        <v>35</v>
      </c>
      <c r="G62" s="1">
        <v>42342</v>
      </c>
      <c r="H62" t="s">
        <v>36</v>
      </c>
      <c r="I62" t="s">
        <v>31</v>
      </c>
      <c r="J62">
        <v>19.7</v>
      </c>
    </row>
    <row r="63" spans="1:10" x14ac:dyDescent="0.25">
      <c r="A63" t="s">
        <v>102</v>
      </c>
      <c r="B63" t="s">
        <v>198</v>
      </c>
      <c r="C63" t="s">
        <v>182</v>
      </c>
      <c r="D63" t="s">
        <v>56</v>
      </c>
      <c r="E63">
        <v>64</v>
      </c>
      <c r="F63" t="s">
        <v>35</v>
      </c>
      <c r="G63" s="1">
        <v>42342</v>
      </c>
      <c r="H63" t="s">
        <v>36</v>
      </c>
      <c r="I63" t="s">
        <v>27</v>
      </c>
      <c r="J63">
        <v>138.85</v>
      </c>
    </row>
    <row r="64" spans="1:10" x14ac:dyDescent="0.25">
      <c r="A64" t="s">
        <v>102</v>
      </c>
      <c r="B64" t="s">
        <v>198</v>
      </c>
      <c r="C64" t="s">
        <v>182</v>
      </c>
      <c r="D64" t="s">
        <v>56</v>
      </c>
      <c r="E64">
        <v>64</v>
      </c>
      <c r="F64" t="s">
        <v>35</v>
      </c>
      <c r="G64" s="1">
        <v>42342</v>
      </c>
      <c r="H64" t="s">
        <v>36</v>
      </c>
      <c r="I64" t="s">
        <v>200</v>
      </c>
      <c r="J64">
        <v>45.97</v>
      </c>
    </row>
    <row r="65" spans="1:10" x14ac:dyDescent="0.25">
      <c r="A65" t="s">
        <v>102</v>
      </c>
      <c r="B65" t="s">
        <v>198</v>
      </c>
      <c r="C65" t="s">
        <v>182</v>
      </c>
      <c r="D65" t="s">
        <v>56</v>
      </c>
      <c r="E65">
        <v>64</v>
      </c>
      <c r="F65" t="s">
        <v>35</v>
      </c>
      <c r="G65" s="1">
        <v>42342</v>
      </c>
      <c r="H65" t="s">
        <v>36</v>
      </c>
      <c r="I65" t="s">
        <v>7</v>
      </c>
      <c r="J65">
        <v>56.47</v>
      </c>
    </row>
    <row r="66" spans="1:10" x14ac:dyDescent="0.25">
      <c r="A66" t="s">
        <v>102</v>
      </c>
      <c r="B66" t="s">
        <v>198</v>
      </c>
      <c r="C66" t="s">
        <v>182</v>
      </c>
      <c r="D66" t="s">
        <v>56</v>
      </c>
      <c r="E66">
        <v>64</v>
      </c>
      <c r="F66" t="s">
        <v>35</v>
      </c>
      <c r="G66" s="1">
        <v>42342</v>
      </c>
      <c r="H66" t="s">
        <v>36</v>
      </c>
      <c r="I66" t="s">
        <v>1</v>
      </c>
      <c r="J66">
        <v>555.4</v>
      </c>
    </row>
    <row r="67" spans="1:10" x14ac:dyDescent="0.25">
      <c r="A67" t="s">
        <v>102</v>
      </c>
      <c r="B67" t="s">
        <v>198</v>
      </c>
      <c r="C67" t="s">
        <v>182</v>
      </c>
      <c r="D67" t="s">
        <v>56</v>
      </c>
      <c r="E67">
        <v>64</v>
      </c>
      <c r="F67" t="s">
        <v>35</v>
      </c>
      <c r="G67" s="1">
        <v>42342</v>
      </c>
      <c r="H67" t="s">
        <v>36</v>
      </c>
      <c r="I67" t="s">
        <v>2</v>
      </c>
      <c r="J67">
        <v>83.31</v>
      </c>
    </row>
    <row r="68" spans="1:10" x14ac:dyDescent="0.25">
      <c r="A68" t="s">
        <v>102</v>
      </c>
      <c r="B68" t="s">
        <v>198</v>
      </c>
      <c r="C68" t="s">
        <v>49</v>
      </c>
      <c r="D68" t="s">
        <v>263</v>
      </c>
      <c r="E68">
        <v>103</v>
      </c>
      <c r="F68" t="s">
        <v>35</v>
      </c>
      <c r="G68" s="1">
        <v>44663</v>
      </c>
      <c r="H68" t="s">
        <v>36</v>
      </c>
      <c r="I68" t="s">
        <v>184</v>
      </c>
      <c r="J68">
        <v>2200</v>
      </c>
    </row>
    <row r="69" spans="1:10" x14ac:dyDescent="0.25">
      <c r="A69" t="s">
        <v>102</v>
      </c>
      <c r="B69" t="s">
        <v>198</v>
      </c>
      <c r="C69" t="s">
        <v>49</v>
      </c>
      <c r="D69" t="s">
        <v>263</v>
      </c>
      <c r="E69">
        <v>103</v>
      </c>
      <c r="F69" t="s">
        <v>35</v>
      </c>
      <c r="G69" s="1">
        <v>44663</v>
      </c>
      <c r="H69" t="s">
        <v>36</v>
      </c>
      <c r="I69" t="s">
        <v>1</v>
      </c>
      <c r="J69">
        <v>880</v>
      </c>
    </row>
    <row r="70" spans="1:10" x14ac:dyDescent="0.25">
      <c r="A70" t="s">
        <v>102</v>
      </c>
      <c r="B70" t="s">
        <v>198</v>
      </c>
      <c r="C70" t="s">
        <v>49</v>
      </c>
      <c r="D70" t="s">
        <v>263</v>
      </c>
      <c r="E70">
        <v>103</v>
      </c>
      <c r="F70" t="s">
        <v>35</v>
      </c>
      <c r="G70" s="1">
        <v>44663</v>
      </c>
      <c r="H70" t="s">
        <v>36</v>
      </c>
      <c r="I70" t="s">
        <v>260</v>
      </c>
      <c r="J70">
        <v>179.82</v>
      </c>
    </row>
    <row r="71" spans="1:10" x14ac:dyDescent="0.25">
      <c r="A71" t="s">
        <v>102</v>
      </c>
      <c r="B71" t="s">
        <v>198</v>
      </c>
      <c r="C71" t="s">
        <v>49</v>
      </c>
      <c r="D71" t="s">
        <v>263</v>
      </c>
      <c r="E71">
        <v>103</v>
      </c>
      <c r="F71" t="s">
        <v>35</v>
      </c>
      <c r="G71" s="1">
        <v>44663</v>
      </c>
      <c r="H71" t="s">
        <v>36</v>
      </c>
      <c r="I71" t="s">
        <v>200</v>
      </c>
      <c r="J71">
        <v>34.49</v>
      </c>
    </row>
    <row r="72" spans="1:10" x14ac:dyDescent="0.25">
      <c r="A72" t="s">
        <v>102</v>
      </c>
      <c r="B72" t="s">
        <v>198</v>
      </c>
      <c r="C72" t="s">
        <v>183</v>
      </c>
      <c r="D72" t="s">
        <v>77</v>
      </c>
      <c r="E72">
        <v>96</v>
      </c>
      <c r="F72" t="s">
        <v>35</v>
      </c>
      <c r="G72" s="1">
        <v>43437</v>
      </c>
      <c r="H72" t="s">
        <v>36</v>
      </c>
      <c r="I72" t="s">
        <v>184</v>
      </c>
      <c r="J72">
        <v>1388.5</v>
      </c>
    </row>
    <row r="73" spans="1:10" x14ac:dyDescent="0.25">
      <c r="A73" t="s">
        <v>102</v>
      </c>
      <c r="B73" t="s">
        <v>198</v>
      </c>
      <c r="C73" t="s">
        <v>183</v>
      </c>
      <c r="D73" t="s">
        <v>77</v>
      </c>
      <c r="E73">
        <v>96</v>
      </c>
      <c r="F73" t="s">
        <v>35</v>
      </c>
      <c r="G73" s="1">
        <v>43437</v>
      </c>
      <c r="H73" t="s">
        <v>36</v>
      </c>
      <c r="I73" t="s">
        <v>27</v>
      </c>
      <c r="J73">
        <v>69.430000000000007</v>
      </c>
    </row>
    <row r="74" spans="1:10" x14ac:dyDescent="0.25">
      <c r="A74" t="s">
        <v>102</v>
      </c>
      <c r="B74" t="s">
        <v>198</v>
      </c>
      <c r="C74" t="s">
        <v>183</v>
      </c>
      <c r="D74" t="s">
        <v>77</v>
      </c>
      <c r="E74">
        <v>96</v>
      </c>
      <c r="F74" t="s">
        <v>35</v>
      </c>
      <c r="G74" s="1">
        <v>43437</v>
      </c>
      <c r="H74" t="s">
        <v>36</v>
      </c>
      <c r="I74" t="s">
        <v>260</v>
      </c>
      <c r="J74">
        <v>113.03</v>
      </c>
    </row>
    <row r="75" spans="1:10" x14ac:dyDescent="0.25">
      <c r="A75" t="s">
        <v>102</v>
      </c>
      <c r="B75" t="s">
        <v>198</v>
      </c>
      <c r="C75" t="s">
        <v>183</v>
      </c>
      <c r="D75" t="s">
        <v>77</v>
      </c>
      <c r="E75">
        <v>96</v>
      </c>
      <c r="F75" t="s">
        <v>35</v>
      </c>
      <c r="G75" s="1">
        <v>43437</v>
      </c>
      <c r="H75" t="s">
        <v>36</v>
      </c>
      <c r="I75" t="s">
        <v>7</v>
      </c>
      <c r="J75">
        <v>112.94</v>
      </c>
    </row>
    <row r="76" spans="1:10" x14ac:dyDescent="0.25">
      <c r="A76" t="s">
        <v>102</v>
      </c>
      <c r="B76" t="s">
        <v>198</v>
      </c>
      <c r="C76" t="s">
        <v>183</v>
      </c>
      <c r="D76" t="s">
        <v>77</v>
      </c>
      <c r="E76">
        <v>96</v>
      </c>
      <c r="F76" t="s">
        <v>35</v>
      </c>
      <c r="G76" s="1">
        <v>43437</v>
      </c>
      <c r="H76" t="s">
        <v>36</v>
      </c>
      <c r="I76" t="s">
        <v>1</v>
      </c>
      <c r="J76">
        <v>555.4</v>
      </c>
    </row>
    <row r="77" spans="1:10" x14ac:dyDescent="0.25">
      <c r="A77" t="s">
        <v>102</v>
      </c>
      <c r="B77" t="s">
        <v>198</v>
      </c>
      <c r="C77" t="s">
        <v>143</v>
      </c>
      <c r="D77" t="s">
        <v>58</v>
      </c>
      <c r="E77">
        <v>32</v>
      </c>
      <c r="F77" t="s">
        <v>35</v>
      </c>
      <c r="G77" s="1">
        <v>41775</v>
      </c>
      <c r="H77" t="s">
        <v>36</v>
      </c>
      <c r="I77" t="s">
        <v>184</v>
      </c>
      <c r="J77">
        <v>1388.5</v>
      </c>
    </row>
    <row r="78" spans="1:10" x14ac:dyDescent="0.25">
      <c r="A78" t="s">
        <v>102</v>
      </c>
      <c r="B78" t="s">
        <v>198</v>
      </c>
      <c r="C78" t="s">
        <v>143</v>
      </c>
      <c r="D78" t="s">
        <v>58</v>
      </c>
      <c r="E78">
        <v>32</v>
      </c>
      <c r="F78" t="s">
        <v>35</v>
      </c>
      <c r="G78" s="1">
        <v>41775</v>
      </c>
      <c r="H78" t="s">
        <v>36</v>
      </c>
      <c r="I78" t="s">
        <v>260</v>
      </c>
      <c r="J78">
        <v>119.28</v>
      </c>
    </row>
    <row r="79" spans="1:10" x14ac:dyDescent="0.25">
      <c r="A79" t="s">
        <v>102</v>
      </c>
      <c r="B79" t="s">
        <v>198</v>
      </c>
      <c r="C79" t="s">
        <v>143</v>
      </c>
      <c r="D79" t="s">
        <v>58</v>
      </c>
      <c r="E79">
        <v>32</v>
      </c>
      <c r="F79" t="s">
        <v>35</v>
      </c>
      <c r="G79" s="1">
        <v>41775</v>
      </c>
      <c r="H79" t="s">
        <v>36</v>
      </c>
      <c r="I79" t="s">
        <v>27</v>
      </c>
      <c r="J79">
        <v>138.85</v>
      </c>
    </row>
    <row r="80" spans="1:10" x14ac:dyDescent="0.25">
      <c r="A80" t="s">
        <v>102</v>
      </c>
      <c r="B80" t="s">
        <v>198</v>
      </c>
      <c r="C80" t="s">
        <v>143</v>
      </c>
      <c r="D80" t="s">
        <v>58</v>
      </c>
      <c r="E80">
        <v>32</v>
      </c>
      <c r="F80" t="s">
        <v>35</v>
      </c>
      <c r="G80" s="1">
        <v>41775</v>
      </c>
      <c r="H80" t="s">
        <v>36</v>
      </c>
      <c r="I80" t="s">
        <v>200</v>
      </c>
      <c r="J80">
        <v>155.55000000000001</v>
      </c>
    </row>
    <row r="81" spans="1:10" x14ac:dyDescent="0.25">
      <c r="A81" t="s">
        <v>102</v>
      </c>
      <c r="B81" t="s">
        <v>198</v>
      </c>
      <c r="C81" t="s">
        <v>143</v>
      </c>
      <c r="D81" t="s">
        <v>58</v>
      </c>
      <c r="E81">
        <v>32</v>
      </c>
      <c r="F81" t="s">
        <v>35</v>
      </c>
      <c r="G81" s="1">
        <v>41775</v>
      </c>
      <c r="H81" t="s">
        <v>36</v>
      </c>
      <c r="I81" t="s">
        <v>7</v>
      </c>
      <c r="J81">
        <v>112.94</v>
      </c>
    </row>
    <row r="82" spans="1:10" x14ac:dyDescent="0.25">
      <c r="A82" t="s">
        <v>102</v>
      </c>
      <c r="B82" t="s">
        <v>198</v>
      </c>
      <c r="C82" t="s">
        <v>143</v>
      </c>
      <c r="D82" t="s">
        <v>58</v>
      </c>
      <c r="E82">
        <v>32</v>
      </c>
      <c r="F82" t="s">
        <v>35</v>
      </c>
      <c r="G82" s="1">
        <v>41775</v>
      </c>
      <c r="H82" t="s">
        <v>36</v>
      </c>
      <c r="I82" t="s">
        <v>1</v>
      </c>
      <c r="J82">
        <v>555.4</v>
      </c>
    </row>
    <row r="83" spans="1:10" x14ac:dyDescent="0.25">
      <c r="A83" t="s">
        <v>102</v>
      </c>
      <c r="B83" t="s">
        <v>198</v>
      </c>
      <c r="C83" t="s">
        <v>143</v>
      </c>
      <c r="D83" t="s">
        <v>58</v>
      </c>
      <c r="E83">
        <v>32</v>
      </c>
      <c r="F83" t="s">
        <v>35</v>
      </c>
      <c r="G83" s="1">
        <v>41775</v>
      </c>
      <c r="H83" t="s">
        <v>36</v>
      </c>
      <c r="I83" t="s">
        <v>2</v>
      </c>
      <c r="J83">
        <v>83.31</v>
      </c>
    </row>
    <row r="84" spans="1:10" x14ac:dyDescent="0.25">
      <c r="A84" t="s">
        <v>102</v>
      </c>
      <c r="B84" t="s">
        <v>198</v>
      </c>
      <c r="C84" t="s">
        <v>284</v>
      </c>
      <c r="D84" t="s">
        <v>285</v>
      </c>
      <c r="E84">
        <v>105</v>
      </c>
      <c r="F84" t="s">
        <v>35</v>
      </c>
      <c r="G84" s="1">
        <v>44718</v>
      </c>
      <c r="H84" t="s">
        <v>36</v>
      </c>
      <c r="I84" t="s">
        <v>184</v>
      </c>
      <c r="J84">
        <v>600</v>
      </c>
    </row>
    <row r="85" spans="1:10" x14ac:dyDescent="0.25">
      <c r="A85" t="s">
        <v>102</v>
      </c>
      <c r="B85" t="s">
        <v>198</v>
      </c>
      <c r="C85" t="s">
        <v>284</v>
      </c>
      <c r="D85" t="s">
        <v>285</v>
      </c>
      <c r="E85">
        <v>105</v>
      </c>
      <c r="F85" t="s">
        <v>35</v>
      </c>
      <c r="G85" s="1">
        <v>44718</v>
      </c>
      <c r="H85" t="s">
        <v>36</v>
      </c>
      <c r="I85" t="s">
        <v>286</v>
      </c>
      <c r="J85">
        <v>200</v>
      </c>
    </row>
    <row r="86" spans="1:10" x14ac:dyDescent="0.25">
      <c r="A86" t="s">
        <v>102</v>
      </c>
      <c r="B86" t="s">
        <v>199</v>
      </c>
      <c r="C86" t="s">
        <v>103</v>
      </c>
      <c r="D86" t="s">
        <v>104</v>
      </c>
      <c r="E86">
        <v>123</v>
      </c>
      <c r="F86" t="s">
        <v>35</v>
      </c>
      <c r="G86" s="1">
        <v>42751</v>
      </c>
      <c r="H86" t="s">
        <v>36</v>
      </c>
      <c r="I86" t="s">
        <v>184</v>
      </c>
      <c r="J86">
        <v>1212</v>
      </c>
    </row>
    <row r="87" spans="1:10" x14ac:dyDescent="0.25">
      <c r="A87" t="s">
        <v>102</v>
      </c>
      <c r="B87" t="s">
        <v>199</v>
      </c>
      <c r="C87" t="s">
        <v>103</v>
      </c>
      <c r="D87" t="s">
        <v>104</v>
      </c>
      <c r="E87">
        <v>123</v>
      </c>
      <c r="F87" t="s">
        <v>35</v>
      </c>
      <c r="G87" s="1">
        <v>42751</v>
      </c>
      <c r="H87" t="s">
        <v>36</v>
      </c>
      <c r="I87" t="s">
        <v>7</v>
      </c>
      <c r="J87">
        <v>112.94</v>
      </c>
    </row>
    <row r="88" spans="1:10" x14ac:dyDescent="0.25">
      <c r="A88" t="s">
        <v>102</v>
      </c>
      <c r="B88" t="s">
        <v>199</v>
      </c>
      <c r="C88" t="s">
        <v>103</v>
      </c>
      <c r="D88" t="s">
        <v>104</v>
      </c>
      <c r="E88">
        <v>123</v>
      </c>
      <c r="F88" t="s">
        <v>35</v>
      </c>
      <c r="G88" s="1">
        <v>42751</v>
      </c>
      <c r="H88" t="s">
        <v>36</v>
      </c>
      <c r="I88" t="s">
        <v>260</v>
      </c>
      <c r="J88">
        <v>90.9</v>
      </c>
    </row>
    <row r="89" spans="1:10" x14ac:dyDescent="0.25">
      <c r="A89" t="s">
        <v>102</v>
      </c>
      <c r="B89" t="s">
        <v>199</v>
      </c>
      <c r="C89" t="s">
        <v>103</v>
      </c>
      <c r="D89" t="s">
        <v>104</v>
      </c>
      <c r="E89">
        <v>123</v>
      </c>
      <c r="F89" t="s">
        <v>35</v>
      </c>
      <c r="G89" s="1">
        <v>42751</v>
      </c>
      <c r="H89" t="s">
        <v>36</v>
      </c>
      <c r="I89" t="s">
        <v>1</v>
      </c>
      <c r="J89">
        <v>484.8</v>
      </c>
    </row>
    <row r="90" spans="1:10" x14ac:dyDescent="0.25">
      <c r="A90" t="s">
        <v>102</v>
      </c>
      <c r="B90" t="s">
        <v>199</v>
      </c>
      <c r="C90" t="s">
        <v>106</v>
      </c>
      <c r="D90" t="s">
        <v>105</v>
      </c>
      <c r="E90">
        <v>139</v>
      </c>
      <c r="F90" t="s">
        <v>35</v>
      </c>
      <c r="G90" s="1">
        <v>43222</v>
      </c>
      <c r="H90" t="s">
        <v>36</v>
      </c>
      <c r="I90" t="s">
        <v>184</v>
      </c>
      <c r="J90">
        <v>1212</v>
      </c>
    </row>
    <row r="91" spans="1:10" x14ac:dyDescent="0.25">
      <c r="A91" t="s">
        <v>102</v>
      </c>
      <c r="B91" t="s">
        <v>199</v>
      </c>
      <c r="C91" t="s">
        <v>106</v>
      </c>
      <c r="D91" t="s">
        <v>105</v>
      </c>
      <c r="E91">
        <v>139</v>
      </c>
      <c r="F91" t="s">
        <v>35</v>
      </c>
      <c r="G91" s="1">
        <v>43222</v>
      </c>
      <c r="H91" t="s">
        <v>36</v>
      </c>
      <c r="I91" t="s">
        <v>260</v>
      </c>
      <c r="J91">
        <v>90.9</v>
      </c>
    </row>
    <row r="92" spans="1:10" x14ac:dyDescent="0.25">
      <c r="A92" t="s">
        <v>102</v>
      </c>
      <c r="B92" t="s">
        <v>199</v>
      </c>
      <c r="C92" t="s">
        <v>106</v>
      </c>
      <c r="D92" t="s">
        <v>105</v>
      </c>
      <c r="E92">
        <v>139</v>
      </c>
      <c r="F92" t="s">
        <v>35</v>
      </c>
      <c r="G92" s="1">
        <v>43222</v>
      </c>
      <c r="H92" t="s">
        <v>36</v>
      </c>
      <c r="I92" t="s">
        <v>1</v>
      </c>
      <c r="J92">
        <v>484.8</v>
      </c>
    </row>
    <row r="93" spans="1:10" x14ac:dyDescent="0.25">
      <c r="A93" t="s">
        <v>102</v>
      </c>
      <c r="B93" t="s">
        <v>199</v>
      </c>
      <c r="C93" t="s">
        <v>236</v>
      </c>
      <c r="D93" t="s">
        <v>105</v>
      </c>
      <c r="E93">
        <v>170</v>
      </c>
      <c r="F93" t="s">
        <v>35</v>
      </c>
      <c r="G93" s="1">
        <v>44637</v>
      </c>
      <c r="H93" t="s">
        <v>36</v>
      </c>
      <c r="I93" t="s">
        <v>184</v>
      </c>
      <c r="J93">
        <v>1212</v>
      </c>
    </row>
    <row r="94" spans="1:10" x14ac:dyDescent="0.25">
      <c r="A94" t="s">
        <v>102</v>
      </c>
      <c r="B94" t="s">
        <v>199</v>
      </c>
      <c r="C94" t="s">
        <v>236</v>
      </c>
      <c r="D94" t="s">
        <v>105</v>
      </c>
      <c r="E94">
        <v>170</v>
      </c>
      <c r="F94" t="s">
        <v>35</v>
      </c>
      <c r="G94" s="1">
        <v>44637</v>
      </c>
      <c r="H94" t="s">
        <v>36</v>
      </c>
      <c r="I94" t="s">
        <v>260</v>
      </c>
      <c r="J94">
        <v>90.9</v>
      </c>
    </row>
    <row r="95" spans="1:10" x14ac:dyDescent="0.25">
      <c r="A95" t="s">
        <v>102</v>
      </c>
      <c r="B95" t="s">
        <v>199</v>
      </c>
      <c r="C95" t="s">
        <v>236</v>
      </c>
      <c r="D95" t="s">
        <v>105</v>
      </c>
      <c r="E95">
        <v>170</v>
      </c>
      <c r="F95" t="s">
        <v>35</v>
      </c>
      <c r="G95" s="1">
        <v>44637</v>
      </c>
      <c r="H95" t="s">
        <v>36</v>
      </c>
      <c r="I95" t="s">
        <v>1</v>
      </c>
      <c r="J95">
        <v>484.8</v>
      </c>
    </row>
    <row r="96" spans="1:10" x14ac:dyDescent="0.25">
      <c r="A96" t="s">
        <v>102</v>
      </c>
      <c r="B96" t="s">
        <v>199</v>
      </c>
      <c r="C96" t="s">
        <v>107</v>
      </c>
      <c r="D96" t="s">
        <v>91</v>
      </c>
      <c r="E96">
        <v>150</v>
      </c>
      <c r="F96" t="s">
        <v>35</v>
      </c>
      <c r="G96" s="1">
        <v>44176</v>
      </c>
      <c r="H96" t="s">
        <v>36</v>
      </c>
      <c r="I96" t="s">
        <v>184</v>
      </c>
      <c r="J96">
        <v>1212</v>
      </c>
    </row>
    <row r="97" spans="1:10" x14ac:dyDescent="0.25">
      <c r="A97" t="s">
        <v>102</v>
      </c>
      <c r="B97" t="s">
        <v>199</v>
      </c>
      <c r="C97" t="s">
        <v>107</v>
      </c>
      <c r="D97" t="s">
        <v>91</v>
      </c>
      <c r="E97">
        <v>150</v>
      </c>
      <c r="F97" t="s">
        <v>35</v>
      </c>
      <c r="G97" s="1">
        <v>44176</v>
      </c>
      <c r="H97" t="s">
        <v>36</v>
      </c>
      <c r="I97" t="s">
        <v>260</v>
      </c>
      <c r="J97">
        <v>90.9</v>
      </c>
    </row>
    <row r="98" spans="1:10" x14ac:dyDescent="0.25">
      <c r="A98" t="s">
        <v>102</v>
      </c>
      <c r="B98" t="s">
        <v>199</v>
      </c>
      <c r="C98" t="s">
        <v>107</v>
      </c>
      <c r="D98" t="s">
        <v>91</v>
      </c>
      <c r="E98">
        <v>150</v>
      </c>
      <c r="F98" t="s">
        <v>35</v>
      </c>
      <c r="G98" s="1">
        <v>44176</v>
      </c>
      <c r="H98" t="s">
        <v>36</v>
      </c>
      <c r="I98" t="s">
        <v>1</v>
      </c>
      <c r="J98">
        <v>484.8</v>
      </c>
    </row>
    <row r="99" spans="1:10" x14ac:dyDescent="0.25">
      <c r="A99" t="s">
        <v>102</v>
      </c>
      <c r="B99" t="s">
        <v>199</v>
      </c>
      <c r="C99" t="s">
        <v>108</v>
      </c>
      <c r="D99" t="s">
        <v>109</v>
      </c>
      <c r="E99">
        <v>142</v>
      </c>
      <c r="F99" t="s">
        <v>35</v>
      </c>
      <c r="G99" s="1">
        <v>43497</v>
      </c>
      <c r="H99" t="s">
        <v>36</v>
      </c>
      <c r="I99" t="s">
        <v>184</v>
      </c>
      <c r="J99">
        <v>1212</v>
      </c>
    </row>
    <row r="100" spans="1:10" x14ac:dyDescent="0.25">
      <c r="A100" t="s">
        <v>102</v>
      </c>
      <c r="B100" t="s">
        <v>199</v>
      </c>
      <c r="C100" t="s">
        <v>108</v>
      </c>
      <c r="D100" t="s">
        <v>109</v>
      </c>
      <c r="E100">
        <v>142</v>
      </c>
      <c r="F100" t="s">
        <v>35</v>
      </c>
      <c r="G100" s="1">
        <v>43497</v>
      </c>
      <c r="H100" t="s">
        <v>36</v>
      </c>
      <c r="I100" t="s">
        <v>260</v>
      </c>
      <c r="J100">
        <v>90.9</v>
      </c>
    </row>
    <row r="101" spans="1:10" x14ac:dyDescent="0.25">
      <c r="A101" t="s">
        <v>102</v>
      </c>
      <c r="B101" t="s">
        <v>199</v>
      </c>
      <c r="C101" t="s">
        <v>108</v>
      </c>
      <c r="D101" t="s">
        <v>109</v>
      </c>
      <c r="E101">
        <v>142</v>
      </c>
      <c r="F101" t="s">
        <v>35</v>
      </c>
      <c r="G101" s="1">
        <v>43497</v>
      </c>
      <c r="H101" t="s">
        <v>36</v>
      </c>
      <c r="I101" t="s">
        <v>26</v>
      </c>
      <c r="J101">
        <v>565.6</v>
      </c>
    </row>
    <row r="102" spans="1:10" x14ac:dyDescent="0.25">
      <c r="A102" t="s">
        <v>102</v>
      </c>
      <c r="B102" t="s">
        <v>199</v>
      </c>
      <c r="C102" t="s">
        <v>108</v>
      </c>
      <c r="D102" t="s">
        <v>109</v>
      </c>
      <c r="E102">
        <v>142</v>
      </c>
      <c r="F102" t="s">
        <v>35</v>
      </c>
      <c r="G102" s="1">
        <v>43497</v>
      </c>
      <c r="H102" t="s">
        <v>36</v>
      </c>
      <c r="I102" t="s">
        <v>1</v>
      </c>
      <c r="J102">
        <v>484.8</v>
      </c>
    </row>
    <row r="103" spans="1:10" x14ac:dyDescent="0.25">
      <c r="A103" t="s">
        <v>102</v>
      </c>
      <c r="B103" t="s">
        <v>199</v>
      </c>
      <c r="C103" t="s">
        <v>111</v>
      </c>
      <c r="D103" t="s">
        <v>109</v>
      </c>
      <c r="E103">
        <v>165</v>
      </c>
      <c r="F103" t="s">
        <v>35</v>
      </c>
      <c r="G103" s="1">
        <v>44287</v>
      </c>
      <c r="H103" t="s">
        <v>36</v>
      </c>
      <c r="I103" t="s">
        <v>1</v>
      </c>
      <c r="J103">
        <v>484.8</v>
      </c>
    </row>
    <row r="104" spans="1:10" x14ac:dyDescent="0.25">
      <c r="A104" t="s">
        <v>102</v>
      </c>
      <c r="B104" t="s">
        <v>199</v>
      </c>
      <c r="C104" t="s">
        <v>112</v>
      </c>
      <c r="D104" t="s">
        <v>113</v>
      </c>
      <c r="E104">
        <v>74</v>
      </c>
      <c r="F104" t="s">
        <v>35</v>
      </c>
      <c r="G104" s="1">
        <v>41852</v>
      </c>
      <c r="H104" t="s">
        <v>36</v>
      </c>
      <c r="I104" t="s">
        <v>184</v>
      </c>
      <c r="J104">
        <v>1212</v>
      </c>
    </row>
    <row r="105" spans="1:10" x14ac:dyDescent="0.25">
      <c r="A105" t="s">
        <v>102</v>
      </c>
      <c r="B105" t="s">
        <v>199</v>
      </c>
      <c r="C105" t="s">
        <v>112</v>
      </c>
      <c r="D105" t="s">
        <v>113</v>
      </c>
      <c r="E105">
        <v>74</v>
      </c>
      <c r="F105" t="s">
        <v>35</v>
      </c>
      <c r="G105" s="1">
        <v>41852</v>
      </c>
      <c r="H105" t="s">
        <v>36</v>
      </c>
      <c r="I105" t="s">
        <v>260</v>
      </c>
      <c r="J105">
        <v>90.9</v>
      </c>
    </row>
    <row r="106" spans="1:10" x14ac:dyDescent="0.25">
      <c r="A106" t="s">
        <v>102</v>
      </c>
      <c r="B106" t="s">
        <v>199</v>
      </c>
      <c r="C106" t="s">
        <v>112</v>
      </c>
      <c r="D106" t="s">
        <v>113</v>
      </c>
      <c r="E106">
        <v>74</v>
      </c>
      <c r="F106" t="s">
        <v>35</v>
      </c>
      <c r="G106" s="1">
        <v>41852</v>
      </c>
      <c r="H106" t="s">
        <v>36</v>
      </c>
      <c r="I106" t="s">
        <v>1</v>
      </c>
      <c r="J106">
        <v>484.8</v>
      </c>
    </row>
    <row r="107" spans="1:10" x14ac:dyDescent="0.25">
      <c r="A107" t="s">
        <v>102</v>
      </c>
      <c r="B107" t="s">
        <v>199</v>
      </c>
      <c r="C107" t="s">
        <v>240</v>
      </c>
      <c r="D107" t="s">
        <v>105</v>
      </c>
      <c r="E107">
        <v>169</v>
      </c>
      <c r="F107" t="s">
        <v>35</v>
      </c>
      <c r="G107" s="1">
        <v>44613</v>
      </c>
      <c r="H107" t="s">
        <v>36</v>
      </c>
      <c r="I107" t="s">
        <v>184</v>
      </c>
      <c r="J107">
        <v>1212</v>
      </c>
    </row>
    <row r="108" spans="1:10" x14ac:dyDescent="0.25">
      <c r="A108" t="s">
        <v>102</v>
      </c>
      <c r="B108" t="s">
        <v>199</v>
      </c>
      <c r="C108" t="s">
        <v>240</v>
      </c>
      <c r="D108" t="s">
        <v>105</v>
      </c>
      <c r="E108">
        <v>169</v>
      </c>
      <c r="F108" t="s">
        <v>35</v>
      </c>
      <c r="G108" s="1">
        <v>44613</v>
      </c>
      <c r="H108" t="s">
        <v>36</v>
      </c>
      <c r="I108" t="s">
        <v>26</v>
      </c>
      <c r="J108">
        <v>929.2</v>
      </c>
    </row>
    <row r="109" spans="1:10" x14ac:dyDescent="0.25">
      <c r="A109" t="s">
        <v>102</v>
      </c>
      <c r="B109" t="s">
        <v>199</v>
      </c>
      <c r="C109" t="s">
        <v>240</v>
      </c>
      <c r="D109" t="s">
        <v>105</v>
      </c>
      <c r="E109">
        <v>169</v>
      </c>
      <c r="F109" t="s">
        <v>35</v>
      </c>
      <c r="G109" s="1">
        <v>44613</v>
      </c>
      <c r="H109" t="s">
        <v>36</v>
      </c>
      <c r="I109" t="s">
        <v>260</v>
      </c>
      <c r="J109">
        <v>90.9</v>
      </c>
    </row>
    <row r="110" spans="1:10" x14ac:dyDescent="0.25">
      <c r="A110" t="s">
        <v>102</v>
      </c>
      <c r="B110" t="s">
        <v>199</v>
      </c>
      <c r="C110" t="s">
        <v>114</v>
      </c>
      <c r="D110" t="s">
        <v>109</v>
      </c>
      <c r="E110">
        <v>104</v>
      </c>
      <c r="F110" t="s">
        <v>35</v>
      </c>
      <c r="G110" s="1">
        <v>42100</v>
      </c>
      <c r="H110" t="s">
        <v>36</v>
      </c>
      <c r="I110" t="s">
        <v>1</v>
      </c>
      <c r="J110">
        <v>484.8</v>
      </c>
    </row>
    <row r="111" spans="1:10" x14ac:dyDescent="0.25">
      <c r="A111" t="s">
        <v>102</v>
      </c>
      <c r="B111" t="s">
        <v>199</v>
      </c>
      <c r="C111" t="s">
        <v>115</v>
      </c>
      <c r="D111" t="s">
        <v>109</v>
      </c>
      <c r="E111">
        <v>140</v>
      </c>
      <c r="F111" t="s">
        <v>35</v>
      </c>
      <c r="G111" s="1">
        <v>43252</v>
      </c>
      <c r="H111" t="s">
        <v>36</v>
      </c>
      <c r="I111" t="s">
        <v>184</v>
      </c>
      <c r="J111">
        <v>1212</v>
      </c>
    </row>
    <row r="112" spans="1:10" x14ac:dyDescent="0.25">
      <c r="A112" t="s">
        <v>102</v>
      </c>
      <c r="B112" t="s">
        <v>199</v>
      </c>
      <c r="C112" t="s">
        <v>115</v>
      </c>
      <c r="D112" t="s">
        <v>109</v>
      </c>
      <c r="E112">
        <v>140</v>
      </c>
      <c r="F112" t="s">
        <v>35</v>
      </c>
      <c r="G112" s="1">
        <v>43252</v>
      </c>
      <c r="H112" t="s">
        <v>36</v>
      </c>
      <c r="I112" t="s">
        <v>260</v>
      </c>
      <c r="J112">
        <v>84.84</v>
      </c>
    </row>
    <row r="113" spans="1:10" x14ac:dyDescent="0.25">
      <c r="A113" t="s">
        <v>102</v>
      </c>
      <c r="B113" t="s">
        <v>199</v>
      </c>
      <c r="C113" t="s">
        <v>115</v>
      </c>
      <c r="D113" t="s">
        <v>109</v>
      </c>
      <c r="E113">
        <v>140</v>
      </c>
      <c r="F113" t="s">
        <v>35</v>
      </c>
      <c r="G113" s="1">
        <v>43252</v>
      </c>
      <c r="H113" t="s">
        <v>36</v>
      </c>
      <c r="I113" t="s">
        <v>13</v>
      </c>
      <c r="J113">
        <v>99.25</v>
      </c>
    </row>
    <row r="114" spans="1:10" x14ac:dyDescent="0.25">
      <c r="A114" t="s">
        <v>102</v>
      </c>
      <c r="B114" t="s">
        <v>199</v>
      </c>
      <c r="C114" t="s">
        <v>115</v>
      </c>
      <c r="D114" t="s">
        <v>109</v>
      </c>
      <c r="E114">
        <v>140</v>
      </c>
      <c r="F114" t="s">
        <v>35</v>
      </c>
      <c r="G114" s="1">
        <v>43252</v>
      </c>
      <c r="H114" t="s">
        <v>36</v>
      </c>
      <c r="I114" t="s">
        <v>11</v>
      </c>
      <c r="J114">
        <v>80.8</v>
      </c>
    </row>
    <row r="115" spans="1:10" x14ac:dyDescent="0.25">
      <c r="A115" t="s">
        <v>102</v>
      </c>
      <c r="B115" t="s">
        <v>199</v>
      </c>
      <c r="C115" t="s">
        <v>115</v>
      </c>
      <c r="D115" t="s">
        <v>109</v>
      </c>
      <c r="E115">
        <v>140</v>
      </c>
      <c r="F115" t="s">
        <v>35</v>
      </c>
      <c r="G115" s="1">
        <v>43252</v>
      </c>
      <c r="H115" t="s">
        <v>36</v>
      </c>
      <c r="I115" t="s">
        <v>7</v>
      </c>
      <c r="J115">
        <v>56.47</v>
      </c>
    </row>
    <row r="116" spans="1:10" x14ac:dyDescent="0.25">
      <c r="A116" t="s">
        <v>102</v>
      </c>
      <c r="B116" t="s">
        <v>199</v>
      </c>
      <c r="C116" t="s">
        <v>115</v>
      </c>
      <c r="D116" t="s">
        <v>109</v>
      </c>
      <c r="E116">
        <v>140</v>
      </c>
      <c r="F116" t="s">
        <v>35</v>
      </c>
      <c r="G116" s="1">
        <v>43252</v>
      </c>
      <c r="H116" t="s">
        <v>36</v>
      </c>
      <c r="I116" t="s">
        <v>1</v>
      </c>
      <c r="J116">
        <v>484.8</v>
      </c>
    </row>
    <row r="117" spans="1:10" x14ac:dyDescent="0.25">
      <c r="A117" t="s">
        <v>102</v>
      </c>
      <c r="B117" t="s">
        <v>199</v>
      </c>
      <c r="C117" t="s">
        <v>116</v>
      </c>
      <c r="D117" t="s">
        <v>105</v>
      </c>
      <c r="E117">
        <v>156</v>
      </c>
      <c r="F117" t="s">
        <v>35</v>
      </c>
      <c r="G117" s="1">
        <v>44216</v>
      </c>
      <c r="H117" t="s">
        <v>36</v>
      </c>
      <c r="I117" t="s">
        <v>1</v>
      </c>
      <c r="J117">
        <v>484.8</v>
      </c>
    </row>
    <row r="118" spans="1:10" x14ac:dyDescent="0.25">
      <c r="A118" t="s">
        <v>102</v>
      </c>
      <c r="B118" t="s">
        <v>199</v>
      </c>
      <c r="C118" t="s">
        <v>117</v>
      </c>
      <c r="D118" t="s">
        <v>105</v>
      </c>
      <c r="E118">
        <v>5</v>
      </c>
      <c r="F118" t="s">
        <v>35</v>
      </c>
      <c r="G118" s="1">
        <v>39266</v>
      </c>
      <c r="H118" t="s">
        <v>36</v>
      </c>
      <c r="I118" t="s">
        <v>184</v>
      </c>
      <c r="J118">
        <v>1212</v>
      </c>
    </row>
    <row r="119" spans="1:10" x14ac:dyDescent="0.25">
      <c r="A119" t="s">
        <v>102</v>
      </c>
      <c r="B119" t="s">
        <v>199</v>
      </c>
      <c r="C119" t="s">
        <v>117</v>
      </c>
      <c r="D119" t="s">
        <v>105</v>
      </c>
      <c r="E119">
        <v>5</v>
      </c>
      <c r="F119" t="s">
        <v>35</v>
      </c>
      <c r="G119" s="1">
        <v>39266</v>
      </c>
      <c r="H119" t="s">
        <v>36</v>
      </c>
      <c r="I119" t="s">
        <v>260</v>
      </c>
      <c r="J119">
        <v>94.17</v>
      </c>
    </row>
    <row r="120" spans="1:10" x14ac:dyDescent="0.25">
      <c r="A120" t="s">
        <v>102</v>
      </c>
      <c r="B120" t="s">
        <v>199</v>
      </c>
      <c r="C120" t="s">
        <v>117</v>
      </c>
      <c r="D120" t="s">
        <v>105</v>
      </c>
      <c r="E120">
        <v>5</v>
      </c>
      <c r="F120" t="s">
        <v>35</v>
      </c>
      <c r="G120" s="1">
        <v>39266</v>
      </c>
      <c r="H120" t="s">
        <v>36</v>
      </c>
      <c r="I120" t="s">
        <v>21</v>
      </c>
      <c r="J120">
        <v>36.36</v>
      </c>
    </row>
    <row r="121" spans="1:10" x14ac:dyDescent="0.25">
      <c r="A121" t="s">
        <v>102</v>
      </c>
      <c r="B121" t="s">
        <v>199</v>
      </c>
      <c r="C121" t="s">
        <v>117</v>
      </c>
      <c r="D121" t="s">
        <v>105</v>
      </c>
      <c r="E121">
        <v>5</v>
      </c>
      <c r="F121" t="s">
        <v>35</v>
      </c>
      <c r="G121" s="1">
        <v>39266</v>
      </c>
      <c r="H121" t="s">
        <v>36</v>
      </c>
      <c r="I121" t="s">
        <v>1</v>
      </c>
      <c r="J121">
        <v>484.8</v>
      </c>
    </row>
    <row r="123" spans="1:10" x14ac:dyDescent="0.25">
      <c r="A123" t="s">
        <v>102</v>
      </c>
      <c r="B123" t="s">
        <v>199</v>
      </c>
      <c r="C123" t="s">
        <v>118</v>
      </c>
      <c r="D123" t="s">
        <v>105</v>
      </c>
      <c r="E123">
        <v>134</v>
      </c>
      <c r="F123" t="s">
        <v>35</v>
      </c>
      <c r="G123" s="1">
        <v>43222</v>
      </c>
      <c r="H123" t="s">
        <v>36</v>
      </c>
      <c r="I123" t="s">
        <v>184</v>
      </c>
      <c r="J123">
        <v>1212</v>
      </c>
    </row>
    <row r="124" spans="1:10" x14ac:dyDescent="0.25">
      <c r="A124" t="s">
        <v>102</v>
      </c>
      <c r="B124" t="s">
        <v>199</v>
      </c>
      <c r="C124" t="s">
        <v>118</v>
      </c>
      <c r="D124" t="s">
        <v>105</v>
      </c>
      <c r="E124">
        <v>134</v>
      </c>
      <c r="F124" t="s">
        <v>35</v>
      </c>
      <c r="G124" s="1">
        <v>43222</v>
      </c>
      <c r="H124" t="s">
        <v>36</v>
      </c>
      <c r="I124" t="s">
        <v>7</v>
      </c>
      <c r="J124">
        <v>112.94</v>
      </c>
    </row>
    <row r="125" spans="1:10" x14ac:dyDescent="0.25">
      <c r="A125" t="s">
        <v>102</v>
      </c>
      <c r="B125" t="s">
        <v>199</v>
      </c>
      <c r="C125" t="s">
        <v>118</v>
      </c>
      <c r="D125" t="s">
        <v>105</v>
      </c>
      <c r="E125">
        <v>134</v>
      </c>
      <c r="F125" t="s">
        <v>35</v>
      </c>
      <c r="G125" s="1">
        <v>43222</v>
      </c>
      <c r="H125" t="s">
        <v>36</v>
      </c>
      <c r="I125" t="s">
        <v>260</v>
      </c>
      <c r="J125">
        <v>90.9</v>
      </c>
    </row>
    <row r="126" spans="1:10" x14ac:dyDescent="0.25">
      <c r="A126" t="s">
        <v>102</v>
      </c>
      <c r="B126" t="s">
        <v>199</v>
      </c>
      <c r="C126" t="s">
        <v>118</v>
      </c>
      <c r="D126" t="s">
        <v>105</v>
      </c>
      <c r="E126">
        <v>134</v>
      </c>
      <c r="F126" t="s">
        <v>35</v>
      </c>
      <c r="G126" s="1">
        <v>43222</v>
      </c>
      <c r="H126" t="s">
        <v>36</v>
      </c>
      <c r="I126" t="s">
        <v>1</v>
      </c>
      <c r="J126">
        <v>484.8</v>
      </c>
    </row>
    <row r="127" spans="1:10" x14ac:dyDescent="0.25">
      <c r="A127" t="s">
        <v>102</v>
      </c>
      <c r="B127" t="s">
        <v>199</v>
      </c>
      <c r="C127" t="s">
        <v>119</v>
      </c>
      <c r="D127" t="s">
        <v>105</v>
      </c>
      <c r="E127">
        <v>153</v>
      </c>
      <c r="F127" t="s">
        <v>35</v>
      </c>
      <c r="G127" s="1">
        <v>44216</v>
      </c>
      <c r="H127" t="s">
        <v>36</v>
      </c>
      <c r="I127" t="s">
        <v>184</v>
      </c>
      <c r="J127">
        <v>1212</v>
      </c>
    </row>
    <row r="128" spans="1:10" x14ac:dyDescent="0.25">
      <c r="A128" t="s">
        <v>102</v>
      </c>
      <c r="B128" t="s">
        <v>199</v>
      </c>
      <c r="C128" t="s">
        <v>119</v>
      </c>
      <c r="D128" t="s">
        <v>105</v>
      </c>
      <c r="E128">
        <v>153</v>
      </c>
      <c r="F128" t="s">
        <v>35</v>
      </c>
      <c r="G128" s="1">
        <v>44216</v>
      </c>
      <c r="H128" t="s">
        <v>36</v>
      </c>
      <c r="I128" t="s">
        <v>260</v>
      </c>
      <c r="J128">
        <v>90.9</v>
      </c>
    </row>
    <row r="129" spans="1:10" x14ac:dyDescent="0.25">
      <c r="A129" t="s">
        <v>102</v>
      </c>
      <c r="B129" t="s">
        <v>199</v>
      </c>
      <c r="C129" t="s">
        <v>119</v>
      </c>
      <c r="D129" t="s">
        <v>105</v>
      </c>
      <c r="E129">
        <v>153</v>
      </c>
      <c r="F129" t="s">
        <v>35</v>
      </c>
      <c r="G129" s="1">
        <v>44216</v>
      </c>
      <c r="H129" t="s">
        <v>36</v>
      </c>
      <c r="I129" t="s">
        <v>1</v>
      </c>
      <c r="J129">
        <v>484.8</v>
      </c>
    </row>
    <row r="130" spans="1:10" x14ac:dyDescent="0.25">
      <c r="A130" t="s">
        <v>102</v>
      </c>
      <c r="B130" t="s">
        <v>199</v>
      </c>
      <c r="C130" t="s">
        <v>120</v>
      </c>
      <c r="D130" t="s">
        <v>113</v>
      </c>
      <c r="E130">
        <v>77</v>
      </c>
      <c r="F130" t="s">
        <v>35</v>
      </c>
      <c r="G130" s="1">
        <v>41852</v>
      </c>
      <c r="H130" t="s">
        <v>36</v>
      </c>
      <c r="I130" t="s">
        <v>184</v>
      </c>
      <c r="J130">
        <v>1212</v>
      </c>
    </row>
    <row r="131" spans="1:10" x14ac:dyDescent="0.25">
      <c r="A131" t="s">
        <v>102</v>
      </c>
      <c r="B131" t="s">
        <v>199</v>
      </c>
      <c r="C131" t="s">
        <v>120</v>
      </c>
      <c r="D131" t="s">
        <v>113</v>
      </c>
      <c r="E131">
        <v>77</v>
      </c>
      <c r="F131" t="s">
        <v>35</v>
      </c>
      <c r="G131" s="1">
        <v>41852</v>
      </c>
      <c r="H131" t="s">
        <v>36</v>
      </c>
      <c r="I131" t="s">
        <v>260</v>
      </c>
      <c r="J131">
        <v>90.9</v>
      </c>
    </row>
    <row r="132" spans="1:10" x14ac:dyDescent="0.25">
      <c r="A132" t="s">
        <v>102</v>
      </c>
      <c r="B132" t="s">
        <v>199</v>
      </c>
      <c r="C132" t="s">
        <v>120</v>
      </c>
      <c r="D132" t="s">
        <v>113</v>
      </c>
      <c r="E132">
        <v>77</v>
      </c>
      <c r="F132" t="s">
        <v>35</v>
      </c>
      <c r="G132" s="1">
        <v>41852</v>
      </c>
      <c r="H132" t="s">
        <v>36</v>
      </c>
      <c r="I132" t="s">
        <v>1</v>
      </c>
      <c r="J132">
        <v>484.8</v>
      </c>
    </row>
    <row r="133" spans="1:10" x14ac:dyDescent="0.25">
      <c r="A133" t="s">
        <v>102</v>
      </c>
      <c r="B133" t="s">
        <v>199</v>
      </c>
      <c r="C133" t="s">
        <v>121</v>
      </c>
      <c r="D133" t="s">
        <v>105</v>
      </c>
      <c r="E133">
        <v>154</v>
      </c>
      <c r="F133" t="s">
        <v>35</v>
      </c>
      <c r="G133" s="1">
        <v>44216</v>
      </c>
      <c r="H133" t="s">
        <v>36</v>
      </c>
      <c r="I133" t="s">
        <v>184</v>
      </c>
      <c r="J133">
        <v>1212</v>
      </c>
    </row>
    <row r="134" spans="1:10" x14ac:dyDescent="0.25">
      <c r="A134" t="s">
        <v>102</v>
      </c>
      <c r="B134" t="s">
        <v>199</v>
      </c>
      <c r="C134" t="s">
        <v>121</v>
      </c>
      <c r="D134" t="s">
        <v>105</v>
      </c>
      <c r="E134">
        <v>154</v>
      </c>
      <c r="F134" t="s">
        <v>35</v>
      </c>
      <c r="G134" s="1">
        <v>44216</v>
      </c>
      <c r="H134" t="s">
        <v>36</v>
      </c>
      <c r="I134" t="s">
        <v>1</v>
      </c>
      <c r="J134">
        <v>484.8</v>
      </c>
    </row>
    <row r="135" spans="1:10" x14ac:dyDescent="0.25">
      <c r="A135" t="s">
        <v>102</v>
      </c>
      <c r="B135" t="s">
        <v>199</v>
      </c>
      <c r="C135" t="s">
        <v>121</v>
      </c>
      <c r="D135" t="s">
        <v>105</v>
      </c>
      <c r="E135">
        <v>154</v>
      </c>
      <c r="F135" t="s">
        <v>35</v>
      </c>
      <c r="G135" s="1">
        <v>44216</v>
      </c>
      <c r="H135" t="s">
        <v>36</v>
      </c>
      <c r="I135" t="s">
        <v>260</v>
      </c>
      <c r="J135">
        <v>84.84</v>
      </c>
    </row>
    <row r="136" spans="1:10" x14ac:dyDescent="0.25">
      <c r="A136" t="s">
        <v>102</v>
      </c>
      <c r="B136" t="s">
        <v>199</v>
      </c>
      <c r="C136" t="s">
        <v>121</v>
      </c>
      <c r="D136" t="s">
        <v>105</v>
      </c>
      <c r="E136">
        <v>154</v>
      </c>
      <c r="F136" t="s">
        <v>35</v>
      </c>
      <c r="G136" s="1">
        <v>44216</v>
      </c>
      <c r="H136" t="s">
        <v>36</v>
      </c>
      <c r="I136" t="s">
        <v>9</v>
      </c>
      <c r="J136">
        <v>40.380000000000003</v>
      </c>
    </row>
    <row r="138" spans="1:10" x14ac:dyDescent="0.25">
      <c r="A138" t="s">
        <v>102</v>
      </c>
      <c r="B138" t="s">
        <v>199</v>
      </c>
      <c r="C138" t="s">
        <v>121</v>
      </c>
      <c r="D138" t="s">
        <v>105</v>
      </c>
      <c r="E138">
        <v>154</v>
      </c>
      <c r="F138" t="s">
        <v>35</v>
      </c>
      <c r="G138" s="1">
        <v>44216</v>
      </c>
      <c r="H138" t="s">
        <v>36</v>
      </c>
      <c r="I138" t="s">
        <v>8</v>
      </c>
      <c r="J138">
        <v>40.380000000000003</v>
      </c>
    </row>
    <row r="139" spans="1:10" x14ac:dyDescent="0.25">
      <c r="A139" t="s">
        <v>102</v>
      </c>
      <c r="B139" t="s">
        <v>199</v>
      </c>
      <c r="C139" t="s">
        <v>122</v>
      </c>
      <c r="D139" t="s">
        <v>109</v>
      </c>
      <c r="E139">
        <v>149</v>
      </c>
      <c r="F139" t="s">
        <v>35</v>
      </c>
      <c r="G139" s="1">
        <v>44173</v>
      </c>
      <c r="H139" t="s">
        <v>36</v>
      </c>
      <c r="I139" t="s">
        <v>184</v>
      </c>
      <c r="J139">
        <v>1212</v>
      </c>
    </row>
    <row r="140" spans="1:10" x14ac:dyDescent="0.25">
      <c r="A140" t="s">
        <v>102</v>
      </c>
      <c r="B140" t="s">
        <v>199</v>
      </c>
      <c r="C140" t="s">
        <v>122</v>
      </c>
      <c r="D140" t="s">
        <v>109</v>
      </c>
      <c r="E140">
        <v>149</v>
      </c>
      <c r="F140" t="s">
        <v>35</v>
      </c>
      <c r="G140" s="1">
        <v>44173</v>
      </c>
      <c r="H140" t="s">
        <v>36</v>
      </c>
      <c r="I140" t="s">
        <v>260</v>
      </c>
      <c r="J140">
        <v>90.9</v>
      </c>
    </row>
    <row r="141" spans="1:10" x14ac:dyDescent="0.25">
      <c r="A141" t="s">
        <v>102</v>
      </c>
      <c r="B141" t="s">
        <v>199</v>
      </c>
      <c r="C141" t="s">
        <v>122</v>
      </c>
      <c r="D141" t="s">
        <v>109</v>
      </c>
      <c r="E141">
        <v>149</v>
      </c>
      <c r="F141" t="s">
        <v>35</v>
      </c>
      <c r="G141" s="1">
        <v>44173</v>
      </c>
      <c r="H141" t="s">
        <v>36</v>
      </c>
      <c r="I141" t="s">
        <v>1</v>
      </c>
      <c r="J141">
        <v>484.8</v>
      </c>
    </row>
    <row r="142" spans="1:10" x14ac:dyDescent="0.25">
      <c r="A142" t="s">
        <v>102</v>
      </c>
      <c r="B142" t="s">
        <v>199</v>
      </c>
      <c r="C142" t="s">
        <v>123</v>
      </c>
      <c r="D142" t="s">
        <v>124</v>
      </c>
      <c r="E142">
        <v>1</v>
      </c>
      <c r="F142" t="s">
        <v>35</v>
      </c>
      <c r="G142" s="1">
        <v>40392</v>
      </c>
      <c r="H142" t="s">
        <v>36</v>
      </c>
      <c r="I142" t="s">
        <v>184</v>
      </c>
      <c r="J142">
        <v>2000</v>
      </c>
    </row>
    <row r="143" spans="1:10" x14ac:dyDescent="0.25">
      <c r="A143" t="s">
        <v>102</v>
      </c>
      <c r="B143" t="s">
        <v>199</v>
      </c>
      <c r="C143" t="s">
        <v>123</v>
      </c>
      <c r="D143" t="s">
        <v>124</v>
      </c>
      <c r="E143">
        <v>1</v>
      </c>
      <c r="F143" t="s">
        <v>35</v>
      </c>
      <c r="G143" s="1">
        <v>40392</v>
      </c>
      <c r="H143" t="s">
        <v>36</v>
      </c>
      <c r="I143" t="s">
        <v>260</v>
      </c>
      <c r="J143">
        <v>167.22</v>
      </c>
    </row>
    <row r="144" spans="1:10" x14ac:dyDescent="0.25">
      <c r="A144" t="s">
        <v>102</v>
      </c>
      <c r="B144" t="s">
        <v>199</v>
      </c>
      <c r="C144" t="s">
        <v>123</v>
      </c>
      <c r="D144" t="s">
        <v>124</v>
      </c>
      <c r="E144">
        <v>1</v>
      </c>
      <c r="F144" t="s">
        <v>35</v>
      </c>
      <c r="G144" s="1">
        <v>40392</v>
      </c>
      <c r="H144" t="s">
        <v>36</v>
      </c>
      <c r="I144" t="s">
        <v>21</v>
      </c>
      <c r="J144">
        <v>60</v>
      </c>
    </row>
    <row r="145" spans="1:10" x14ac:dyDescent="0.25">
      <c r="A145" t="s">
        <v>102</v>
      </c>
      <c r="B145" t="s">
        <v>199</v>
      </c>
      <c r="C145" t="s">
        <v>123</v>
      </c>
      <c r="D145" t="s">
        <v>124</v>
      </c>
      <c r="E145">
        <v>1</v>
      </c>
      <c r="F145" t="s">
        <v>35</v>
      </c>
      <c r="G145" s="1">
        <v>40392</v>
      </c>
      <c r="H145" t="s">
        <v>36</v>
      </c>
      <c r="I145" t="s">
        <v>1</v>
      </c>
      <c r="J145">
        <v>1000</v>
      </c>
    </row>
    <row r="147" spans="1:10" x14ac:dyDescent="0.25">
      <c r="A147" t="s">
        <v>102</v>
      </c>
      <c r="B147" t="s">
        <v>199</v>
      </c>
      <c r="C147" t="s">
        <v>125</v>
      </c>
      <c r="D147" t="s">
        <v>105</v>
      </c>
      <c r="E147">
        <v>3</v>
      </c>
      <c r="F147" t="s">
        <v>35</v>
      </c>
      <c r="G147" s="1">
        <v>39142</v>
      </c>
      <c r="H147" t="s">
        <v>36</v>
      </c>
      <c r="I147" t="s">
        <v>184</v>
      </c>
      <c r="J147">
        <v>1212</v>
      </c>
    </row>
    <row r="148" spans="1:10" x14ac:dyDescent="0.25">
      <c r="A148" t="s">
        <v>102</v>
      </c>
      <c r="B148" t="s">
        <v>199</v>
      </c>
      <c r="C148" t="s">
        <v>125</v>
      </c>
      <c r="D148" t="s">
        <v>105</v>
      </c>
      <c r="E148">
        <v>3</v>
      </c>
      <c r="F148" t="s">
        <v>35</v>
      </c>
      <c r="G148" s="1">
        <v>39142</v>
      </c>
      <c r="H148" t="s">
        <v>36</v>
      </c>
      <c r="I148" t="s">
        <v>21</v>
      </c>
      <c r="J148">
        <v>36.36</v>
      </c>
    </row>
    <row r="149" spans="1:10" x14ac:dyDescent="0.25">
      <c r="A149" t="s">
        <v>102</v>
      </c>
      <c r="B149" t="s">
        <v>199</v>
      </c>
      <c r="C149" t="s">
        <v>125</v>
      </c>
      <c r="D149" t="s">
        <v>105</v>
      </c>
      <c r="E149">
        <v>3</v>
      </c>
      <c r="F149" t="s">
        <v>35</v>
      </c>
      <c r="G149" s="1">
        <v>39142</v>
      </c>
      <c r="H149" t="s">
        <v>36</v>
      </c>
      <c r="I149" t="s">
        <v>260</v>
      </c>
      <c r="J149">
        <v>94.17</v>
      </c>
    </row>
    <row r="150" spans="1:10" x14ac:dyDescent="0.25">
      <c r="A150" t="s">
        <v>102</v>
      </c>
      <c r="B150" t="s">
        <v>199</v>
      </c>
      <c r="C150" t="s">
        <v>125</v>
      </c>
      <c r="D150" t="s">
        <v>105</v>
      </c>
      <c r="E150">
        <v>3</v>
      </c>
      <c r="F150" t="s">
        <v>35</v>
      </c>
      <c r="G150" s="1">
        <v>39142</v>
      </c>
      <c r="H150" t="s">
        <v>36</v>
      </c>
      <c r="I150" t="s">
        <v>1</v>
      </c>
      <c r="J150">
        <v>484.8</v>
      </c>
    </row>
    <row r="151" spans="1:10" x14ac:dyDescent="0.25">
      <c r="A151" t="s">
        <v>102</v>
      </c>
      <c r="B151" t="s">
        <v>199</v>
      </c>
      <c r="C151" t="s">
        <v>126</v>
      </c>
      <c r="D151" t="s">
        <v>105</v>
      </c>
      <c r="E151">
        <v>4</v>
      </c>
      <c r="F151" t="s">
        <v>35</v>
      </c>
      <c r="G151" s="1">
        <v>39234</v>
      </c>
      <c r="H151" t="s">
        <v>36</v>
      </c>
      <c r="I151" t="s">
        <v>184</v>
      </c>
      <c r="J151">
        <v>1212</v>
      </c>
    </row>
    <row r="152" spans="1:10" x14ac:dyDescent="0.25">
      <c r="A152" t="s">
        <v>102</v>
      </c>
      <c r="B152" t="s">
        <v>199</v>
      </c>
      <c r="C152" t="s">
        <v>126</v>
      </c>
      <c r="D152" t="s">
        <v>105</v>
      </c>
      <c r="E152">
        <v>4</v>
      </c>
      <c r="F152" t="s">
        <v>35</v>
      </c>
      <c r="G152" s="1">
        <v>39234</v>
      </c>
      <c r="H152" t="s">
        <v>36</v>
      </c>
      <c r="I152" t="s">
        <v>12</v>
      </c>
      <c r="J152">
        <v>2.42</v>
      </c>
    </row>
    <row r="153" spans="1:10" x14ac:dyDescent="0.25">
      <c r="A153" t="s">
        <v>102</v>
      </c>
      <c r="B153" t="s">
        <v>199</v>
      </c>
      <c r="C153" t="s">
        <v>126</v>
      </c>
      <c r="D153" t="s">
        <v>105</v>
      </c>
      <c r="E153">
        <v>4</v>
      </c>
      <c r="F153" t="s">
        <v>35</v>
      </c>
      <c r="G153" s="1">
        <v>39234</v>
      </c>
      <c r="H153" t="s">
        <v>36</v>
      </c>
      <c r="I153" t="s">
        <v>1</v>
      </c>
      <c r="J153">
        <v>484.8</v>
      </c>
    </row>
    <row r="154" spans="1:10" x14ac:dyDescent="0.25">
      <c r="A154" t="s">
        <v>102</v>
      </c>
      <c r="B154" t="s">
        <v>199</v>
      </c>
      <c r="C154" t="s">
        <v>126</v>
      </c>
      <c r="D154" t="s">
        <v>105</v>
      </c>
      <c r="E154">
        <v>4</v>
      </c>
      <c r="F154" t="s">
        <v>35</v>
      </c>
      <c r="G154" s="1">
        <v>39234</v>
      </c>
      <c r="H154" t="s">
        <v>36</v>
      </c>
      <c r="I154" t="s">
        <v>260</v>
      </c>
      <c r="J154">
        <v>87.38</v>
      </c>
    </row>
    <row r="155" spans="1:10" x14ac:dyDescent="0.25">
      <c r="A155" t="s">
        <v>102</v>
      </c>
      <c r="B155" t="s">
        <v>199</v>
      </c>
      <c r="C155" t="s">
        <v>126</v>
      </c>
      <c r="D155" t="s">
        <v>105</v>
      </c>
      <c r="E155">
        <v>4</v>
      </c>
      <c r="F155" t="s">
        <v>35</v>
      </c>
      <c r="G155" s="1">
        <v>39234</v>
      </c>
      <c r="H155" t="s">
        <v>36</v>
      </c>
      <c r="I155" t="s">
        <v>11</v>
      </c>
      <c r="J155">
        <v>80.8</v>
      </c>
    </row>
    <row r="156" spans="1:10" x14ac:dyDescent="0.25">
      <c r="A156" t="s">
        <v>102</v>
      </c>
      <c r="B156" t="s">
        <v>199</v>
      </c>
      <c r="C156" t="s">
        <v>126</v>
      </c>
      <c r="D156" t="s">
        <v>105</v>
      </c>
      <c r="E156">
        <v>4</v>
      </c>
      <c r="F156" t="s">
        <v>35</v>
      </c>
      <c r="G156" s="1">
        <v>39234</v>
      </c>
      <c r="H156" t="s">
        <v>36</v>
      </c>
      <c r="I156" t="s">
        <v>21</v>
      </c>
      <c r="J156">
        <v>33.94</v>
      </c>
    </row>
    <row r="157" spans="1:10" x14ac:dyDescent="0.25">
      <c r="A157" t="s">
        <v>102</v>
      </c>
      <c r="B157" t="s">
        <v>199</v>
      </c>
      <c r="C157" t="s">
        <v>126</v>
      </c>
      <c r="D157" t="s">
        <v>105</v>
      </c>
      <c r="E157">
        <v>4</v>
      </c>
      <c r="F157" t="s">
        <v>35</v>
      </c>
      <c r="G157" s="1">
        <v>39234</v>
      </c>
      <c r="H157" t="s">
        <v>36</v>
      </c>
      <c r="I157" t="s">
        <v>13</v>
      </c>
      <c r="J157">
        <v>102.19</v>
      </c>
    </row>
    <row r="158" spans="1:10" x14ac:dyDescent="0.25">
      <c r="A158" t="s">
        <v>102</v>
      </c>
      <c r="B158" t="s">
        <v>199</v>
      </c>
      <c r="C158" t="s">
        <v>126</v>
      </c>
      <c r="D158" t="s">
        <v>105</v>
      </c>
      <c r="E158">
        <v>4</v>
      </c>
      <c r="F158" t="s">
        <v>35</v>
      </c>
      <c r="G158" s="1">
        <v>39234</v>
      </c>
      <c r="H158" t="s">
        <v>36</v>
      </c>
      <c r="I158" t="s">
        <v>7</v>
      </c>
      <c r="J158">
        <v>56.47</v>
      </c>
    </row>
    <row r="159" spans="1:10" x14ac:dyDescent="0.25">
      <c r="A159" t="s">
        <v>102</v>
      </c>
      <c r="B159" t="s">
        <v>199</v>
      </c>
      <c r="C159" t="s">
        <v>127</v>
      </c>
      <c r="D159" t="s">
        <v>105</v>
      </c>
      <c r="E159">
        <v>57</v>
      </c>
      <c r="F159" t="s">
        <v>35</v>
      </c>
      <c r="G159" s="1">
        <v>41699</v>
      </c>
      <c r="H159" t="s">
        <v>36</v>
      </c>
      <c r="I159" t="s">
        <v>1</v>
      </c>
      <c r="J159">
        <v>484.8</v>
      </c>
    </row>
    <row r="160" spans="1:10" x14ac:dyDescent="0.25">
      <c r="A160" t="s">
        <v>102</v>
      </c>
      <c r="B160" t="s">
        <v>199</v>
      </c>
      <c r="C160" t="s">
        <v>128</v>
      </c>
      <c r="D160" t="s">
        <v>105</v>
      </c>
      <c r="E160">
        <v>158</v>
      </c>
      <c r="F160" t="s">
        <v>35</v>
      </c>
      <c r="G160" s="1">
        <v>44216</v>
      </c>
      <c r="H160" t="s">
        <v>36</v>
      </c>
      <c r="I160" t="s">
        <v>184</v>
      </c>
      <c r="J160">
        <v>1212</v>
      </c>
    </row>
    <row r="161" spans="1:10" x14ac:dyDescent="0.25">
      <c r="A161" t="s">
        <v>102</v>
      </c>
      <c r="B161" t="s">
        <v>199</v>
      </c>
      <c r="C161" t="s">
        <v>128</v>
      </c>
      <c r="D161" t="s">
        <v>105</v>
      </c>
      <c r="E161">
        <v>158</v>
      </c>
      <c r="F161" t="s">
        <v>35</v>
      </c>
      <c r="G161" s="1">
        <v>44216</v>
      </c>
      <c r="H161" t="s">
        <v>36</v>
      </c>
      <c r="I161" t="s">
        <v>260</v>
      </c>
      <c r="J161">
        <v>90.9</v>
      </c>
    </row>
    <row r="162" spans="1:10" x14ac:dyDescent="0.25">
      <c r="A162" t="s">
        <v>102</v>
      </c>
      <c r="B162" t="s">
        <v>199</v>
      </c>
      <c r="C162" t="s">
        <v>128</v>
      </c>
      <c r="D162" t="s">
        <v>105</v>
      </c>
      <c r="E162">
        <v>158</v>
      </c>
      <c r="F162" t="s">
        <v>35</v>
      </c>
      <c r="G162" s="1">
        <v>44216</v>
      </c>
      <c r="H162" t="s">
        <v>36</v>
      </c>
      <c r="I162" t="s">
        <v>1</v>
      </c>
      <c r="J162">
        <v>484.8</v>
      </c>
    </row>
    <row r="163" spans="1:10" x14ac:dyDescent="0.25">
      <c r="A163" t="s">
        <v>102</v>
      </c>
      <c r="B163" t="s">
        <v>199</v>
      </c>
      <c r="C163" t="s">
        <v>129</v>
      </c>
      <c r="D163" t="s">
        <v>130</v>
      </c>
      <c r="E163">
        <v>83</v>
      </c>
      <c r="F163" t="s">
        <v>35</v>
      </c>
      <c r="G163" s="1">
        <v>41883</v>
      </c>
      <c r="H163" t="s">
        <v>36</v>
      </c>
      <c r="I163" t="s">
        <v>184</v>
      </c>
      <c r="J163">
        <v>1500</v>
      </c>
    </row>
    <row r="164" spans="1:10" x14ac:dyDescent="0.25">
      <c r="A164" t="s">
        <v>102</v>
      </c>
      <c r="B164" t="s">
        <v>199</v>
      </c>
      <c r="C164" t="s">
        <v>129</v>
      </c>
      <c r="D164" t="s">
        <v>130</v>
      </c>
      <c r="E164">
        <v>83</v>
      </c>
      <c r="F164" t="s">
        <v>35</v>
      </c>
      <c r="G164" s="1">
        <v>41883</v>
      </c>
      <c r="H164" t="s">
        <v>36</v>
      </c>
      <c r="I164" t="s">
        <v>260</v>
      </c>
      <c r="J164">
        <v>116.82</v>
      </c>
    </row>
    <row r="165" spans="1:10" x14ac:dyDescent="0.25">
      <c r="A165" t="s">
        <v>102</v>
      </c>
      <c r="B165" t="s">
        <v>199</v>
      </c>
      <c r="C165" t="s">
        <v>129</v>
      </c>
      <c r="D165" t="s">
        <v>130</v>
      </c>
      <c r="E165">
        <v>83</v>
      </c>
      <c r="F165" t="s">
        <v>35</v>
      </c>
      <c r="G165" s="1">
        <v>41883</v>
      </c>
      <c r="H165" t="s">
        <v>36</v>
      </c>
      <c r="I165" t="s">
        <v>1</v>
      </c>
      <c r="J165">
        <v>750</v>
      </c>
    </row>
    <row r="166" spans="1:10" x14ac:dyDescent="0.25">
      <c r="A166" t="s">
        <v>102</v>
      </c>
      <c r="B166" t="s">
        <v>199</v>
      </c>
      <c r="C166" t="s">
        <v>131</v>
      </c>
      <c r="D166" t="s">
        <v>109</v>
      </c>
      <c r="E166">
        <v>51</v>
      </c>
      <c r="F166" t="s">
        <v>35</v>
      </c>
      <c r="G166" s="1">
        <v>41646</v>
      </c>
      <c r="H166" t="s">
        <v>36</v>
      </c>
      <c r="I166" t="s">
        <v>184</v>
      </c>
      <c r="J166">
        <v>1212</v>
      </c>
    </row>
    <row r="167" spans="1:10" x14ac:dyDescent="0.25">
      <c r="A167" t="s">
        <v>102</v>
      </c>
      <c r="B167" t="s">
        <v>199</v>
      </c>
      <c r="C167" t="s">
        <v>131</v>
      </c>
      <c r="D167" t="s">
        <v>109</v>
      </c>
      <c r="E167">
        <v>51</v>
      </c>
      <c r="F167" t="s">
        <v>35</v>
      </c>
      <c r="G167" s="1">
        <v>41646</v>
      </c>
      <c r="H167" t="s">
        <v>36</v>
      </c>
      <c r="I167" t="s">
        <v>7</v>
      </c>
      <c r="J167">
        <v>112.94</v>
      </c>
    </row>
    <row r="168" spans="1:10" x14ac:dyDescent="0.25">
      <c r="A168" t="s">
        <v>102</v>
      </c>
      <c r="B168" t="s">
        <v>199</v>
      </c>
      <c r="C168" t="s">
        <v>131</v>
      </c>
      <c r="D168" t="s">
        <v>109</v>
      </c>
      <c r="E168">
        <v>51</v>
      </c>
      <c r="F168" t="s">
        <v>35</v>
      </c>
      <c r="G168" s="1">
        <v>41646</v>
      </c>
      <c r="H168" t="s">
        <v>36</v>
      </c>
      <c r="I168" t="s">
        <v>260</v>
      </c>
      <c r="J168">
        <v>90.9</v>
      </c>
    </row>
    <row r="169" spans="1:10" x14ac:dyDescent="0.25">
      <c r="A169" t="s">
        <v>102</v>
      </c>
      <c r="B169" t="s">
        <v>199</v>
      </c>
      <c r="C169" t="s">
        <v>131</v>
      </c>
      <c r="D169" t="s">
        <v>109</v>
      </c>
      <c r="E169">
        <v>51</v>
      </c>
      <c r="F169" t="s">
        <v>35</v>
      </c>
      <c r="G169" s="1">
        <v>41646</v>
      </c>
      <c r="H169" t="s">
        <v>36</v>
      </c>
      <c r="I169" t="s">
        <v>1</v>
      </c>
      <c r="J169">
        <v>484.8</v>
      </c>
    </row>
    <row r="170" spans="1:10" x14ac:dyDescent="0.25">
      <c r="A170" t="s">
        <v>102</v>
      </c>
      <c r="B170" t="s">
        <v>199</v>
      </c>
      <c r="C170" t="s">
        <v>132</v>
      </c>
      <c r="D170" t="s">
        <v>109</v>
      </c>
      <c r="E170">
        <v>6</v>
      </c>
      <c r="F170" t="s">
        <v>35</v>
      </c>
      <c r="G170" s="1">
        <v>39356</v>
      </c>
      <c r="H170" t="s">
        <v>36</v>
      </c>
      <c r="I170" t="s">
        <v>184</v>
      </c>
      <c r="J170">
        <v>1212</v>
      </c>
    </row>
    <row r="171" spans="1:10" x14ac:dyDescent="0.25">
      <c r="A171" t="s">
        <v>102</v>
      </c>
      <c r="B171" t="s">
        <v>199</v>
      </c>
      <c r="C171" t="s">
        <v>132</v>
      </c>
      <c r="D171" t="s">
        <v>109</v>
      </c>
      <c r="E171">
        <v>6</v>
      </c>
      <c r="F171" t="s">
        <v>35</v>
      </c>
      <c r="G171" s="1">
        <v>39356</v>
      </c>
      <c r="H171" t="s">
        <v>36</v>
      </c>
      <c r="I171" t="s">
        <v>21</v>
      </c>
      <c r="J171">
        <v>36.36</v>
      </c>
    </row>
    <row r="172" spans="1:10" x14ac:dyDescent="0.25">
      <c r="A172" t="s">
        <v>102</v>
      </c>
      <c r="B172" t="s">
        <v>199</v>
      </c>
      <c r="C172" t="s">
        <v>132</v>
      </c>
      <c r="D172" t="s">
        <v>109</v>
      </c>
      <c r="E172">
        <v>6</v>
      </c>
      <c r="F172" t="s">
        <v>35</v>
      </c>
      <c r="G172" s="1">
        <v>39356</v>
      </c>
      <c r="H172" t="s">
        <v>36</v>
      </c>
      <c r="I172" t="s">
        <v>260</v>
      </c>
      <c r="J172">
        <v>94.17</v>
      </c>
    </row>
    <row r="173" spans="1:10" x14ac:dyDescent="0.25">
      <c r="A173" t="s">
        <v>102</v>
      </c>
      <c r="B173" t="s">
        <v>199</v>
      </c>
      <c r="C173" t="s">
        <v>132</v>
      </c>
      <c r="D173" t="s">
        <v>109</v>
      </c>
      <c r="E173">
        <v>6</v>
      </c>
      <c r="F173" t="s">
        <v>35</v>
      </c>
      <c r="G173" s="1">
        <v>39356</v>
      </c>
      <c r="H173" t="s">
        <v>36</v>
      </c>
      <c r="I173" t="s">
        <v>1</v>
      </c>
      <c r="J173">
        <v>484.8</v>
      </c>
    </row>
    <row r="174" spans="1:10" x14ac:dyDescent="0.25">
      <c r="A174" t="s">
        <v>102</v>
      </c>
      <c r="B174" t="s">
        <v>199</v>
      </c>
      <c r="C174" t="s">
        <v>133</v>
      </c>
      <c r="D174" t="s">
        <v>105</v>
      </c>
      <c r="E174">
        <v>53</v>
      </c>
      <c r="F174" t="s">
        <v>35</v>
      </c>
      <c r="G174" s="1">
        <v>41650</v>
      </c>
      <c r="H174" t="s">
        <v>36</v>
      </c>
      <c r="I174" t="s">
        <v>184</v>
      </c>
      <c r="J174">
        <v>1212</v>
      </c>
    </row>
    <row r="175" spans="1:10" x14ac:dyDescent="0.25">
      <c r="A175" t="s">
        <v>102</v>
      </c>
      <c r="B175" t="s">
        <v>199</v>
      </c>
      <c r="C175" t="s">
        <v>133</v>
      </c>
      <c r="D175" t="s">
        <v>105</v>
      </c>
      <c r="E175">
        <v>53</v>
      </c>
      <c r="F175" t="s">
        <v>35</v>
      </c>
      <c r="G175" s="1">
        <v>41650</v>
      </c>
      <c r="H175" t="s">
        <v>36</v>
      </c>
      <c r="I175" t="s">
        <v>1</v>
      </c>
      <c r="J175">
        <v>484.8</v>
      </c>
    </row>
    <row r="176" spans="1:10" x14ac:dyDescent="0.25">
      <c r="A176" t="s">
        <v>102</v>
      </c>
      <c r="B176" t="s">
        <v>199</v>
      </c>
      <c r="C176" t="s">
        <v>133</v>
      </c>
      <c r="D176" t="s">
        <v>105</v>
      </c>
      <c r="E176">
        <v>53</v>
      </c>
      <c r="F176" t="s">
        <v>35</v>
      </c>
      <c r="G176" s="1">
        <v>41650</v>
      </c>
      <c r="H176" t="s">
        <v>36</v>
      </c>
      <c r="I176" t="s">
        <v>260</v>
      </c>
      <c r="J176">
        <v>84.84</v>
      </c>
    </row>
    <row r="177" spans="1:10" x14ac:dyDescent="0.25">
      <c r="A177" t="s">
        <v>102</v>
      </c>
      <c r="B177" t="s">
        <v>199</v>
      </c>
      <c r="C177" t="s">
        <v>133</v>
      </c>
      <c r="D177" t="s">
        <v>105</v>
      </c>
      <c r="E177">
        <v>53</v>
      </c>
      <c r="F177" t="s">
        <v>35</v>
      </c>
      <c r="G177" s="1">
        <v>41650</v>
      </c>
      <c r="H177" t="s">
        <v>36</v>
      </c>
      <c r="I177" t="s">
        <v>7</v>
      </c>
      <c r="J177">
        <v>56.47</v>
      </c>
    </row>
    <row r="178" spans="1:10" x14ac:dyDescent="0.25">
      <c r="A178" t="s">
        <v>102</v>
      </c>
      <c r="B178" t="s">
        <v>199</v>
      </c>
      <c r="C178" t="s">
        <v>133</v>
      </c>
      <c r="D178" t="s">
        <v>105</v>
      </c>
      <c r="E178">
        <v>53</v>
      </c>
      <c r="F178" t="s">
        <v>35</v>
      </c>
      <c r="G178" s="1">
        <v>41650</v>
      </c>
      <c r="H178" t="s">
        <v>36</v>
      </c>
      <c r="I178" t="s">
        <v>9</v>
      </c>
      <c r="J178">
        <v>40.380000000000003</v>
      </c>
    </row>
    <row r="179" spans="1:10" x14ac:dyDescent="0.25">
      <c r="A179" t="s">
        <v>102</v>
      </c>
      <c r="B179" t="s">
        <v>199</v>
      </c>
      <c r="C179" t="s">
        <v>133</v>
      </c>
      <c r="D179" t="s">
        <v>105</v>
      </c>
      <c r="E179">
        <v>53</v>
      </c>
      <c r="F179" t="s">
        <v>35</v>
      </c>
      <c r="G179" s="1">
        <v>41650</v>
      </c>
      <c r="H179" t="s">
        <v>36</v>
      </c>
      <c r="I179" t="s">
        <v>8</v>
      </c>
      <c r="J179">
        <v>40.380000000000003</v>
      </c>
    </row>
    <row r="180" spans="1:10" x14ac:dyDescent="0.25">
      <c r="A180" t="s">
        <v>102</v>
      </c>
      <c r="B180" t="s">
        <v>199</v>
      </c>
      <c r="C180" t="s">
        <v>134</v>
      </c>
      <c r="D180" t="s">
        <v>109</v>
      </c>
      <c r="E180">
        <v>60</v>
      </c>
      <c r="F180" t="s">
        <v>35</v>
      </c>
      <c r="G180" s="1">
        <v>41699</v>
      </c>
      <c r="H180" t="s">
        <v>36</v>
      </c>
      <c r="I180" t="s">
        <v>184</v>
      </c>
      <c r="J180">
        <v>1212</v>
      </c>
    </row>
    <row r="181" spans="1:10" x14ac:dyDescent="0.25">
      <c r="A181" t="s">
        <v>102</v>
      </c>
      <c r="B181" t="s">
        <v>199</v>
      </c>
      <c r="C181" t="s">
        <v>134</v>
      </c>
      <c r="D181" t="s">
        <v>109</v>
      </c>
      <c r="E181">
        <v>60</v>
      </c>
      <c r="F181" t="s">
        <v>35</v>
      </c>
      <c r="G181" s="1">
        <v>41699</v>
      </c>
      <c r="H181" t="s">
        <v>36</v>
      </c>
      <c r="I181" t="s">
        <v>1</v>
      </c>
      <c r="J181">
        <v>484.8</v>
      </c>
    </row>
    <row r="182" spans="1:10" x14ac:dyDescent="0.25">
      <c r="A182" t="s">
        <v>102</v>
      </c>
      <c r="B182" t="s">
        <v>199</v>
      </c>
      <c r="C182" t="s">
        <v>134</v>
      </c>
      <c r="D182" t="s">
        <v>109</v>
      </c>
      <c r="E182">
        <v>60</v>
      </c>
      <c r="F182" t="s">
        <v>35</v>
      </c>
      <c r="G182" s="1">
        <v>41699</v>
      </c>
      <c r="H182" t="s">
        <v>36</v>
      </c>
      <c r="I182" t="s">
        <v>260</v>
      </c>
      <c r="J182">
        <v>84.84</v>
      </c>
    </row>
    <row r="183" spans="1:10" x14ac:dyDescent="0.25">
      <c r="A183" t="s">
        <v>102</v>
      </c>
      <c r="B183" t="s">
        <v>199</v>
      </c>
      <c r="C183" t="s">
        <v>134</v>
      </c>
      <c r="D183" t="s">
        <v>109</v>
      </c>
      <c r="E183">
        <v>60</v>
      </c>
      <c r="F183" t="s">
        <v>35</v>
      </c>
      <c r="G183" s="1">
        <v>41699</v>
      </c>
      <c r="H183" t="s">
        <v>36</v>
      </c>
      <c r="I183" t="s">
        <v>9</v>
      </c>
      <c r="J183">
        <v>40.380000000000003</v>
      </c>
    </row>
    <row r="185" spans="1:10" x14ac:dyDescent="0.25">
      <c r="A185" t="s">
        <v>102</v>
      </c>
      <c r="B185" t="s">
        <v>199</v>
      </c>
      <c r="C185" t="s">
        <v>134</v>
      </c>
      <c r="D185" t="s">
        <v>109</v>
      </c>
      <c r="E185">
        <v>60</v>
      </c>
      <c r="F185" t="s">
        <v>35</v>
      </c>
      <c r="G185" s="1">
        <v>41699</v>
      </c>
      <c r="H185" t="s">
        <v>36</v>
      </c>
      <c r="I185" t="s">
        <v>8</v>
      </c>
      <c r="J185">
        <v>40.380000000000003</v>
      </c>
    </row>
    <row r="186" spans="1:10" x14ac:dyDescent="0.25">
      <c r="A186" t="s">
        <v>102</v>
      </c>
      <c r="B186" t="s">
        <v>199</v>
      </c>
      <c r="C186" t="s">
        <v>135</v>
      </c>
      <c r="D186" t="s">
        <v>109</v>
      </c>
      <c r="E186">
        <v>148</v>
      </c>
      <c r="F186" t="s">
        <v>35</v>
      </c>
      <c r="G186" s="1">
        <v>43776</v>
      </c>
      <c r="H186" t="s">
        <v>36</v>
      </c>
      <c r="I186" t="s">
        <v>184</v>
      </c>
      <c r="J186">
        <v>1212</v>
      </c>
    </row>
    <row r="187" spans="1:10" x14ac:dyDescent="0.25">
      <c r="A187" t="s">
        <v>102</v>
      </c>
      <c r="B187" t="s">
        <v>199</v>
      </c>
      <c r="C187" t="s">
        <v>135</v>
      </c>
      <c r="D187" t="s">
        <v>109</v>
      </c>
      <c r="E187">
        <v>148</v>
      </c>
      <c r="F187" t="s">
        <v>35</v>
      </c>
      <c r="G187" s="1">
        <v>43776</v>
      </c>
      <c r="H187" t="s">
        <v>36</v>
      </c>
      <c r="I187" t="s">
        <v>260</v>
      </c>
      <c r="J187">
        <v>84.84</v>
      </c>
    </row>
    <row r="188" spans="1:10" x14ac:dyDescent="0.25">
      <c r="A188" t="s">
        <v>102</v>
      </c>
      <c r="B188" t="s">
        <v>199</v>
      </c>
      <c r="C188" t="s">
        <v>135</v>
      </c>
      <c r="D188" t="s">
        <v>109</v>
      </c>
      <c r="E188">
        <v>148</v>
      </c>
      <c r="F188" t="s">
        <v>35</v>
      </c>
      <c r="G188" s="1">
        <v>43776</v>
      </c>
      <c r="H188" t="s">
        <v>36</v>
      </c>
      <c r="I188" t="s">
        <v>287</v>
      </c>
      <c r="J188">
        <v>40.4</v>
      </c>
    </row>
    <row r="189" spans="1:10" x14ac:dyDescent="0.25">
      <c r="A189" t="s">
        <v>102</v>
      </c>
      <c r="B189" t="s">
        <v>199</v>
      </c>
      <c r="C189" t="s">
        <v>136</v>
      </c>
      <c r="D189" t="s">
        <v>105</v>
      </c>
      <c r="E189">
        <v>155</v>
      </c>
      <c r="F189" t="s">
        <v>35</v>
      </c>
      <c r="G189" s="1">
        <v>44216</v>
      </c>
      <c r="H189" t="s">
        <v>36</v>
      </c>
      <c r="I189" t="s">
        <v>1</v>
      </c>
      <c r="J189">
        <v>484.8</v>
      </c>
    </row>
    <row r="190" spans="1:10" x14ac:dyDescent="0.25">
      <c r="A190" t="s">
        <v>102</v>
      </c>
      <c r="B190" t="s">
        <v>199</v>
      </c>
      <c r="C190" t="s">
        <v>137</v>
      </c>
      <c r="D190" t="s">
        <v>109</v>
      </c>
      <c r="E190">
        <v>9</v>
      </c>
      <c r="F190" t="s">
        <v>35</v>
      </c>
      <c r="G190" s="1">
        <v>39995</v>
      </c>
      <c r="H190" t="s">
        <v>36</v>
      </c>
      <c r="I190" t="s">
        <v>184</v>
      </c>
      <c r="J190">
        <v>1212</v>
      </c>
    </row>
    <row r="191" spans="1:10" x14ac:dyDescent="0.25">
      <c r="A191" t="s">
        <v>102</v>
      </c>
      <c r="B191" t="s">
        <v>199</v>
      </c>
      <c r="C191" t="s">
        <v>137</v>
      </c>
      <c r="D191" t="s">
        <v>109</v>
      </c>
      <c r="E191">
        <v>9</v>
      </c>
      <c r="F191" t="s">
        <v>35</v>
      </c>
      <c r="G191" s="1">
        <v>39995</v>
      </c>
      <c r="H191" t="s">
        <v>36</v>
      </c>
      <c r="I191" t="s">
        <v>260</v>
      </c>
      <c r="J191">
        <v>94.17</v>
      </c>
    </row>
    <row r="192" spans="1:10" x14ac:dyDescent="0.25">
      <c r="A192" t="s">
        <v>102</v>
      </c>
      <c r="B192" t="s">
        <v>199</v>
      </c>
      <c r="C192" t="s">
        <v>137</v>
      </c>
      <c r="D192" t="s">
        <v>109</v>
      </c>
      <c r="E192">
        <v>9</v>
      </c>
      <c r="F192" t="s">
        <v>35</v>
      </c>
      <c r="G192" s="1">
        <v>39995</v>
      </c>
      <c r="H192" t="s">
        <v>36</v>
      </c>
      <c r="I192" t="s">
        <v>288</v>
      </c>
      <c r="J192">
        <v>26</v>
      </c>
    </row>
    <row r="193" spans="1:10" x14ac:dyDescent="0.25">
      <c r="A193" t="s">
        <v>102</v>
      </c>
      <c r="B193" t="s">
        <v>199</v>
      </c>
      <c r="C193" t="s">
        <v>137</v>
      </c>
      <c r="D193" t="s">
        <v>109</v>
      </c>
      <c r="E193">
        <v>9</v>
      </c>
      <c r="F193" t="s">
        <v>35</v>
      </c>
      <c r="G193" s="1">
        <v>39995</v>
      </c>
      <c r="H193" t="s">
        <v>36</v>
      </c>
      <c r="I193" t="s">
        <v>21</v>
      </c>
      <c r="J193">
        <v>36.36</v>
      </c>
    </row>
    <row r="194" spans="1:10" x14ac:dyDescent="0.25">
      <c r="A194" t="s">
        <v>102</v>
      </c>
      <c r="B194" t="s">
        <v>199</v>
      </c>
      <c r="C194" t="s">
        <v>137</v>
      </c>
      <c r="D194" t="s">
        <v>109</v>
      </c>
      <c r="E194">
        <v>9</v>
      </c>
      <c r="F194" t="s">
        <v>35</v>
      </c>
      <c r="G194" s="1">
        <v>39995</v>
      </c>
      <c r="H194" t="s">
        <v>36</v>
      </c>
      <c r="I194" t="s">
        <v>1</v>
      </c>
      <c r="J194">
        <v>484.8</v>
      </c>
    </row>
    <row r="196" spans="1:10" x14ac:dyDescent="0.25">
      <c r="A196" t="s">
        <v>102</v>
      </c>
      <c r="B196" t="s">
        <v>199</v>
      </c>
      <c r="C196" t="s">
        <v>138</v>
      </c>
      <c r="D196" t="s">
        <v>109</v>
      </c>
      <c r="E196">
        <v>163</v>
      </c>
      <c r="F196" t="s">
        <v>35</v>
      </c>
      <c r="G196" s="1">
        <v>44287</v>
      </c>
      <c r="H196" t="s">
        <v>36</v>
      </c>
      <c r="I196" t="s">
        <v>184</v>
      </c>
      <c r="J196">
        <v>1212</v>
      </c>
    </row>
    <row r="197" spans="1:10" x14ac:dyDescent="0.25">
      <c r="A197" t="s">
        <v>102</v>
      </c>
      <c r="B197" t="s">
        <v>199</v>
      </c>
      <c r="C197" t="s">
        <v>138</v>
      </c>
      <c r="D197" t="s">
        <v>109</v>
      </c>
      <c r="E197">
        <v>163</v>
      </c>
      <c r="F197" t="s">
        <v>35</v>
      </c>
      <c r="G197" s="1">
        <v>44287</v>
      </c>
      <c r="H197" t="s">
        <v>36</v>
      </c>
      <c r="I197" t="s">
        <v>260</v>
      </c>
      <c r="J197">
        <v>90.9</v>
      </c>
    </row>
    <row r="198" spans="1:10" x14ac:dyDescent="0.25">
      <c r="A198" t="s">
        <v>102</v>
      </c>
      <c r="B198" t="s">
        <v>199</v>
      </c>
      <c r="C198" t="s">
        <v>138</v>
      </c>
      <c r="D198" t="s">
        <v>109</v>
      </c>
      <c r="E198">
        <v>163</v>
      </c>
      <c r="F198" t="s">
        <v>35</v>
      </c>
      <c r="G198" s="1">
        <v>44287</v>
      </c>
      <c r="H198" t="s">
        <v>36</v>
      </c>
      <c r="I198" t="s">
        <v>7</v>
      </c>
      <c r="J198">
        <v>56.47</v>
      </c>
    </row>
    <row r="199" spans="1:10" x14ac:dyDescent="0.25">
      <c r="A199" t="s">
        <v>102</v>
      </c>
      <c r="B199" t="s">
        <v>199</v>
      </c>
      <c r="C199" t="s">
        <v>138</v>
      </c>
      <c r="D199" t="s">
        <v>109</v>
      </c>
      <c r="E199">
        <v>163</v>
      </c>
      <c r="F199" t="s">
        <v>35</v>
      </c>
      <c r="G199" s="1">
        <v>44287</v>
      </c>
      <c r="H199" t="s">
        <v>36</v>
      </c>
      <c r="I199" t="s">
        <v>1</v>
      </c>
      <c r="J199">
        <v>484.8</v>
      </c>
    </row>
    <row r="201" spans="1:10" x14ac:dyDescent="0.25">
      <c r="A201" t="s">
        <v>102</v>
      </c>
      <c r="B201" t="s">
        <v>199</v>
      </c>
      <c r="C201" t="s">
        <v>139</v>
      </c>
      <c r="D201" t="s">
        <v>109</v>
      </c>
      <c r="E201">
        <v>168</v>
      </c>
      <c r="F201" t="s">
        <v>35</v>
      </c>
      <c r="G201" s="1">
        <v>44482</v>
      </c>
      <c r="H201" t="s">
        <v>36</v>
      </c>
      <c r="I201" t="s">
        <v>184</v>
      </c>
      <c r="J201">
        <v>1212</v>
      </c>
    </row>
    <row r="202" spans="1:10" x14ac:dyDescent="0.25">
      <c r="A202" t="s">
        <v>102</v>
      </c>
      <c r="B202" t="s">
        <v>199</v>
      </c>
      <c r="C202" t="s">
        <v>139</v>
      </c>
      <c r="D202" t="s">
        <v>109</v>
      </c>
      <c r="E202">
        <v>168</v>
      </c>
      <c r="F202" t="s">
        <v>35</v>
      </c>
      <c r="G202" s="1">
        <v>44482</v>
      </c>
      <c r="H202" t="s">
        <v>36</v>
      </c>
      <c r="I202" t="s">
        <v>260</v>
      </c>
      <c r="J202">
        <v>90.9</v>
      </c>
    </row>
    <row r="203" spans="1:10" x14ac:dyDescent="0.25">
      <c r="A203" t="s">
        <v>102</v>
      </c>
      <c r="B203" t="s">
        <v>199</v>
      </c>
      <c r="C203" t="s">
        <v>139</v>
      </c>
      <c r="D203" t="s">
        <v>109</v>
      </c>
      <c r="E203">
        <v>168</v>
      </c>
      <c r="F203" t="s">
        <v>35</v>
      </c>
      <c r="G203" s="1">
        <v>44482</v>
      </c>
      <c r="H203" t="s">
        <v>36</v>
      </c>
      <c r="I203" t="s">
        <v>1</v>
      </c>
      <c r="J203">
        <v>484.8</v>
      </c>
    </row>
    <row r="204" spans="1:10" x14ac:dyDescent="0.25">
      <c r="A204" t="s">
        <v>102</v>
      </c>
      <c r="B204" t="s">
        <v>199</v>
      </c>
      <c r="C204" t="s">
        <v>140</v>
      </c>
      <c r="D204" t="s">
        <v>105</v>
      </c>
      <c r="E204">
        <v>131</v>
      </c>
      <c r="F204" t="s">
        <v>35</v>
      </c>
      <c r="G204" s="1">
        <v>43222</v>
      </c>
      <c r="H204" t="s">
        <v>36</v>
      </c>
      <c r="I204" t="s">
        <v>184</v>
      </c>
      <c r="J204">
        <v>1212</v>
      </c>
    </row>
    <row r="205" spans="1:10" x14ac:dyDescent="0.25">
      <c r="A205" t="s">
        <v>102</v>
      </c>
      <c r="B205" t="s">
        <v>199</v>
      </c>
      <c r="C205" t="s">
        <v>140</v>
      </c>
      <c r="D205" t="s">
        <v>105</v>
      </c>
      <c r="E205">
        <v>131</v>
      </c>
      <c r="F205" t="s">
        <v>35</v>
      </c>
      <c r="G205" s="1">
        <v>43222</v>
      </c>
      <c r="H205" t="s">
        <v>36</v>
      </c>
      <c r="I205" t="s">
        <v>7</v>
      </c>
      <c r="J205">
        <v>112.94</v>
      </c>
    </row>
    <row r="206" spans="1:10" x14ac:dyDescent="0.25">
      <c r="A206" t="s">
        <v>102</v>
      </c>
      <c r="B206" t="s">
        <v>199</v>
      </c>
      <c r="C206" t="s">
        <v>140</v>
      </c>
      <c r="D206" t="s">
        <v>105</v>
      </c>
      <c r="E206">
        <v>131</v>
      </c>
      <c r="F206" t="s">
        <v>35</v>
      </c>
      <c r="G206" s="1">
        <v>43222</v>
      </c>
      <c r="H206" t="s">
        <v>36</v>
      </c>
      <c r="I206" t="s">
        <v>260</v>
      </c>
      <c r="J206">
        <v>90.9</v>
      </c>
    </row>
    <row r="207" spans="1:10" x14ac:dyDescent="0.25">
      <c r="A207" t="s">
        <v>102</v>
      </c>
      <c r="B207" t="s">
        <v>199</v>
      </c>
      <c r="C207" t="s">
        <v>140</v>
      </c>
      <c r="D207" t="s">
        <v>105</v>
      </c>
      <c r="E207">
        <v>131</v>
      </c>
      <c r="F207" t="s">
        <v>35</v>
      </c>
      <c r="G207" s="1">
        <v>43222</v>
      </c>
      <c r="H207" t="s">
        <v>36</v>
      </c>
      <c r="I207" t="s">
        <v>1</v>
      </c>
      <c r="J207">
        <v>484.8</v>
      </c>
    </row>
    <row r="208" spans="1:10" x14ac:dyDescent="0.25">
      <c r="A208" t="s">
        <v>102</v>
      </c>
      <c r="B208" t="s">
        <v>199</v>
      </c>
      <c r="C208" t="s">
        <v>141</v>
      </c>
      <c r="D208" t="s">
        <v>109</v>
      </c>
      <c r="E208">
        <v>151</v>
      </c>
      <c r="F208" t="s">
        <v>35</v>
      </c>
      <c r="G208" s="1">
        <v>44216</v>
      </c>
      <c r="H208" t="s">
        <v>36</v>
      </c>
      <c r="I208" t="s">
        <v>184</v>
      </c>
      <c r="J208">
        <v>1212</v>
      </c>
    </row>
    <row r="209" spans="1:10" x14ac:dyDescent="0.25">
      <c r="A209" t="s">
        <v>102</v>
      </c>
      <c r="B209" t="s">
        <v>199</v>
      </c>
      <c r="C209" t="s">
        <v>141</v>
      </c>
      <c r="D209" t="s">
        <v>109</v>
      </c>
      <c r="E209">
        <v>151</v>
      </c>
      <c r="F209" t="s">
        <v>35</v>
      </c>
      <c r="G209" s="1">
        <v>44216</v>
      </c>
      <c r="H209" t="s">
        <v>36</v>
      </c>
      <c r="I209" t="s">
        <v>260</v>
      </c>
      <c r="J209">
        <v>90.9</v>
      </c>
    </row>
    <row r="210" spans="1:10" x14ac:dyDescent="0.25">
      <c r="A210" t="s">
        <v>102</v>
      </c>
      <c r="B210" t="s">
        <v>199</v>
      </c>
      <c r="C210" t="s">
        <v>141</v>
      </c>
      <c r="D210" t="s">
        <v>109</v>
      </c>
      <c r="E210">
        <v>151</v>
      </c>
      <c r="F210" t="s">
        <v>35</v>
      </c>
      <c r="G210" s="1">
        <v>44216</v>
      </c>
      <c r="H210" t="s">
        <v>36</v>
      </c>
      <c r="I210" t="s">
        <v>1</v>
      </c>
      <c r="J210">
        <v>484.8</v>
      </c>
    </row>
    <row r="211" spans="1:10" x14ac:dyDescent="0.25">
      <c r="A211" t="s">
        <v>102</v>
      </c>
      <c r="B211" t="s">
        <v>199</v>
      </c>
      <c r="C211" t="s">
        <v>145</v>
      </c>
      <c r="D211" t="s">
        <v>109</v>
      </c>
      <c r="E211">
        <v>31</v>
      </c>
      <c r="F211" t="s">
        <v>35</v>
      </c>
      <c r="G211" s="1">
        <v>41428</v>
      </c>
      <c r="H211" t="s">
        <v>36</v>
      </c>
      <c r="I211" t="s">
        <v>184</v>
      </c>
      <c r="J211">
        <v>1212</v>
      </c>
    </row>
    <row r="212" spans="1:10" x14ac:dyDescent="0.25">
      <c r="A212" t="s">
        <v>102</v>
      </c>
      <c r="B212" t="s">
        <v>199</v>
      </c>
      <c r="C212" t="s">
        <v>145</v>
      </c>
      <c r="D212" t="s">
        <v>109</v>
      </c>
      <c r="E212">
        <v>31</v>
      </c>
      <c r="F212" t="s">
        <v>35</v>
      </c>
      <c r="G212" s="1">
        <v>41428</v>
      </c>
      <c r="H212" t="s">
        <v>36</v>
      </c>
      <c r="I212" t="s">
        <v>1</v>
      </c>
      <c r="J212">
        <v>484.8</v>
      </c>
    </row>
    <row r="213" spans="1:10" x14ac:dyDescent="0.25">
      <c r="A213" t="s">
        <v>102</v>
      </c>
      <c r="B213" t="s">
        <v>199</v>
      </c>
      <c r="C213" t="s">
        <v>145</v>
      </c>
      <c r="D213" t="s">
        <v>109</v>
      </c>
      <c r="E213">
        <v>31</v>
      </c>
      <c r="F213" t="s">
        <v>35</v>
      </c>
      <c r="G213" s="1">
        <v>41428</v>
      </c>
      <c r="H213" t="s">
        <v>36</v>
      </c>
      <c r="I213" t="s">
        <v>11</v>
      </c>
      <c r="J213">
        <v>80.8</v>
      </c>
    </row>
    <row r="214" spans="1:10" x14ac:dyDescent="0.25">
      <c r="A214" t="s">
        <v>102</v>
      </c>
      <c r="B214" t="s">
        <v>199</v>
      </c>
      <c r="C214" t="s">
        <v>145</v>
      </c>
      <c r="D214" t="s">
        <v>109</v>
      </c>
      <c r="E214">
        <v>31</v>
      </c>
      <c r="F214" t="s">
        <v>35</v>
      </c>
      <c r="G214" s="1">
        <v>41428</v>
      </c>
      <c r="H214" t="s">
        <v>36</v>
      </c>
      <c r="I214" t="s">
        <v>13</v>
      </c>
      <c r="J214">
        <v>99.25</v>
      </c>
    </row>
    <row r="215" spans="1:10" x14ac:dyDescent="0.25">
      <c r="A215" t="s">
        <v>102</v>
      </c>
      <c r="B215" t="s">
        <v>199</v>
      </c>
      <c r="C215" t="s">
        <v>145</v>
      </c>
      <c r="D215" t="s">
        <v>109</v>
      </c>
      <c r="E215">
        <v>31</v>
      </c>
      <c r="F215" t="s">
        <v>35</v>
      </c>
      <c r="G215" s="1">
        <v>41428</v>
      </c>
      <c r="H215" t="s">
        <v>36</v>
      </c>
      <c r="I215" t="s">
        <v>7</v>
      </c>
      <c r="J215">
        <v>56.47</v>
      </c>
    </row>
    <row r="216" spans="1:10" x14ac:dyDescent="0.25">
      <c r="A216" t="s">
        <v>102</v>
      </c>
      <c r="B216" t="s">
        <v>199</v>
      </c>
      <c r="C216" t="s">
        <v>145</v>
      </c>
      <c r="D216" t="s">
        <v>109</v>
      </c>
      <c r="E216">
        <v>31</v>
      </c>
      <c r="F216" t="s">
        <v>35</v>
      </c>
      <c r="G216" s="1">
        <v>41428</v>
      </c>
      <c r="H216" t="s">
        <v>36</v>
      </c>
      <c r="I216" t="s">
        <v>260</v>
      </c>
      <c r="J216">
        <v>84.84</v>
      </c>
    </row>
    <row r="218" spans="1:10" x14ac:dyDescent="0.25">
      <c r="A218" t="s">
        <v>102</v>
      </c>
      <c r="B218" t="s">
        <v>199</v>
      </c>
      <c r="C218" t="s">
        <v>147</v>
      </c>
      <c r="D218" t="s">
        <v>109</v>
      </c>
      <c r="E218">
        <v>61</v>
      </c>
      <c r="F218" t="s">
        <v>35</v>
      </c>
      <c r="G218" s="1">
        <v>41699</v>
      </c>
      <c r="H218" t="s">
        <v>36</v>
      </c>
      <c r="I218" t="s">
        <v>184</v>
      </c>
      <c r="J218">
        <v>1212</v>
      </c>
    </row>
    <row r="219" spans="1:10" x14ac:dyDescent="0.25">
      <c r="A219" t="s">
        <v>102</v>
      </c>
      <c r="B219" t="s">
        <v>199</v>
      </c>
      <c r="C219" t="s">
        <v>147</v>
      </c>
      <c r="D219" t="s">
        <v>109</v>
      </c>
      <c r="E219">
        <v>61</v>
      </c>
      <c r="F219" t="s">
        <v>35</v>
      </c>
      <c r="G219" s="1">
        <v>41699</v>
      </c>
      <c r="H219" t="s">
        <v>36</v>
      </c>
      <c r="I219" t="s">
        <v>260</v>
      </c>
      <c r="J219">
        <v>90.9</v>
      </c>
    </row>
    <row r="220" spans="1:10" x14ac:dyDescent="0.25">
      <c r="A220" t="s">
        <v>102</v>
      </c>
      <c r="B220" t="s">
        <v>199</v>
      </c>
      <c r="C220" t="s">
        <v>147</v>
      </c>
      <c r="D220" t="s">
        <v>109</v>
      </c>
      <c r="E220">
        <v>61</v>
      </c>
      <c r="F220" t="s">
        <v>35</v>
      </c>
      <c r="G220" s="1">
        <v>41699</v>
      </c>
      <c r="H220" t="s">
        <v>36</v>
      </c>
      <c r="I220" t="s">
        <v>1</v>
      </c>
      <c r="J220">
        <v>484.8</v>
      </c>
    </row>
    <row r="221" spans="1:10" x14ac:dyDescent="0.25">
      <c r="A221" t="s">
        <v>102</v>
      </c>
      <c r="B221" t="s">
        <v>199</v>
      </c>
      <c r="C221" t="s">
        <v>148</v>
      </c>
      <c r="D221" t="s">
        <v>105</v>
      </c>
      <c r="E221">
        <v>71</v>
      </c>
      <c r="F221" t="s">
        <v>35</v>
      </c>
      <c r="G221" s="1">
        <v>41852</v>
      </c>
      <c r="H221" t="s">
        <v>36</v>
      </c>
      <c r="I221" t="s">
        <v>184</v>
      </c>
      <c r="J221">
        <v>1212</v>
      </c>
    </row>
    <row r="222" spans="1:10" x14ac:dyDescent="0.25">
      <c r="A222" t="s">
        <v>102</v>
      </c>
      <c r="B222" t="s">
        <v>199</v>
      </c>
      <c r="C222" t="s">
        <v>148</v>
      </c>
      <c r="D222" t="s">
        <v>105</v>
      </c>
      <c r="E222">
        <v>71</v>
      </c>
      <c r="F222" t="s">
        <v>35</v>
      </c>
      <c r="G222" s="1">
        <v>41852</v>
      </c>
      <c r="H222" t="s">
        <v>36</v>
      </c>
      <c r="I222" t="s">
        <v>1</v>
      </c>
      <c r="J222">
        <v>484.8</v>
      </c>
    </row>
    <row r="223" spans="1:10" x14ac:dyDescent="0.25">
      <c r="A223" t="s">
        <v>102</v>
      </c>
      <c r="B223" t="s">
        <v>199</v>
      </c>
      <c r="C223" t="s">
        <v>148</v>
      </c>
      <c r="D223" t="s">
        <v>105</v>
      </c>
      <c r="E223">
        <v>71</v>
      </c>
      <c r="F223" t="s">
        <v>35</v>
      </c>
      <c r="G223" s="1">
        <v>41852</v>
      </c>
      <c r="H223" t="s">
        <v>36</v>
      </c>
      <c r="I223" t="s">
        <v>260</v>
      </c>
      <c r="J223">
        <v>90.9</v>
      </c>
    </row>
    <row r="225" spans="1:10" x14ac:dyDescent="0.25">
      <c r="A225" t="s">
        <v>102</v>
      </c>
      <c r="B225" t="s">
        <v>199</v>
      </c>
      <c r="C225" t="s">
        <v>149</v>
      </c>
      <c r="D225" t="s">
        <v>130</v>
      </c>
      <c r="E225">
        <v>92</v>
      </c>
      <c r="F225" t="s">
        <v>35</v>
      </c>
      <c r="G225" s="1">
        <v>41946</v>
      </c>
      <c r="H225" t="s">
        <v>36</v>
      </c>
      <c r="I225" t="s">
        <v>184</v>
      </c>
      <c r="J225">
        <v>1212</v>
      </c>
    </row>
    <row r="226" spans="1:10" x14ac:dyDescent="0.25">
      <c r="A226" t="s">
        <v>102</v>
      </c>
      <c r="B226" t="s">
        <v>199</v>
      </c>
      <c r="C226" t="s">
        <v>149</v>
      </c>
      <c r="D226" t="s">
        <v>130</v>
      </c>
      <c r="E226">
        <v>92</v>
      </c>
      <c r="F226" t="s">
        <v>35</v>
      </c>
      <c r="G226" s="1">
        <v>41946</v>
      </c>
      <c r="H226" t="s">
        <v>36</v>
      </c>
      <c r="I226" t="s">
        <v>260</v>
      </c>
      <c r="J226">
        <v>90.9</v>
      </c>
    </row>
    <row r="227" spans="1:10" x14ac:dyDescent="0.25">
      <c r="A227" t="s">
        <v>102</v>
      </c>
      <c r="B227" t="s">
        <v>199</v>
      </c>
      <c r="C227" t="s">
        <v>149</v>
      </c>
      <c r="D227" t="s">
        <v>130</v>
      </c>
      <c r="E227">
        <v>92</v>
      </c>
      <c r="F227" t="s">
        <v>35</v>
      </c>
      <c r="G227" s="1">
        <v>41946</v>
      </c>
      <c r="H227" t="s">
        <v>36</v>
      </c>
      <c r="I227" t="s">
        <v>7</v>
      </c>
      <c r="J227">
        <v>56.47</v>
      </c>
    </row>
    <row r="228" spans="1:10" x14ac:dyDescent="0.25">
      <c r="A228" t="s">
        <v>102</v>
      </c>
      <c r="B228" t="s">
        <v>199</v>
      </c>
      <c r="C228" t="s">
        <v>149</v>
      </c>
      <c r="D228" t="s">
        <v>130</v>
      </c>
      <c r="E228">
        <v>92</v>
      </c>
      <c r="F228" t="s">
        <v>35</v>
      </c>
      <c r="G228" s="1">
        <v>41946</v>
      </c>
      <c r="H228" t="s">
        <v>36</v>
      </c>
      <c r="I228" t="s">
        <v>1</v>
      </c>
      <c r="J228">
        <v>484.8</v>
      </c>
    </row>
    <row r="230" spans="1:10" x14ac:dyDescent="0.25">
      <c r="A230" t="s">
        <v>102</v>
      </c>
      <c r="B230" t="s">
        <v>199</v>
      </c>
      <c r="C230" t="s">
        <v>150</v>
      </c>
      <c r="D230" t="s">
        <v>109</v>
      </c>
      <c r="E230">
        <v>136</v>
      </c>
      <c r="F230" t="s">
        <v>35</v>
      </c>
      <c r="G230" s="1">
        <v>43222</v>
      </c>
      <c r="H230" t="s">
        <v>36</v>
      </c>
      <c r="I230" t="s">
        <v>184</v>
      </c>
      <c r="J230">
        <v>1212</v>
      </c>
    </row>
    <row r="231" spans="1:10" x14ac:dyDescent="0.25">
      <c r="A231" t="s">
        <v>102</v>
      </c>
      <c r="B231" t="s">
        <v>199</v>
      </c>
      <c r="C231" t="s">
        <v>150</v>
      </c>
      <c r="D231" t="s">
        <v>109</v>
      </c>
      <c r="E231">
        <v>136</v>
      </c>
      <c r="F231" t="s">
        <v>35</v>
      </c>
      <c r="G231" s="1">
        <v>43222</v>
      </c>
      <c r="H231" t="s">
        <v>36</v>
      </c>
      <c r="I231" t="s">
        <v>260</v>
      </c>
      <c r="J231">
        <v>90.9</v>
      </c>
    </row>
    <row r="232" spans="1:10" x14ac:dyDescent="0.25">
      <c r="A232" t="s">
        <v>102</v>
      </c>
      <c r="B232" t="s">
        <v>199</v>
      </c>
      <c r="C232" t="s">
        <v>150</v>
      </c>
      <c r="D232" t="s">
        <v>109</v>
      </c>
      <c r="E232">
        <v>136</v>
      </c>
      <c r="F232" t="s">
        <v>35</v>
      </c>
      <c r="G232" s="1">
        <v>43222</v>
      </c>
      <c r="H232" t="s">
        <v>36</v>
      </c>
      <c r="I232" t="s">
        <v>1</v>
      </c>
      <c r="J232">
        <v>484.8</v>
      </c>
    </row>
    <row r="233" spans="1:10" x14ac:dyDescent="0.25">
      <c r="A233" t="s">
        <v>102</v>
      </c>
      <c r="B233" t="s">
        <v>199</v>
      </c>
      <c r="C233" t="s">
        <v>151</v>
      </c>
      <c r="D233" t="s">
        <v>105</v>
      </c>
      <c r="E233">
        <v>56</v>
      </c>
      <c r="F233" t="s">
        <v>35</v>
      </c>
      <c r="G233" s="1">
        <v>41655</v>
      </c>
      <c r="H233" t="s">
        <v>36</v>
      </c>
      <c r="I233" t="s">
        <v>184</v>
      </c>
      <c r="J233">
        <v>1212</v>
      </c>
    </row>
    <row r="234" spans="1:10" x14ac:dyDescent="0.25">
      <c r="A234" t="s">
        <v>102</v>
      </c>
      <c r="B234" t="s">
        <v>199</v>
      </c>
      <c r="C234" t="s">
        <v>151</v>
      </c>
      <c r="D234" t="s">
        <v>105</v>
      </c>
      <c r="E234">
        <v>56</v>
      </c>
      <c r="F234" t="s">
        <v>35</v>
      </c>
      <c r="G234" s="1">
        <v>41655</v>
      </c>
      <c r="H234" t="s">
        <v>36</v>
      </c>
      <c r="I234" t="s">
        <v>7</v>
      </c>
      <c r="J234">
        <v>56.47</v>
      </c>
    </row>
    <row r="235" spans="1:10" x14ac:dyDescent="0.25">
      <c r="A235" t="s">
        <v>102</v>
      </c>
      <c r="B235" t="s">
        <v>199</v>
      </c>
      <c r="C235" t="s">
        <v>151</v>
      </c>
      <c r="D235" t="s">
        <v>105</v>
      </c>
      <c r="E235">
        <v>56</v>
      </c>
      <c r="F235" t="s">
        <v>35</v>
      </c>
      <c r="G235" s="1">
        <v>41655</v>
      </c>
      <c r="H235" t="s">
        <v>36</v>
      </c>
      <c r="I235" t="s">
        <v>260</v>
      </c>
      <c r="J235">
        <v>90.9</v>
      </c>
    </row>
    <row r="236" spans="1:10" x14ac:dyDescent="0.25">
      <c r="A236" t="s">
        <v>102</v>
      </c>
      <c r="B236" t="s">
        <v>199</v>
      </c>
      <c r="C236" t="s">
        <v>151</v>
      </c>
      <c r="D236" t="s">
        <v>105</v>
      </c>
      <c r="E236">
        <v>56</v>
      </c>
      <c r="F236" t="s">
        <v>35</v>
      </c>
      <c r="G236" s="1">
        <v>41655</v>
      </c>
      <c r="H236" t="s">
        <v>36</v>
      </c>
      <c r="I236" t="s">
        <v>1</v>
      </c>
      <c r="J236">
        <v>484.8</v>
      </c>
    </row>
    <row r="237" spans="1:10" x14ac:dyDescent="0.25">
      <c r="A237" t="s">
        <v>94</v>
      </c>
      <c r="B237" t="s">
        <v>196</v>
      </c>
      <c r="C237" t="s">
        <v>171</v>
      </c>
      <c r="D237" t="s">
        <v>56</v>
      </c>
      <c r="E237">
        <v>19</v>
      </c>
      <c r="F237" t="s">
        <v>35</v>
      </c>
      <c r="G237" s="1">
        <v>42926</v>
      </c>
      <c r="H237" t="s">
        <v>36</v>
      </c>
      <c r="I237" t="s">
        <v>184</v>
      </c>
      <c r="J237">
        <v>1388.5</v>
      </c>
    </row>
    <row r="238" spans="1:10" x14ac:dyDescent="0.25">
      <c r="A238" t="s">
        <v>94</v>
      </c>
      <c r="B238" t="s">
        <v>196</v>
      </c>
      <c r="C238" t="s">
        <v>171</v>
      </c>
      <c r="D238" t="s">
        <v>56</v>
      </c>
      <c r="E238">
        <v>19</v>
      </c>
      <c r="F238" t="s">
        <v>35</v>
      </c>
      <c r="G238" s="1">
        <v>42926</v>
      </c>
      <c r="H238" t="s">
        <v>36</v>
      </c>
      <c r="I238" t="s">
        <v>1</v>
      </c>
      <c r="J238">
        <v>555.4</v>
      </c>
    </row>
    <row r="239" spans="1:10" x14ac:dyDescent="0.25">
      <c r="A239" t="s">
        <v>94</v>
      </c>
      <c r="B239" t="s">
        <v>196</v>
      </c>
      <c r="C239" t="s">
        <v>171</v>
      </c>
      <c r="D239" t="s">
        <v>56</v>
      </c>
      <c r="E239">
        <v>19</v>
      </c>
      <c r="F239" t="s">
        <v>35</v>
      </c>
      <c r="G239" s="1">
        <v>42926</v>
      </c>
      <c r="H239" t="s">
        <v>36</v>
      </c>
      <c r="I239" t="s">
        <v>260</v>
      </c>
      <c r="J239">
        <v>119.28</v>
      </c>
    </row>
    <row r="240" spans="1:10" x14ac:dyDescent="0.25">
      <c r="A240" t="s">
        <v>94</v>
      </c>
      <c r="B240" t="s">
        <v>196</v>
      </c>
      <c r="C240" t="s">
        <v>171</v>
      </c>
      <c r="D240" t="s">
        <v>56</v>
      </c>
      <c r="E240">
        <v>19</v>
      </c>
      <c r="F240" t="s">
        <v>35</v>
      </c>
      <c r="G240" s="1">
        <v>42926</v>
      </c>
      <c r="H240" t="s">
        <v>36</v>
      </c>
      <c r="I240" t="s">
        <v>3</v>
      </c>
      <c r="J240">
        <v>69.430000000000007</v>
      </c>
    </row>
    <row r="241" spans="1:10" x14ac:dyDescent="0.25">
      <c r="A241" t="s">
        <v>94</v>
      </c>
      <c r="B241" t="s">
        <v>196</v>
      </c>
      <c r="C241" t="s">
        <v>171</v>
      </c>
      <c r="D241" t="s">
        <v>56</v>
      </c>
      <c r="E241">
        <v>19</v>
      </c>
      <c r="F241" t="s">
        <v>35</v>
      </c>
      <c r="G241" s="1">
        <v>42926</v>
      </c>
      <c r="H241" t="s">
        <v>36</v>
      </c>
      <c r="I241" t="s">
        <v>6</v>
      </c>
      <c r="J241">
        <v>77</v>
      </c>
    </row>
    <row r="242" spans="1:10" x14ac:dyDescent="0.25">
      <c r="A242" t="s">
        <v>94</v>
      </c>
      <c r="B242" t="s">
        <v>196</v>
      </c>
      <c r="C242" t="s">
        <v>171</v>
      </c>
      <c r="D242" t="s">
        <v>56</v>
      </c>
      <c r="E242">
        <v>19</v>
      </c>
      <c r="F242" t="s">
        <v>35</v>
      </c>
      <c r="G242" s="1">
        <v>42926</v>
      </c>
      <c r="H242" t="s">
        <v>36</v>
      </c>
      <c r="I242" t="s">
        <v>5</v>
      </c>
      <c r="J242">
        <v>69.430000000000007</v>
      </c>
    </row>
    <row r="243" spans="1:10" x14ac:dyDescent="0.25">
      <c r="A243" t="s">
        <v>94</v>
      </c>
      <c r="B243" t="s">
        <v>196</v>
      </c>
      <c r="C243" t="s">
        <v>171</v>
      </c>
      <c r="D243" t="s">
        <v>56</v>
      </c>
      <c r="E243">
        <v>19</v>
      </c>
      <c r="F243" t="s">
        <v>35</v>
      </c>
      <c r="G243" s="1">
        <v>42926</v>
      </c>
      <c r="H243" t="s">
        <v>36</v>
      </c>
      <c r="I243" t="s">
        <v>4</v>
      </c>
      <c r="J243">
        <v>19.7</v>
      </c>
    </row>
    <row r="244" spans="1:10" x14ac:dyDescent="0.25">
      <c r="A244" t="s">
        <v>94</v>
      </c>
      <c r="B244" t="s">
        <v>196</v>
      </c>
      <c r="C244" t="s">
        <v>171</v>
      </c>
      <c r="D244" t="s">
        <v>56</v>
      </c>
      <c r="E244">
        <v>19</v>
      </c>
      <c r="F244" t="s">
        <v>35</v>
      </c>
      <c r="G244" s="1">
        <v>42926</v>
      </c>
      <c r="H244" t="s">
        <v>36</v>
      </c>
      <c r="I244" t="s">
        <v>2</v>
      </c>
      <c r="J244">
        <v>83.31</v>
      </c>
    </row>
    <row r="245" spans="1:10" x14ac:dyDescent="0.25">
      <c r="A245" t="s">
        <v>94</v>
      </c>
      <c r="B245" t="s">
        <v>196</v>
      </c>
      <c r="C245" t="s">
        <v>172</v>
      </c>
      <c r="D245" t="s">
        <v>264</v>
      </c>
      <c r="E245">
        <v>7</v>
      </c>
      <c r="F245" t="s">
        <v>35</v>
      </c>
      <c r="G245" s="1">
        <v>42523</v>
      </c>
      <c r="H245" t="s">
        <v>36</v>
      </c>
      <c r="I245" t="s">
        <v>184</v>
      </c>
      <c r="J245">
        <v>1760</v>
      </c>
    </row>
    <row r="246" spans="1:10" x14ac:dyDescent="0.25">
      <c r="A246" t="s">
        <v>94</v>
      </c>
      <c r="B246" t="s">
        <v>196</v>
      </c>
      <c r="C246" t="s">
        <v>172</v>
      </c>
      <c r="D246" t="s">
        <v>264</v>
      </c>
      <c r="E246">
        <v>7</v>
      </c>
      <c r="F246" t="s">
        <v>35</v>
      </c>
      <c r="G246" s="1">
        <v>42523</v>
      </c>
      <c r="H246" t="s">
        <v>36</v>
      </c>
      <c r="I246" t="s">
        <v>260</v>
      </c>
      <c r="J246">
        <v>156.06</v>
      </c>
    </row>
    <row r="247" spans="1:10" x14ac:dyDescent="0.25">
      <c r="A247" t="s">
        <v>94</v>
      </c>
      <c r="B247" t="s">
        <v>196</v>
      </c>
      <c r="C247" t="s">
        <v>172</v>
      </c>
      <c r="D247" t="s">
        <v>264</v>
      </c>
      <c r="E247">
        <v>7</v>
      </c>
      <c r="F247" t="s">
        <v>35</v>
      </c>
      <c r="G247" s="1">
        <v>42523</v>
      </c>
      <c r="H247" t="s">
        <v>36</v>
      </c>
      <c r="I247" t="s">
        <v>5</v>
      </c>
      <c r="J247">
        <v>176</v>
      </c>
    </row>
    <row r="248" spans="1:10" x14ac:dyDescent="0.25">
      <c r="A248" t="s">
        <v>94</v>
      </c>
      <c r="B248" t="s">
        <v>196</v>
      </c>
      <c r="C248" t="s">
        <v>172</v>
      </c>
      <c r="D248" t="s">
        <v>264</v>
      </c>
      <c r="E248">
        <v>7</v>
      </c>
      <c r="F248" t="s">
        <v>35</v>
      </c>
      <c r="G248" s="1">
        <v>42523</v>
      </c>
      <c r="H248" t="s">
        <v>36</v>
      </c>
      <c r="I248" t="s">
        <v>1</v>
      </c>
      <c r="J248">
        <v>704</v>
      </c>
    </row>
    <row r="249" spans="1:10" x14ac:dyDescent="0.25">
      <c r="A249" t="s">
        <v>94</v>
      </c>
      <c r="B249" t="s">
        <v>196</v>
      </c>
      <c r="C249" t="s">
        <v>172</v>
      </c>
      <c r="D249" t="s">
        <v>264</v>
      </c>
      <c r="E249">
        <v>7</v>
      </c>
      <c r="F249" t="s">
        <v>35</v>
      </c>
      <c r="G249" s="1">
        <v>42523</v>
      </c>
      <c r="H249" t="s">
        <v>36</v>
      </c>
      <c r="I249" t="s">
        <v>6</v>
      </c>
      <c r="J249">
        <v>221.23</v>
      </c>
    </row>
    <row r="250" spans="1:10" x14ac:dyDescent="0.25">
      <c r="A250" t="s">
        <v>94</v>
      </c>
      <c r="B250" t="s">
        <v>196</v>
      </c>
      <c r="C250" t="s">
        <v>174</v>
      </c>
      <c r="D250" t="s">
        <v>93</v>
      </c>
      <c r="E250">
        <v>11</v>
      </c>
      <c r="F250" t="s">
        <v>35</v>
      </c>
      <c r="G250" s="1">
        <v>42851</v>
      </c>
      <c r="H250" t="s">
        <v>36</v>
      </c>
      <c r="I250" t="s">
        <v>184</v>
      </c>
      <c r="J250">
        <v>1760</v>
      </c>
    </row>
    <row r="251" spans="1:10" x14ac:dyDescent="0.25">
      <c r="A251" t="s">
        <v>94</v>
      </c>
      <c r="B251" t="s">
        <v>196</v>
      </c>
      <c r="C251" t="s">
        <v>174</v>
      </c>
      <c r="D251" t="s">
        <v>93</v>
      </c>
      <c r="E251">
        <v>11</v>
      </c>
      <c r="F251" t="s">
        <v>35</v>
      </c>
      <c r="G251" s="1">
        <v>42851</v>
      </c>
      <c r="H251" t="s">
        <v>36</v>
      </c>
      <c r="I251" t="s">
        <v>260</v>
      </c>
      <c r="J251">
        <v>148.13999999999999</v>
      </c>
    </row>
    <row r="252" spans="1:10" x14ac:dyDescent="0.25">
      <c r="A252" t="s">
        <v>94</v>
      </c>
      <c r="B252" t="s">
        <v>196</v>
      </c>
      <c r="C252" t="s">
        <v>174</v>
      </c>
      <c r="D252" t="s">
        <v>93</v>
      </c>
      <c r="E252">
        <v>11</v>
      </c>
      <c r="F252" t="s">
        <v>35</v>
      </c>
      <c r="G252" s="1">
        <v>42851</v>
      </c>
      <c r="H252" t="s">
        <v>36</v>
      </c>
      <c r="I252" t="s">
        <v>5</v>
      </c>
      <c r="J252">
        <v>88</v>
      </c>
    </row>
    <row r="253" spans="1:10" x14ac:dyDescent="0.25">
      <c r="A253" t="s">
        <v>94</v>
      </c>
      <c r="B253" t="s">
        <v>196</v>
      </c>
      <c r="C253" t="s">
        <v>174</v>
      </c>
      <c r="D253" t="s">
        <v>93</v>
      </c>
      <c r="E253">
        <v>11</v>
      </c>
      <c r="F253" t="s">
        <v>35</v>
      </c>
      <c r="G253" s="1">
        <v>42851</v>
      </c>
      <c r="H253" t="s">
        <v>36</v>
      </c>
      <c r="I253" t="s">
        <v>1</v>
      </c>
      <c r="J253">
        <v>704</v>
      </c>
    </row>
    <row r="254" spans="1:10" x14ac:dyDescent="0.25">
      <c r="A254" t="s">
        <v>94</v>
      </c>
      <c r="B254" t="s">
        <v>196</v>
      </c>
      <c r="C254" t="s">
        <v>174</v>
      </c>
      <c r="D254" t="s">
        <v>93</v>
      </c>
      <c r="E254">
        <v>11</v>
      </c>
      <c r="F254" t="s">
        <v>35</v>
      </c>
      <c r="G254" s="1">
        <v>42851</v>
      </c>
      <c r="H254" t="s">
        <v>36</v>
      </c>
      <c r="I254" t="s">
        <v>6</v>
      </c>
      <c r="J254">
        <v>31</v>
      </c>
    </row>
    <row r="255" spans="1:10" x14ac:dyDescent="0.25">
      <c r="A255" t="s">
        <v>94</v>
      </c>
      <c r="B255" t="s">
        <v>196</v>
      </c>
      <c r="C255" t="s">
        <v>175</v>
      </c>
      <c r="D255" t="s">
        <v>77</v>
      </c>
      <c r="E255">
        <v>42</v>
      </c>
      <c r="F255" t="s">
        <v>35</v>
      </c>
      <c r="G255" s="1">
        <v>43255</v>
      </c>
      <c r="H255" t="s">
        <v>36</v>
      </c>
      <c r="I255" t="s">
        <v>184</v>
      </c>
      <c r="J255">
        <v>1388.5</v>
      </c>
    </row>
    <row r="256" spans="1:10" x14ac:dyDescent="0.25">
      <c r="A256" t="s">
        <v>94</v>
      </c>
      <c r="B256" t="s">
        <v>196</v>
      </c>
      <c r="C256" t="s">
        <v>175</v>
      </c>
      <c r="D256" t="s">
        <v>77</v>
      </c>
      <c r="E256">
        <v>42</v>
      </c>
      <c r="F256" t="s">
        <v>35</v>
      </c>
      <c r="G256" s="1">
        <v>43255</v>
      </c>
      <c r="H256" t="s">
        <v>36</v>
      </c>
      <c r="I256" t="s">
        <v>260</v>
      </c>
      <c r="J256">
        <v>113.03</v>
      </c>
    </row>
    <row r="257" spans="1:10" x14ac:dyDescent="0.25">
      <c r="A257" t="s">
        <v>94</v>
      </c>
      <c r="B257" t="s">
        <v>196</v>
      </c>
      <c r="C257" t="s">
        <v>175</v>
      </c>
      <c r="D257" t="s">
        <v>77</v>
      </c>
      <c r="E257">
        <v>42</v>
      </c>
      <c r="F257" t="s">
        <v>35</v>
      </c>
      <c r="G257" s="1">
        <v>43255</v>
      </c>
      <c r="H257" t="s">
        <v>36</v>
      </c>
      <c r="I257" t="s">
        <v>5</v>
      </c>
      <c r="J257">
        <v>69.430000000000007</v>
      </c>
    </row>
    <row r="258" spans="1:10" x14ac:dyDescent="0.25">
      <c r="A258" t="s">
        <v>94</v>
      </c>
      <c r="B258" t="s">
        <v>196</v>
      </c>
      <c r="C258" t="s">
        <v>175</v>
      </c>
      <c r="D258" t="s">
        <v>77</v>
      </c>
      <c r="E258">
        <v>42</v>
      </c>
      <c r="F258" t="s">
        <v>35</v>
      </c>
      <c r="G258" s="1">
        <v>43255</v>
      </c>
      <c r="H258" t="s">
        <v>36</v>
      </c>
      <c r="I258" t="s">
        <v>1</v>
      </c>
      <c r="J258">
        <v>555.4</v>
      </c>
    </row>
    <row r="259" spans="1:10" x14ac:dyDescent="0.25">
      <c r="A259" t="s">
        <v>94</v>
      </c>
      <c r="B259" t="s">
        <v>196</v>
      </c>
      <c r="C259" t="s">
        <v>175</v>
      </c>
      <c r="D259" t="s">
        <v>77</v>
      </c>
      <c r="E259">
        <v>42</v>
      </c>
      <c r="F259" t="s">
        <v>35</v>
      </c>
      <c r="G259" s="1">
        <v>43255</v>
      </c>
      <c r="H259" t="s">
        <v>36</v>
      </c>
      <c r="I259" t="s">
        <v>6</v>
      </c>
      <c r="J259">
        <v>45</v>
      </c>
    </row>
    <row r="260" spans="1:10" x14ac:dyDescent="0.25">
      <c r="A260" t="s">
        <v>94</v>
      </c>
      <c r="B260" t="s">
        <v>196</v>
      </c>
      <c r="C260" t="s">
        <v>95</v>
      </c>
      <c r="D260" t="s">
        <v>39</v>
      </c>
      <c r="E260">
        <v>9</v>
      </c>
      <c r="F260" t="s">
        <v>35</v>
      </c>
      <c r="G260" s="1">
        <v>42675</v>
      </c>
      <c r="H260" t="s">
        <v>36</v>
      </c>
      <c r="I260" t="s">
        <v>184</v>
      </c>
      <c r="J260">
        <v>2558.4699999999998</v>
      </c>
    </row>
    <row r="261" spans="1:10" x14ac:dyDescent="0.25">
      <c r="A261" t="s">
        <v>94</v>
      </c>
      <c r="B261" t="s">
        <v>196</v>
      </c>
      <c r="C261" t="s">
        <v>95</v>
      </c>
      <c r="D261" t="s">
        <v>39</v>
      </c>
      <c r="E261">
        <v>9</v>
      </c>
      <c r="F261" t="s">
        <v>35</v>
      </c>
      <c r="G261" s="1">
        <v>42675</v>
      </c>
      <c r="H261" t="s">
        <v>36</v>
      </c>
      <c r="I261" t="s">
        <v>260</v>
      </c>
      <c r="J261">
        <v>231.36</v>
      </c>
    </row>
    <row r="262" spans="1:10" x14ac:dyDescent="0.25">
      <c r="A262" t="s">
        <v>94</v>
      </c>
      <c r="B262" t="s">
        <v>196</v>
      </c>
      <c r="C262" t="s">
        <v>95</v>
      </c>
      <c r="D262" t="s">
        <v>39</v>
      </c>
      <c r="E262">
        <v>9</v>
      </c>
      <c r="F262" t="s">
        <v>35</v>
      </c>
      <c r="G262" s="1">
        <v>42675</v>
      </c>
      <c r="H262" t="s">
        <v>36</v>
      </c>
      <c r="I262" t="s">
        <v>5</v>
      </c>
      <c r="J262">
        <v>127.92</v>
      </c>
    </row>
    <row r="263" spans="1:10" x14ac:dyDescent="0.25">
      <c r="A263" t="s">
        <v>94</v>
      </c>
      <c r="B263" t="s">
        <v>196</v>
      </c>
      <c r="C263" t="s">
        <v>95</v>
      </c>
      <c r="D263" t="s">
        <v>39</v>
      </c>
      <c r="E263">
        <v>9</v>
      </c>
      <c r="F263" t="s">
        <v>35</v>
      </c>
      <c r="G263" s="1">
        <v>42675</v>
      </c>
      <c r="H263" t="s">
        <v>36</v>
      </c>
      <c r="I263" t="s">
        <v>1</v>
      </c>
      <c r="J263">
        <v>1023.39</v>
      </c>
    </row>
    <row r="264" spans="1:10" x14ac:dyDescent="0.25">
      <c r="A264" t="s">
        <v>94</v>
      </c>
      <c r="B264" t="s">
        <v>196</v>
      </c>
      <c r="C264" t="s">
        <v>95</v>
      </c>
      <c r="D264" t="s">
        <v>39</v>
      </c>
      <c r="E264">
        <v>9</v>
      </c>
      <c r="F264" t="s">
        <v>35</v>
      </c>
      <c r="G264" s="1">
        <v>42675</v>
      </c>
      <c r="H264" t="s">
        <v>36</v>
      </c>
      <c r="I264" t="s">
        <v>10</v>
      </c>
      <c r="J264">
        <v>727.2</v>
      </c>
    </row>
    <row r="265" spans="1:10" x14ac:dyDescent="0.25">
      <c r="A265" t="s">
        <v>94</v>
      </c>
      <c r="B265" t="s">
        <v>196</v>
      </c>
      <c r="C265" t="s">
        <v>176</v>
      </c>
      <c r="D265" t="s">
        <v>164</v>
      </c>
      <c r="E265">
        <v>37</v>
      </c>
      <c r="F265" t="s">
        <v>35</v>
      </c>
      <c r="G265" s="1">
        <v>43074</v>
      </c>
      <c r="H265" t="s">
        <v>36</v>
      </c>
      <c r="I265" t="s">
        <v>184</v>
      </c>
      <c r="J265">
        <v>1388.5</v>
      </c>
    </row>
    <row r="266" spans="1:10" x14ac:dyDescent="0.25">
      <c r="A266" t="s">
        <v>94</v>
      </c>
      <c r="B266" t="s">
        <v>196</v>
      </c>
      <c r="C266" t="s">
        <v>176</v>
      </c>
      <c r="D266" t="s">
        <v>164</v>
      </c>
      <c r="E266">
        <v>37</v>
      </c>
      <c r="F266" t="s">
        <v>35</v>
      </c>
      <c r="G266" s="1">
        <v>43074</v>
      </c>
      <c r="H266" t="s">
        <v>36</v>
      </c>
      <c r="I266" t="s">
        <v>1</v>
      </c>
      <c r="J266">
        <v>555.4</v>
      </c>
    </row>
    <row r="267" spans="1:10" x14ac:dyDescent="0.25">
      <c r="A267" t="s">
        <v>94</v>
      </c>
      <c r="B267" t="s">
        <v>196</v>
      </c>
      <c r="C267" t="s">
        <v>176</v>
      </c>
      <c r="D267" t="s">
        <v>164</v>
      </c>
      <c r="E267">
        <v>37</v>
      </c>
      <c r="F267" t="s">
        <v>35</v>
      </c>
      <c r="G267" s="1">
        <v>43074</v>
      </c>
      <c r="H267" t="s">
        <v>36</v>
      </c>
      <c r="I267" t="s">
        <v>260</v>
      </c>
      <c r="J267">
        <v>113.03</v>
      </c>
    </row>
    <row r="268" spans="1:10" x14ac:dyDescent="0.25">
      <c r="A268" t="s">
        <v>94</v>
      </c>
      <c r="B268" t="s">
        <v>196</v>
      </c>
      <c r="C268" t="s">
        <v>176</v>
      </c>
      <c r="D268" t="s">
        <v>164</v>
      </c>
      <c r="E268">
        <v>37</v>
      </c>
      <c r="F268" t="s">
        <v>35</v>
      </c>
      <c r="G268" s="1">
        <v>43074</v>
      </c>
      <c r="H268" t="s">
        <v>36</v>
      </c>
      <c r="I268" t="s">
        <v>5</v>
      </c>
      <c r="J268">
        <v>69.430000000000007</v>
      </c>
    </row>
    <row r="269" spans="1:10" x14ac:dyDescent="0.25">
      <c r="A269" t="s">
        <v>94</v>
      </c>
      <c r="B269" t="s">
        <v>196</v>
      </c>
      <c r="C269" t="s">
        <v>176</v>
      </c>
      <c r="D269" t="s">
        <v>164</v>
      </c>
      <c r="E269">
        <v>37</v>
      </c>
      <c r="F269" t="s">
        <v>35</v>
      </c>
      <c r="G269" s="1">
        <v>43074</v>
      </c>
      <c r="H269" t="s">
        <v>36</v>
      </c>
      <c r="I269" t="s">
        <v>6</v>
      </c>
      <c r="J269">
        <v>332.03</v>
      </c>
    </row>
    <row r="270" spans="1:10" x14ac:dyDescent="0.25">
      <c r="A270" t="s">
        <v>94</v>
      </c>
      <c r="B270" t="s">
        <v>196</v>
      </c>
      <c r="C270" t="s">
        <v>176</v>
      </c>
      <c r="D270" t="s">
        <v>164</v>
      </c>
      <c r="E270">
        <v>37</v>
      </c>
      <c r="F270" t="s">
        <v>35</v>
      </c>
      <c r="G270" s="1">
        <v>43074</v>
      </c>
      <c r="H270" t="s">
        <v>36</v>
      </c>
      <c r="I270" t="s">
        <v>2</v>
      </c>
      <c r="J270">
        <v>83.31</v>
      </c>
    </row>
    <row r="271" spans="1:10" x14ac:dyDescent="0.25">
      <c r="A271" t="s">
        <v>70</v>
      </c>
      <c r="B271" t="s">
        <v>193</v>
      </c>
      <c r="C271" t="s">
        <v>72</v>
      </c>
      <c r="D271" t="s">
        <v>73</v>
      </c>
      <c r="E271">
        <v>6</v>
      </c>
      <c r="F271" t="s">
        <v>35</v>
      </c>
      <c r="G271" s="1">
        <v>42156</v>
      </c>
      <c r="H271" t="s">
        <v>36</v>
      </c>
      <c r="I271" t="s">
        <v>184</v>
      </c>
      <c r="J271">
        <v>1240</v>
      </c>
    </row>
    <row r="272" spans="1:10" x14ac:dyDescent="0.25">
      <c r="A272" t="s">
        <v>70</v>
      </c>
      <c r="B272" t="s">
        <v>193</v>
      </c>
      <c r="C272" t="s">
        <v>72</v>
      </c>
      <c r="D272" t="s">
        <v>73</v>
      </c>
      <c r="E272">
        <v>6</v>
      </c>
      <c r="F272" t="s">
        <v>35</v>
      </c>
      <c r="G272" s="1">
        <v>42156</v>
      </c>
      <c r="H272" t="s">
        <v>36</v>
      </c>
      <c r="I272" t="s">
        <v>260</v>
      </c>
      <c r="J272">
        <v>96.76</v>
      </c>
    </row>
    <row r="273" spans="1:10" x14ac:dyDescent="0.25">
      <c r="A273" t="s">
        <v>70</v>
      </c>
      <c r="B273" t="s">
        <v>193</v>
      </c>
      <c r="C273" t="s">
        <v>72</v>
      </c>
      <c r="D273" t="s">
        <v>73</v>
      </c>
      <c r="E273">
        <v>6</v>
      </c>
      <c r="F273" t="s">
        <v>35</v>
      </c>
      <c r="G273" s="1">
        <v>42156</v>
      </c>
      <c r="H273" t="s">
        <v>36</v>
      </c>
      <c r="I273" t="s">
        <v>14</v>
      </c>
      <c r="J273">
        <v>37.200000000000003</v>
      </c>
    </row>
    <row r="274" spans="1:10" x14ac:dyDescent="0.25">
      <c r="A274" t="s">
        <v>70</v>
      </c>
      <c r="B274" t="s">
        <v>193</v>
      </c>
      <c r="C274" t="s">
        <v>72</v>
      </c>
      <c r="D274" t="s">
        <v>73</v>
      </c>
      <c r="E274">
        <v>6</v>
      </c>
      <c r="F274" t="s">
        <v>35</v>
      </c>
      <c r="G274" s="1">
        <v>42156</v>
      </c>
      <c r="H274" t="s">
        <v>36</v>
      </c>
      <c r="I274" t="s">
        <v>1</v>
      </c>
      <c r="J274">
        <v>496</v>
      </c>
    </row>
    <row r="275" spans="1:10" x14ac:dyDescent="0.25">
      <c r="A275" t="s">
        <v>70</v>
      </c>
      <c r="B275" t="s">
        <v>193</v>
      </c>
      <c r="C275" t="s">
        <v>72</v>
      </c>
      <c r="D275" t="s">
        <v>73</v>
      </c>
      <c r="E275">
        <v>6</v>
      </c>
      <c r="F275" t="s">
        <v>35</v>
      </c>
      <c r="G275" s="1">
        <v>42156</v>
      </c>
      <c r="H275" t="s">
        <v>36</v>
      </c>
      <c r="I275" t="s">
        <v>15</v>
      </c>
      <c r="J275">
        <v>8</v>
      </c>
    </row>
    <row r="276" spans="1:10" x14ac:dyDescent="0.25">
      <c r="A276" t="s">
        <v>32</v>
      </c>
      <c r="B276" t="s">
        <v>187</v>
      </c>
      <c r="C276" t="s">
        <v>152</v>
      </c>
      <c r="D276" t="s">
        <v>77</v>
      </c>
      <c r="E276">
        <v>5</v>
      </c>
      <c r="F276" t="s">
        <v>35</v>
      </c>
      <c r="G276" s="1">
        <v>42493</v>
      </c>
      <c r="H276" t="s">
        <v>36</v>
      </c>
      <c r="I276" t="s">
        <v>184</v>
      </c>
      <c r="J276">
        <v>1260.8399999999999</v>
      </c>
    </row>
    <row r="277" spans="1:10" x14ac:dyDescent="0.25">
      <c r="A277" t="s">
        <v>32</v>
      </c>
      <c r="B277" t="s">
        <v>187</v>
      </c>
      <c r="C277" t="s">
        <v>152</v>
      </c>
      <c r="D277" t="s">
        <v>77</v>
      </c>
      <c r="E277">
        <v>5</v>
      </c>
      <c r="F277" t="s">
        <v>35</v>
      </c>
      <c r="G277" s="1">
        <v>42493</v>
      </c>
      <c r="H277" t="s">
        <v>36</v>
      </c>
      <c r="I277" t="s">
        <v>17</v>
      </c>
      <c r="J277">
        <v>37.83</v>
      </c>
    </row>
    <row r="278" spans="1:10" x14ac:dyDescent="0.25">
      <c r="A278" t="s">
        <v>32</v>
      </c>
      <c r="B278" t="s">
        <v>187</v>
      </c>
      <c r="C278" t="s">
        <v>152</v>
      </c>
      <c r="D278" t="s">
        <v>77</v>
      </c>
      <c r="E278">
        <v>5</v>
      </c>
      <c r="F278" t="s">
        <v>35</v>
      </c>
      <c r="G278" s="1">
        <v>42493</v>
      </c>
      <c r="H278" t="s">
        <v>36</v>
      </c>
      <c r="I278" t="s">
        <v>1</v>
      </c>
      <c r="J278">
        <v>504.34</v>
      </c>
    </row>
    <row r="279" spans="1:10" x14ac:dyDescent="0.25">
      <c r="A279" t="s">
        <v>32</v>
      </c>
      <c r="B279" t="s">
        <v>187</v>
      </c>
      <c r="C279" t="s">
        <v>152</v>
      </c>
      <c r="D279" t="s">
        <v>77</v>
      </c>
      <c r="E279">
        <v>5</v>
      </c>
      <c r="F279" t="s">
        <v>35</v>
      </c>
      <c r="G279" s="1">
        <v>42493</v>
      </c>
      <c r="H279" t="s">
        <v>36</v>
      </c>
      <c r="I279" t="s">
        <v>7</v>
      </c>
      <c r="J279">
        <v>112.94</v>
      </c>
    </row>
    <row r="280" spans="1:10" x14ac:dyDescent="0.25">
      <c r="A280" t="s">
        <v>32</v>
      </c>
      <c r="B280" t="s">
        <v>187</v>
      </c>
      <c r="C280" t="s">
        <v>152</v>
      </c>
      <c r="D280" t="s">
        <v>77</v>
      </c>
      <c r="E280">
        <v>5</v>
      </c>
      <c r="F280" t="s">
        <v>35</v>
      </c>
      <c r="G280" s="1">
        <v>42493</v>
      </c>
      <c r="H280" t="s">
        <v>36</v>
      </c>
      <c r="I280" t="s">
        <v>260</v>
      </c>
      <c r="J280">
        <v>98.7</v>
      </c>
    </row>
    <row r="281" spans="1:10" x14ac:dyDescent="0.25">
      <c r="A281" t="s">
        <v>32</v>
      </c>
      <c r="B281" t="s">
        <v>187</v>
      </c>
      <c r="C281" t="s">
        <v>152</v>
      </c>
      <c r="D281" t="s">
        <v>77</v>
      </c>
      <c r="E281">
        <v>5</v>
      </c>
      <c r="F281" t="s">
        <v>35</v>
      </c>
      <c r="G281" s="1">
        <v>42493</v>
      </c>
      <c r="H281" t="s">
        <v>36</v>
      </c>
      <c r="I281" t="s">
        <v>289</v>
      </c>
      <c r="J281">
        <v>21.94</v>
      </c>
    </row>
    <row r="282" spans="1:10" x14ac:dyDescent="0.25">
      <c r="A282" t="s">
        <v>32</v>
      </c>
      <c r="B282" t="s">
        <v>187</v>
      </c>
      <c r="C282" t="s">
        <v>154</v>
      </c>
      <c r="D282" t="s">
        <v>56</v>
      </c>
      <c r="E282">
        <v>14</v>
      </c>
      <c r="F282" t="s">
        <v>35</v>
      </c>
      <c r="G282" s="1">
        <v>43199</v>
      </c>
      <c r="H282" t="s">
        <v>36</v>
      </c>
      <c r="I282" t="s">
        <v>184</v>
      </c>
      <c r="J282">
        <v>1302.04</v>
      </c>
    </row>
    <row r="283" spans="1:10" x14ac:dyDescent="0.25">
      <c r="A283" t="s">
        <v>32</v>
      </c>
      <c r="B283" t="s">
        <v>187</v>
      </c>
      <c r="C283" t="s">
        <v>154</v>
      </c>
      <c r="D283" t="s">
        <v>56</v>
      </c>
      <c r="E283">
        <v>14</v>
      </c>
      <c r="F283" t="s">
        <v>35</v>
      </c>
      <c r="G283" s="1">
        <v>43199</v>
      </c>
      <c r="H283" t="s">
        <v>36</v>
      </c>
      <c r="I283" t="s">
        <v>260</v>
      </c>
      <c r="J283">
        <v>110.72</v>
      </c>
    </row>
    <row r="284" spans="1:10" x14ac:dyDescent="0.25">
      <c r="A284" t="s">
        <v>32</v>
      </c>
      <c r="B284" t="s">
        <v>187</v>
      </c>
      <c r="C284" t="s">
        <v>154</v>
      </c>
      <c r="D284" t="s">
        <v>56</v>
      </c>
      <c r="E284">
        <v>14</v>
      </c>
      <c r="F284" t="s">
        <v>35</v>
      </c>
      <c r="G284" s="1">
        <v>43199</v>
      </c>
      <c r="H284" t="s">
        <v>36</v>
      </c>
      <c r="I284" t="s">
        <v>16</v>
      </c>
      <c r="J284">
        <v>91.14</v>
      </c>
    </row>
    <row r="285" spans="1:10" x14ac:dyDescent="0.25">
      <c r="A285" t="s">
        <v>32</v>
      </c>
      <c r="B285" t="s">
        <v>187</v>
      </c>
      <c r="C285" t="s">
        <v>154</v>
      </c>
      <c r="D285" t="s">
        <v>56</v>
      </c>
      <c r="E285">
        <v>14</v>
      </c>
      <c r="F285" t="s">
        <v>35</v>
      </c>
      <c r="G285" s="1">
        <v>43199</v>
      </c>
      <c r="H285" t="s">
        <v>36</v>
      </c>
      <c r="I285" t="s">
        <v>1</v>
      </c>
      <c r="J285">
        <v>520.82000000000005</v>
      </c>
    </row>
    <row r="286" spans="1:10" x14ac:dyDescent="0.25">
      <c r="A286" t="s">
        <v>32</v>
      </c>
      <c r="B286" t="s">
        <v>187</v>
      </c>
      <c r="C286" t="s">
        <v>154</v>
      </c>
      <c r="D286" t="s">
        <v>56</v>
      </c>
      <c r="E286">
        <v>14</v>
      </c>
      <c r="F286" t="s">
        <v>35</v>
      </c>
      <c r="G286" s="1">
        <v>43199</v>
      </c>
      <c r="H286" t="s">
        <v>36</v>
      </c>
      <c r="I286" t="s">
        <v>17</v>
      </c>
      <c r="J286">
        <v>39.06</v>
      </c>
    </row>
    <row r="287" spans="1:10" x14ac:dyDescent="0.25">
      <c r="A287" t="s">
        <v>32</v>
      </c>
      <c r="B287" t="s">
        <v>187</v>
      </c>
      <c r="C287" t="s">
        <v>154</v>
      </c>
      <c r="D287" t="s">
        <v>56</v>
      </c>
      <c r="E287">
        <v>14</v>
      </c>
      <c r="F287" t="s">
        <v>35</v>
      </c>
      <c r="G287" s="1">
        <v>43199</v>
      </c>
      <c r="H287" t="s">
        <v>36</v>
      </c>
      <c r="I287" t="s">
        <v>200</v>
      </c>
      <c r="J287">
        <v>182.78</v>
      </c>
    </row>
    <row r="288" spans="1:10" x14ac:dyDescent="0.25">
      <c r="A288" t="s">
        <v>32</v>
      </c>
      <c r="B288" t="s">
        <v>187</v>
      </c>
      <c r="C288" t="s">
        <v>38</v>
      </c>
      <c r="D288" t="s">
        <v>39</v>
      </c>
      <c r="E288">
        <v>27</v>
      </c>
      <c r="F288" t="s">
        <v>35</v>
      </c>
      <c r="G288" s="1">
        <v>44470</v>
      </c>
      <c r="H288" t="s">
        <v>36</v>
      </c>
      <c r="I288" t="s">
        <v>184</v>
      </c>
      <c r="J288">
        <v>2168</v>
      </c>
    </row>
    <row r="289" spans="1:10" x14ac:dyDescent="0.25">
      <c r="A289" t="s">
        <v>32</v>
      </c>
      <c r="B289" t="s">
        <v>187</v>
      </c>
      <c r="C289" t="s">
        <v>38</v>
      </c>
      <c r="D289" t="s">
        <v>39</v>
      </c>
      <c r="E289">
        <v>27</v>
      </c>
      <c r="F289" t="s">
        <v>35</v>
      </c>
      <c r="G289" s="1">
        <v>44470</v>
      </c>
      <c r="H289" t="s">
        <v>36</v>
      </c>
      <c r="I289" t="s">
        <v>1</v>
      </c>
      <c r="J289">
        <v>867.2</v>
      </c>
    </row>
    <row r="290" spans="1:10" x14ac:dyDescent="0.25">
      <c r="A290" t="s">
        <v>32</v>
      </c>
      <c r="B290" t="s">
        <v>187</v>
      </c>
      <c r="C290" t="s">
        <v>38</v>
      </c>
      <c r="D290" t="s">
        <v>39</v>
      </c>
      <c r="E290">
        <v>27</v>
      </c>
      <c r="F290" t="s">
        <v>35</v>
      </c>
      <c r="G290" s="1">
        <v>44470</v>
      </c>
      <c r="H290" t="s">
        <v>36</v>
      </c>
      <c r="I290" t="s">
        <v>260</v>
      </c>
      <c r="J290">
        <v>176.94</v>
      </c>
    </row>
    <row r="291" spans="1:10" x14ac:dyDescent="0.25">
      <c r="A291" t="s">
        <v>32</v>
      </c>
      <c r="B291" t="s">
        <v>187</v>
      </c>
      <c r="C291" t="s">
        <v>38</v>
      </c>
      <c r="D291" t="s">
        <v>39</v>
      </c>
      <c r="E291">
        <v>27</v>
      </c>
      <c r="F291" t="s">
        <v>35</v>
      </c>
      <c r="G291" s="1">
        <v>44470</v>
      </c>
      <c r="H291" t="s">
        <v>36</v>
      </c>
      <c r="I291" t="s">
        <v>200</v>
      </c>
      <c r="J291">
        <v>681.25</v>
      </c>
    </row>
    <row r="292" spans="1:10" x14ac:dyDescent="0.25">
      <c r="A292" t="s">
        <v>32</v>
      </c>
      <c r="B292" t="s">
        <v>187</v>
      </c>
      <c r="C292" t="s">
        <v>38</v>
      </c>
      <c r="D292" t="s">
        <v>39</v>
      </c>
      <c r="E292">
        <v>27</v>
      </c>
      <c r="F292" t="s">
        <v>35</v>
      </c>
      <c r="G292" s="1">
        <v>44470</v>
      </c>
      <c r="H292" t="s">
        <v>36</v>
      </c>
      <c r="I292" t="s">
        <v>289</v>
      </c>
      <c r="J292">
        <v>21.94</v>
      </c>
    </row>
    <row r="293" spans="1:10" x14ac:dyDescent="0.25">
      <c r="A293" t="s">
        <v>54</v>
      </c>
      <c r="B293" t="s">
        <v>190</v>
      </c>
      <c r="C293" t="s">
        <v>55</v>
      </c>
      <c r="D293" t="s">
        <v>56</v>
      </c>
      <c r="E293">
        <v>29</v>
      </c>
      <c r="F293" t="s">
        <v>35</v>
      </c>
      <c r="G293" s="1">
        <v>44117</v>
      </c>
      <c r="H293" t="s">
        <v>36</v>
      </c>
      <c r="I293" t="s">
        <v>184</v>
      </c>
      <c r="J293">
        <v>1388.5</v>
      </c>
    </row>
    <row r="294" spans="1:10" x14ac:dyDescent="0.25">
      <c r="A294" t="s">
        <v>54</v>
      </c>
      <c r="B294" t="s">
        <v>190</v>
      </c>
      <c r="C294" t="s">
        <v>55</v>
      </c>
      <c r="D294" t="s">
        <v>56</v>
      </c>
      <c r="E294">
        <v>29</v>
      </c>
      <c r="F294" t="s">
        <v>35</v>
      </c>
      <c r="G294" s="1">
        <v>44117</v>
      </c>
      <c r="H294" t="s">
        <v>36</v>
      </c>
      <c r="I294" t="s">
        <v>7</v>
      </c>
      <c r="J294">
        <v>56.47</v>
      </c>
    </row>
    <row r="295" spans="1:10" x14ac:dyDescent="0.25">
      <c r="A295" t="s">
        <v>54</v>
      </c>
      <c r="B295" t="s">
        <v>190</v>
      </c>
      <c r="C295" t="s">
        <v>55</v>
      </c>
      <c r="D295" t="s">
        <v>56</v>
      </c>
      <c r="E295">
        <v>29</v>
      </c>
      <c r="F295" t="s">
        <v>35</v>
      </c>
      <c r="G295" s="1">
        <v>44117</v>
      </c>
      <c r="H295" t="s">
        <v>36</v>
      </c>
      <c r="I295" t="s">
        <v>260</v>
      </c>
      <c r="J295">
        <v>113.03</v>
      </c>
    </row>
    <row r="296" spans="1:10" x14ac:dyDescent="0.25">
      <c r="A296" t="s">
        <v>54</v>
      </c>
      <c r="B296" t="s">
        <v>190</v>
      </c>
      <c r="C296" t="s">
        <v>55</v>
      </c>
      <c r="D296" t="s">
        <v>56</v>
      </c>
      <c r="E296">
        <v>29</v>
      </c>
      <c r="F296" t="s">
        <v>35</v>
      </c>
      <c r="G296" s="1">
        <v>44117</v>
      </c>
      <c r="H296" t="s">
        <v>36</v>
      </c>
      <c r="I296" t="s">
        <v>3</v>
      </c>
      <c r="J296">
        <v>69.430000000000007</v>
      </c>
    </row>
    <row r="297" spans="1:10" x14ac:dyDescent="0.25">
      <c r="A297" t="s">
        <v>54</v>
      </c>
      <c r="B297" t="s">
        <v>190</v>
      </c>
      <c r="C297" t="s">
        <v>55</v>
      </c>
      <c r="D297" t="s">
        <v>56</v>
      </c>
      <c r="E297">
        <v>29</v>
      </c>
      <c r="F297" t="s">
        <v>35</v>
      </c>
      <c r="G297" s="1">
        <v>44117</v>
      </c>
      <c r="H297" t="s">
        <v>36</v>
      </c>
      <c r="I297" t="s">
        <v>1</v>
      </c>
      <c r="J297">
        <v>555.4</v>
      </c>
    </row>
    <row r="298" spans="1:10" x14ac:dyDescent="0.25">
      <c r="A298" t="s">
        <v>54</v>
      </c>
      <c r="B298" t="s">
        <v>190</v>
      </c>
      <c r="C298" t="s">
        <v>55</v>
      </c>
      <c r="D298" t="s">
        <v>56</v>
      </c>
      <c r="E298">
        <v>29</v>
      </c>
      <c r="F298" t="s">
        <v>35</v>
      </c>
      <c r="G298" s="1">
        <v>44117</v>
      </c>
      <c r="H298" t="s">
        <v>36</v>
      </c>
      <c r="I298" t="s">
        <v>2</v>
      </c>
      <c r="J298">
        <v>83.31</v>
      </c>
    </row>
    <row r="299" spans="1:10" x14ac:dyDescent="0.25">
      <c r="A299" t="s">
        <v>59</v>
      </c>
      <c r="B299" t="s">
        <v>191</v>
      </c>
      <c r="C299" t="s">
        <v>60</v>
      </c>
      <c r="D299" t="s">
        <v>56</v>
      </c>
      <c r="E299">
        <v>6</v>
      </c>
      <c r="F299" t="s">
        <v>35</v>
      </c>
      <c r="G299" s="1">
        <v>42935</v>
      </c>
      <c r="H299" t="s">
        <v>36</v>
      </c>
      <c r="I299" t="s">
        <v>184</v>
      </c>
      <c r="J299">
        <v>1352.86</v>
      </c>
    </row>
    <row r="300" spans="1:10" x14ac:dyDescent="0.25">
      <c r="A300" t="s">
        <v>59</v>
      </c>
      <c r="B300" t="s">
        <v>191</v>
      </c>
      <c r="C300" t="s">
        <v>60</v>
      </c>
      <c r="D300" t="s">
        <v>56</v>
      </c>
      <c r="E300">
        <v>6</v>
      </c>
      <c r="F300" t="s">
        <v>35</v>
      </c>
      <c r="G300" s="1">
        <v>42935</v>
      </c>
      <c r="H300" t="s">
        <v>36</v>
      </c>
      <c r="I300" t="s">
        <v>22</v>
      </c>
      <c r="J300">
        <v>167.21</v>
      </c>
    </row>
    <row r="301" spans="1:10" x14ac:dyDescent="0.25">
      <c r="A301" t="s">
        <v>59</v>
      </c>
      <c r="B301" t="s">
        <v>191</v>
      </c>
      <c r="C301" t="s">
        <v>60</v>
      </c>
      <c r="D301" t="s">
        <v>56</v>
      </c>
      <c r="E301">
        <v>6</v>
      </c>
      <c r="F301" t="s">
        <v>35</v>
      </c>
      <c r="G301" s="1">
        <v>42935</v>
      </c>
      <c r="H301" t="s">
        <v>36</v>
      </c>
      <c r="I301" t="s">
        <v>1</v>
      </c>
      <c r="J301">
        <v>541.14</v>
      </c>
    </row>
    <row r="302" spans="1:10" x14ac:dyDescent="0.25">
      <c r="A302" t="s">
        <v>59</v>
      </c>
      <c r="B302" t="s">
        <v>191</v>
      </c>
      <c r="C302" t="s">
        <v>60</v>
      </c>
      <c r="D302" t="s">
        <v>56</v>
      </c>
      <c r="E302">
        <v>6</v>
      </c>
      <c r="F302" t="s">
        <v>35</v>
      </c>
      <c r="G302" s="1">
        <v>42935</v>
      </c>
      <c r="H302" t="s">
        <v>36</v>
      </c>
      <c r="I302" t="s">
        <v>21</v>
      </c>
      <c r="J302">
        <v>40.590000000000003</v>
      </c>
    </row>
    <row r="303" spans="1:10" x14ac:dyDescent="0.25">
      <c r="A303" t="s">
        <v>59</v>
      </c>
      <c r="B303" t="s">
        <v>191</v>
      </c>
      <c r="C303" t="s">
        <v>60</v>
      </c>
      <c r="D303" t="s">
        <v>56</v>
      </c>
      <c r="E303">
        <v>6</v>
      </c>
      <c r="F303" t="s">
        <v>35</v>
      </c>
      <c r="G303" s="1">
        <v>42935</v>
      </c>
      <c r="H303" t="s">
        <v>36</v>
      </c>
      <c r="I303" t="s">
        <v>6</v>
      </c>
      <c r="J303">
        <v>100</v>
      </c>
    </row>
    <row r="304" spans="1:10" x14ac:dyDescent="0.25">
      <c r="A304" t="s">
        <v>59</v>
      </c>
      <c r="B304" t="s">
        <v>191</v>
      </c>
      <c r="C304" t="s">
        <v>60</v>
      </c>
      <c r="D304" t="s">
        <v>56</v>
      </c>
      <c r="E304">
        <v>6</v>
      </c>
      <c r="F304" t="s">
        <v>35</v>
      </c>
      <c r="G304" s="1">
        <v>42935</v>
      </c>
      <c r="H304" t="s">
        <v>36</v>
      </c>
      <c r="I304" t="s">
        <v>7</v>
      </c>
      <c r="J304">
        <v>56.47</v>
      </c>
    </row>
    <row r="305" spans="1:10" x14ac:dyDescent="0.25">
      <c r="A305" t="s">
        <v>59</v>
      </c>
      <c r="B305" t="s">
        <v>191</v>
      </c>
      <c r="C305" t="s">
        <v>60</v>
      </c>
      <c r="D305" t="s">
        <v>56</v>
      </c>
      <c r="E305">
        <v>6</v>
      </c>
      <c r="F305" t="s">
        <v>35</v>
      </c>
      <c r="G305" s="1">
        <v>42935</v>
      </c>
      <c r="H305" t="s">
        <v>36</v>
      </c>
      <c r="I305" t="s">
        <v>260</v>
      </c>
      <c r="J305">
        <v>122.27</v>
      </c>
    </row>
    <row r="306" spans="1:10" x14ac:dyDescent="0.25">
      <c r="A306" t="s">
        <v>59</v>
      </c>
      <c r="B306" t="s">
        <v>191</v>
      </c>
      <c r="C306" t="s">
        <v>60</v>
      </c>
      <c r="D306" t="s">
        <v>56</v>
      </c>
      <c r="E306">
        <v>6</v>
      </c>
      <c r="F306" t="s">
        <v>35</v>
      </c>
      <c r="G306" s="1">
        <v>42935</v>
      </c>
      <c r="H306" t="s">
        <v>36</v>
      </c>
      <c r="I306" t="s">
        <v>20</v>
      </c>
      <c r="J306">
        <v>16.600000000000001</v>
      </c>
    </row>
    <row r="307" spans="1:10" x14ac:dyDescent="0.25">
      <c r="A307" t="s">
        <v>59</v>
      </c>
      <c r="B307" t="s">
        <v>191</v>
      </c>
      <c r="C307" t="s">
        <v>61</v>
      </c>
      <c r="D307" t="s">
        <v>56</v>
      </c>
      <c r="E307">
        <v>26</v>
      </c>
      <c r="F307" t="s">
        <v>35</v>
      </c>
      <c r="G307" s="1">
        <v>43811</v>
      </c>
      <c r="H307" t="s">
        <v>36</v>
      </c>
      <c r="I307" t="s">
        <v>184</v>
      </c>
      <c r="J307">
        <v>1352.86</v>
      </c>
    </row>
    <row r="308" spans="1:10" x14ac:dyDescent="0.25">
      <c r="A308" t="s">
        <v>59</v>
      </c>
      <c r="B308" t="s">
        <v>191</v>
      </c>
      <c r="C308" t="s">
        <v>61</v>
      </c>
      <c r="D308" t="s">
        <v>56</v>
      </c>
      <c r="E308">
        <v>26</v>
      </c>
      <c r="F308" t="s">
        <v>35</v>
      </c>
      <c r="G308" s="1">
        <v>43811</v>
      </c>
      <c r="H308" t="s">
        <v>36</v>
      </c>
      <c r="I308" t="s">
        <v>22</v>
      </c>
      <c r="J308">
        <v>162.34</v>
      </c>
    </row>
    <row r="309" spans="1:10" x14ac:dyDescent="0.25">
      <c r="A309" t="s">
        <v>59</v>
      </c>
      <c r="B309" t="s">
        <v>191</v>
      </c>
      <c r="C309" t="s">
        <v>61</v>
      </c>
      <c r="D309" t="s">
        <v>56</v>
      </c>
      <c r="E309">
        <v>26</v>
      </c>
      <c r="F309" t="s">
        <v>35</v>
      </c>
      <c r="G309" s="1">
        <v>43811</v>
      </c>
      <c r="H309" t="s">
        <v>36</v>
      </c>
      <c r="I309" t="s">
        <v>1</v>
      </c>
      <c r="J309">
        <v>541.14</v>
      </c>
    </row>
    <row r="310" spans="1:10" x14ac:dyDescent="0.25">
      <c r="A310" t="s">
        <v>59</v>
      </c>
      <c r="B310" t="s">
        <v>191</v>
      </c>
      <c r="C310" t="s">
        <v>61</v>
      </c>
      <c r="D310" t="s">
        <v>56</v>
      </c>
      <c r="E310">
        <v>26</v>
      </c>
      <c r="F310" t="s">
        <v>35</v>
      </c>
      <c r="G310" s="1">
        <v>43811</v>
      </c>
      <c r="H310" t="s">
        <v>36</v>
      </c>
      <c r="I310" t="s">
        <v>7</v>
      </c>
      <c r="J310">
        <v>56.47</v>
      </c>
    </row>
    <row r="311" spans="1:10" x14ac:dyDescent="0.25">
      <c r="A311" t="s">
        <v>59</v>
      </c>
      <c r="B311" t="s">
        <v>191</v>
      </c>
      <c r="C311" t="s">
        <v>61</v>
      </c>
      <c r="D311" t="s">
        <v>56</v>
      </c>
      <c r="E311">
        <v>26</v>
      </c>
      <c r="F311" t="s">
        <v>35</v>
      </c>
      <c r="G311" s="1">
        <v>43811</v>
      </c>
      <c r="H311" t="s">
        <v>36</v>
      </c>
      <c r="I311" t="s">
        <v>260</v>
      </c>
      <c r="J311">
        <v>118.18</v>
      </c>
    </row>
    <row r="312" spans="1:10" x14ac:dyDescent="0.25">
      <c r="A312" t="s">
        <v>59</v>
      </c>
      <c r="B312" t="s">
        <v>191</v>
      </c>
      <c r="C312" t="s">
        <v>61</v>
      </c>
      <c r="D312" t="s">
        <v>56</v>
      </c>
      <c r="E312">
        <v>26</v>
      </c>
      <c r="F312" t="s">
        <v>35</v>
      </c>
      <c r="G312" s="1">
        <v>43811</v>
      </c>
      <c r="H312" t="s">
        <v>36</v>
      </c>
      <c r="I312" t="s">
        <v>20</v>
      </c>
      <c r="J312">
        <v>16.600000000000001</v>
      </c>
    </row>
    <row r="313" spans="1:10" x14ac:dyDescent="0.25">
      <c r="A313" t="s">
        <v>40</v>
      </c>
      <c r="B313" t="s">
        <v>188</v>
      </c>
      <c r="C313" t="s">
        <v>161</v>
      </c>
      <c r="D313" t="s">
        <v>39</v>
      </c>
      <c r="E313">
        <v>9</v>
      </c>
      <c r="F313" t="s">
        <v>35</v>
      </c>
      <c r="G313" s="1">
        <v>43437</v>
      </c>
      <c r="H313" t="s">
        <v>36</v>
      </c>
      <c r="I313" t="s">
        <v>184</v>
      </c>
      <c r="J313">
        <v>2264.81</v>
      </c>
    </row>
    <row r="314" spans="1:10" x14ac:dyDescent="0.25">
      <c r="A314" t="s">
        <v>40</v>
      </c>
      <c r="B314" t="s">
        <v>188</v>
      </c>
      <c r="C314" t="s">
        <v>161</v>
      </c>
      <c r="D314" t="s">
        <v>39</v>
      </c>
      <c r="E314">
        <v>9</v>
      </c>
      <c r="F314" t="s">
        <v>35</v>
      </c>
      <c r="G314" s="1">
        <v>43437</v>
      </c>
      <c r="H314" t="s">
        <v>36</v>
      </c>
      <c r="I314" t="s">
        <v>260</v>
      </c>
      <c r="J314">
        <v>191.76</v>
      </c>
    </row>
    <row r="315" spans="1:10" x14ac:dyDescent="0.25">
      <c r="A315" t="s">
        <v>40</v>
      </c>
      <c r="B315" t="s">
        <v>188</v>
      </c>
      <c r="C315" t="s">
        <v>161</v>
      </c>
      <c r="D315" t="s">
        <v>39</v>
      </c>
      <c r="E315">
        <v>9</v>
      </c>
      <c r="F315" t="s">
        <v>35</v>
      </c>
      <c r="G315" s="1">
        <v>43437</v>
      </c>
      <c r="H315" t="s">
        <v>36</v>
      </c>
      <c r="I315" t="s">
        <v>5</v>
      </c>
      <c r="J315">
        <v>67.94</v>
      </c>
    </row>
    <row r="316" spans="1:10" x14ac:dyDescent="0.25">
      <c r="A316" t="s">
        <v>40</v>
      </c>
      <c r="B316" t="s">
        <v>188</v>
      </c>
      <c r="C316" t="s">
        <v>161</v>
      </c>
      <c r="D316" t="s">
        <v>39</v>
      </c>
      <c r="E316">
        <v>9</v>
      </c>
      <c r="F316" t="s">
        <v>35</v>
      </c>
      <c r="G316" s="1">
        <v>43437</v>
      </c>
      <c r="H316" t="s">
        <v>36</v>
      </c>
      <c r="I316" t="s">
        <v>1</v>
      </c>
      <c r="J316">
        <v>905.92</v>
      </c>
    </row>
    <row r="317" spans="1:10" x14ac:dyDescent="0.25">
      <c r="A317" t="s">
        <v>40</v>
      </c>
      <c r="B317" t="s">
        <v>188</v>
      </c>
      <c r="C317" t="s">
        <v>161</v>
      </c>
      <c r="D317" t="s">
        <v>39</v>
      </c>
      <c r="E317">
        <v>9</v>
      </c>
      <c r="F317" t="s">
        <v>35</v>
      </c>
      <c r="G317" s="1">
        <v>43437</v>
      </c>
      <c r="H317" t="s">
        <v>36</v>
      </c>
      <c r="I317" t="s">
        <v>200</v>
      </c>
      <c r="J317">
        <v>162.33000000000001</v>
      </c>
    </row>
    <row r="318" spans="1:10" x14ac:dyDescent="0.25">
      <c r="A318" t="s">
        <v>40</v>
      </c>
      <c r="B318" t="s">
        <v>188</v>
      </c>
      <c r="C318" t="s">
        <v>265</v>
      </c>
      <c r="D318" t="s">
        <v>46</v>
      </c>
      <c r="E318">
        <v>20</v>
      </c>
      <c r="F318" t="s">
        <v>35</v>
      </c>
      <c r="G318" s="1">
        <v>44683</v>
      </c>
      <c r="H318" t="s">
        <v>36</v>
      </c>
      <c r="I318" t="s">
        <v>184</v>
      </c>
      <c r="J318">
        <v>1212</v>
      </c>
    </row>
    <row r="319" spans="1:10" x14ac:dyDescent="0.25">
      <c r="A319" t="s">
        <v>40</v>
      </c>
      <c r="B319" t="s">
        <v>188</v>
      </c>
      <c r="C319" t="s">
        <v>265</v>
      </c>
      <c r="D319" t="s">
        <v>46</v>
      </c>
      <c r="E319">
        <v>20</v>
      </c>
      <c r="F319" t="s">
        <v>35</v>
      </c>
      <c r="G319" s="1">
        <v>44683</v>
      </c>
      <c r="H319" t="s">
        <v>36</v>
      </c>
      <c r="I319" t="s">
        <v>16</v>
      </c>
      <c r="J319">
        <v>121.2</v>
      </c>
    </row>
    <row r="320" spans="1:10" x14ac:dyDescent="0.25">
      <c r="A320" t="s">
        <v>40</v>
      </c>
      <c r="B320" t="s">
        <v>188</v>
      </c>
      <c r="C320" t="s">
        <v>265</v>
      </c>
      <c r="D320" t="s">
        <v>46</v>
      </c>
      <c r="E320">
        <v>20</v>
      </c>
      <c r="F320" t="s">
        <v>35</v>
      </c>
      <c r="G320" s="1">
        <v>44683</v>
      </c>
      <c r="H320" t="s">
        <v>36</v>
      </c>
      <c r="I320" t="s">
        <v>260</v>
      </c>
      <c r="J320">
        <v>101.8</v>
      </c>
    </row>
    <row r="321" spans="1:10" x14ac:dyDescent="0.25">
      <c r="A321" t="s">
        <v>40</v>
      </c>
      <c r="B321" t="s">
        <v>188</v>
      </c>
      <c r="C321" t="s">
        <v>265</v>
      </c>
      <c r="D321" t="s">
        <v>46</v>
      </c>
      <c r="E321">
        <v>20</v>
      </c>
      <c r="F321" t="s">
        <v>35</v>
      </c>
      <c r="G321" s="1">
        <v>44683</v>
      </c>
      <c r="H321" t="s">
        <v>36</v>
      </c>
      <c r="I321" t="s">
        <v>1</v>
      </c>
      <c r="J321">
        <v>484.8</v>
      </c>
    </row>
    <row r="322" spans="1:10" x14ac:dyDescent="0.25">
      <c r="A322" t="s">
        <v>40</v>
      </c>
      <c r="B322" t="s">
        <v>188</v>
      </c>
      <c r="C322" t="s">
        <v>266</v>
      </c>
      <c r="D322" t="s">
        <v>41</v>
      </c>
      <c r="E322">
        <v>18</v>
      </c>
      <c r="F322" t="s">
        <v>35</v>
      </c>
      <c r="G322" s="1">
        <v>44683</v>
      </c>
      <c r="H322" t="s">
        <v>36</v>
      </c>
      <c r="I322" t="s">
        <v>184</v>
      </c>
      <c r="J322">
        <v>1212</v>
      </c>
    </row>
    <row r="323" spans="1:10" x14ac:dyDescent="0.25">
      <c r="A323" t="s">
        <v>40</v>
      </c>
      <c r="B323" t="s">
        <v>188</v>
      </c>
      <c r="C323" t="s">
        <v>266</v>
      </c>
      <c r="D323" t="s">
        <v>41</v>
      </c>
      <c r="E323">
        <v>18</v>
      </c>
      <c r="F323" t="s">
        <v>35</v>
      </c>
      <c r="G323" s="1">
        <v>44683</v>
      </c>
      <c r="H323" t="s">
        <v>36</v>
      </c>
      <c r="I323" t="s">
        <v>260</v>
      </c>
      <c r="J323">
        <v>90.9</v>
      </c>
    </row>
    <row r="324" spans="1:10" x14ac:dyDescent="0.25">
      <c r="A324" t="s">
        <v>40</v>
      </c>
      <c r="B324" t="s">
        <v>188</v>
      </c>
      <c r="C324" t="s">
        <v>266</v>
      </c>
      <c r="D324" t="s">
        <v>41</v>
      </c>
      <c r="E324">
        <v>18</v>
      </c>
      <c r="F324" t="s">
        <v>35</v>
      </c>
      <c r="G324" s="1">
        <v>44683</v>
      </c>
      <c r="H324" t="s">
        <v>36</v>
      </c>
      <c r="I324" t="s">
        <v>1</v>
      </c>
      <c r="J324">
        <v>484.8</v>
      </c>
    </row>
    <row r="325" spans="1:10" x14ac:dyDescent="0.25">
      <c r="A325" t="s">
        <v>40</v>
      </c>
      <c r="B325" t="s">
        <v>188</v>
      </c>
      <c r="C325" t="s">
        <v>267</v>
      </c>
      <c r="D325" t="s">
        <v>34</v>
      </c>
      <c r="E325">
        <v>17</v>
      </c>
      <c r="F325" t="s">
        <v>35</v>
      </c>
      <c r="G325" s="1">
        <v>44652</v>
      </c>
      <c r="H325" t="s">
        <v>36</v>
      </c>
      <c r="I325" t="s">
        <v>184</v>
      </c>
      <c r="J325">
        <v>1212</v>
      </c>
    </row>
    <row r="326" spans="1:10" x14ac:dyDescent="0.25">
      <c r="A326" t="s">
        <v>40</v>
      </c>
      <c r="B326" t="s">
        <v>188</v>
      </c>
      <c r="C326" t="s">
        <v>267</v>
      </c>
      <c r="D326" t="s">
        <v>34</v>
      </c>
      <c r="E326">
        <v>17</v>
      </c>
      <c r="F326" t="s">
        <v>35</v>
      </c>
      <c r="G326" s="1">
        <v>44652</v>
      </c>
      <c r="H326" t="s">
        <v>36</v>
      </c>
      <c r="I326" t="s">
        <v>1</v>
      </c>
      <c r="J326">
        <v>484.8</v>
      </c>
    </row>
    <row r="327" spans="1:10" x14ac:dyDescent="0.25">
      <c r="A327" t="s">
        <v>40</v>
      </c>
      <c r="B327" t="s">
        <v>188</v>
      </c>
      <c r="C327" t="s">
        <v>267</v>
      </c>
      <c r="D327" t="s">
        <v>34</v>
      </c>
      <c r="E327">
        <v>17</v>
      </c>
      <c r="F327" t="s">
        <v>35</v>
      </c>
      <c r="G327" s="1">
        <v>44652</v>
      </c>
      <c r="H327" t="s">
        <v>36</v>
      </c>
      <c r="I327" t="s">
        <v>260</v>
      </c>
      <c r="J327">
        <v>90.9</v>
      </c>
    </row>
    <row r="328" spans="1:10" x14ac:dyDescent="0.25">
      <c r="A328" t="s">
        <v>40</v>
      </c>
      <c r="B328" t="s">
        <v>188</v>
      </c>
      <c r="C328" t="s">
        <v>267</v>
      </c>
      <c r="D328" t="s">
        <v>34</v>
      </c>
      <c r="E328">
        <v>17</v>
      </c>
      <c r="F328" t="s">
        <v>35</v>
      </c>
      <c r="G328" s="1">
        <v>44652</v>
      </c>
      <c r="H328" t="s">
        <v>36</v>
      </c>
      <c r="I328" t="s">
        <v>200</v>
      </c>
      <c r="J328">
        <v>453.95</v>
      </c>
    </row>
    <row r="329" spans="1:10" x14ac:dyDescent="0.25">
      <c r="A329" t="s">
        <v>256</v>
      </c>
      <c r="B329" t="s">
        <v>257</v>
      </c>
      <c r="C329" t="s">
        <v>167</v>
      </c>
      <c r="D329" t="s">
        <v>258</v>
      </c>
      <c r="E329">
        <v>11</v>
      </c>
      <c r="F329" t="s">
        <v>35</v>
      </c>
      <c r="G329" s="1">
        <v>43224</v>
      </c>
      <c r="H329" t="s">
        <v>36</v>
      </c>
      <c r="I329" t="s">
        <v>184</v>
      </c>
      <c r="J329">
        <v>1297</v>
      </c>
    </row>
    <row r="330" spans="1:10" x14ac:dyDescent="0.25">
      <c r="A330" t="s">
        <v>256</v>
      </c>
      <c r="B330" t="s">
        <v>257</v>
      </c>
      <c r="C330" t="s">
        <v>167</v>
      </c>
      <c r="D330" t="s">
        <v>258</v>
      </c>
      <c r="E330">
        <v>11</v>
      </c>
      <c r="F330" t="s">
        <v>35</v>
      </c>
      <c r="G330" s="1">
        <v>43224</v>
      </c>
      <c r="H330" t="s">
        <v>36</v>
      </c>
      <c r="I330" t="s">
        <v>260</v>
      </c>
      <c r="J330">
        <v>102.05</v>
      </c>
    </row>
    <row r="331" spans="1:10" x14ac:dyDescent="0.25">
      <c r="A331" t="s">
        <v>256</v>
      </c>
      <c r="B331" t="s">
        <v>257</v>
      </c>
      <c r="C331" t="s">
        <v>167</v>
      </c>
      <c r="D331" t="s">
        <v>258</v>
      </c>
      <c r="E331">
        <v>11</v>
      </c>
      <c r="F331" t="s">
        <v>35</v>
      </c>
      <c r="G331" s="1">
        <v>43224</v>
      </c>
      <c r="H331" t="s">
        <v>36</v>
      </c>
      <c r="I331" t="s">
        <v>21</v>
      </c>
      <c r="J331">
        <v>38.909999999999997</v>
      </c>
    </row>
    <row r="332" spans="1:10" x14ac:dyDescent="0.25">
      <c r="A332" t="s">
        <v>256</v>
      </c>
      <c r="B332" t="s">
        <v>257</v>
      </c>
      <c r="C332" t="s">
        <v>167</v>
      </c>
      <c r="D332" t="s">
        <v>258</v>
      </c>
      <c r="E332">
        <v>11</v>
      </c>
      <c r="F332" t="s">
        <v>35</v>
      </c>
      <c r="G332" s="1">
        <v>43224</v>
      </c>
      <c r="H332" t="s">
        <v>36</v>
      </c>
      <c r="I332" t="s">
        <v>1</v>
      </c>
      <c r="J332">
        <v>518.79999999999995</v>
      </c>
    </row>
    <row r="333" spans="1:10" x14ac:dyDescent="0.25">
      <c r="A333" t="s">
        <v>256</v>
      </c>
      <c r="B333" t="s">
        <v>257</v>
      </c>
      <c r="C333" t="s">
        <v>167</v>
      </c>
      <c r="D333" t="s">
        <v>258</v>
      </c>
      <c r="E333">
        <v>11</v>
      </c>
      <c r="F333" t="s">
        <v>35</v>
      </c>
      <c r="G333" s="1">
        <v>43224</v>
      </c>
      <c r="H333" t="s">
        <v>36</v>
      </c>
      <c r="I333" t="s">
        <v>200</v>
      </c>
      <c r="J333">
        <v>118.71</v>
      </c>
    </row>
    <row r="334" spans="1:10" x14ac:dyDescent="0.25">
      <c r="A334" t="s">
        <v>256</v>
      </c>
      <c r="B334" t="s">
        <v>257</v>
      </c>
      <c r="C334" t="s">
        <v>241</v>
      </c>
      <c r="D334" t="s">
        <v>258</v>
      </c>
      <c r="E334">
        <v>48</v>
      </c>
      <c r="F334" t="s">
        <v>35</v>
      </c>
      <c r="G334" s="1">
        <v>44692</v>
      </c>
      <c r="H334" t="s">
        <v>36</v>
      </c>
      <c r="I334" t="s">
        <v>184</v>
      </c>
      <c r="J334">
        <v>1297</v>
      </c>
    </row>
    <row r="335" spans="1:10" x14ac:dyDescent="0.25">
      <c r="A335" t="s">
        <v>256</v>
      </c>
      <c r="B335" t="s">
        <v>257</v>
      </c>
      <c r="C335" t="s">
        <v>241</v>
      </c>
      <c r="D335" t="s">
        <v>258</v>
      </c>
      <c r="E335">
        <v>48</v>
      </c>
      <c r="F335" t="s">
        <v>35</v>
      </c>
      <c r="G335" s="1">
        <v>44692</v>
      </c>
      <c r="H335" t="s">
        <v>36</v>
      </c>
      <c r="I335" t="s">
        <v>260</v>
      </c>
      <c r="J335">
        <v>98.55</v>
      </c>
    </row>
    <row r="336" spans="1:10" x14ac:dyDescent="0.25">
      <c r="A336" t="s">
        <v>256</v>
      </c>
      <c r="B336" t="s">
        <v>257</v>
      </c>
      <c r="C336" t="s">
        <v>241</v>
      </c>
      <c r="D336" t="s">
        <v>258</v>
      </c>
      <c r="E336">
        <v>48</v>
      </c>
      <c r="F336" t="s">
        <v>35</v>
      </c>
      <c r="G336" s="1">
        <v>44692</v>
      </c>
      <c r="H336" t="s">
        <v>36</v>
      </c>
      <c r="I336" t="s">
        <v>1</v>
      </c>
      <c r="J336">
        <v>518.79999999999995</v>
      </c>
    </row>
    <row r="337" spans="1:10" x14ac:dyDescent="0.25">
      <c r="A337" t="s">
        <v>256</v>
      </c>
      <c r="B337" t="s">
        <v>257</v>
      </c>
      <c r="C337" t="s">
        <v>259</v>
      </c>
      <c r="D337" t="s">
        <v>56</v>
      </c>
      <c r="E337">
        <v>9</v>
      </c>
      <c r="F337" t="s">
        <v>35</v>
      </c>
      <c r="G337" s="1">
        <v>43222</v>
      </c>
      <c r="H337" t="s">
        <v>36</v>
      </c>
      <c r="I337" t="s">
        <v>184</v>
      </c>
      <c r="J337">
        <v>1297</v>
      </c>
    </row>
    <row r="338" spans="1:10" x14ac:dyDescent="0.25">
      <c r="A338" t="s">
        <v>256</v>
      </c>
      <c r="B338" t="s">
        <v>257</v>
      </c>
      <c r="C338" t="s">
        <v>259</v>
      </c>
      <c r="D338" t="s">
        <v>56</v>
      </c>
      <c r="E338">
        <v>9</v>
      </c>
      <c r="F338" t="s">
        <v>35</v>
      </c>
      <c r="G338" s="1">
        <v>43222</v>
      </c>
      <c r="H338" t="s">
        <v>36</v>
      </c>
      <c r="I338" t="s">
        <v>21</v>
      </c>
      <c r="J338">
        <v>38.909999999999997</v>
      </c>
    </row>
    <row r="339" spans="1:10" x14ac:dyDescent="0.25">
      <c r="A339" t="s">
        <v>256</v>
      </c>
      <c r="B339" t="s">
        <v>257</v>
      </c>
      <c r="C339" t="s">
        <v>259</v>
      </c>
      <c r="D339" t="s">
        <v>56</v>
      </c>
      <c r="E339">
        <v>9</v>
      </c>
      <c r="F339" t="s">
        <v>35</v>
      </c>
      <c r="G339" s="1">
        <v>43222</v>
      </c>
      <c r="H339" t="s">
        <v>36</v>
      </c>
      <c r="I339" t="s">
        <v>1</v>
      </c>
      <c r="J339">
        <v>518.79999999999995</v>
      </c>
    </row>
    <row r="340" spans="1:10" x14ac:dyDescent="0.25">
      <c r="A340" t="s">
        <v>256</v>
      </c>
      <c r="B340" t="s">
        <v>257</v>
      </c>
      <c r="C340" t="s">
        <v>259</v>
      </c>
      <c r="D340" t="s">
        <v>56</v>
      </c>
      <c r="E340">
        <v>9</v>
      </c>
      <c r="F340" t="s">
        <v>35</v>
      </c>
      <c r="G340" s="1">
        <v>43222</v>
      </c>
      <c r="H340" t="s">
        <v>36</v>
      </c>
      <c r="I340" t="s">
        <v>16</v>
      </c>
      <c r="J340">
        <v>129.69999999999999</v>
      </c>
    </row>
    <row r="341" spans="1:10" x14ac:dyDescent="0.25">
      <c r="A341" t="s">
        <v>256</v>
      </c>
      <c r="B341" t="s">
        <v>257</v>
      </c>
      <c r="C341" t="s">
        <v>259</v>
      </c>
      <c r="D341" t="s">
        <v>56</v>
      </c>
      <c r="E341">
        <v>9</v>
      </c>
      <c r="F341" t="s">
        <v>35</v>
      </c>
      <c r="G341" s="1">
        <v>43222</v>
      </c>
      <c r="H341" t="s">
        <v>36</v>
      </c>
      <c r="I341" t="s">
        <v>260</v>
      </c>
      <c r="J341">
        <v>113.72</v>
      </c>
    </row>
    <row r="342" spans="1:10" x14ac:dyDescent="0.25">
      <c r="A342" t="s">
        <v>256</v>
      </c>
      <c r="B342" t="s">
        <v>257</v>
      </c>
      <c r="C342" t="s">
        <v>259</v>
      </c>
      <c r="D342" t="s">
        <v>56</v>
      </c>
      <c r="E342">
        <v>9</v>
      </c>
      <c r="F342" t="s">
        <v>35</v>
      </c>
      <c r="G342" s="1">
        <v>43222</v>
      </c>
      <c r="H342" t="s">
        <v>36</v>
      </c>
      <c r="I342" t="s">
        <v>200</v>
      </c>
      <c r="J342">
        <v>156.82</v>
      </c>
    </row>
    <row r="343" spans="1:10" x14ac:dyDescent="0.25">
      <c r="A343" t="s">
        <v>256</v>
      </c>
      <c r="B343" t="s">
        <v>257</v>
      </c>
      <c r="C343" t="s">
        <v>51</v>
      </c>
      <c r="D343" t="s">
        <v>258</v>
      </c>
      <c r="E343">
        <v>46</v>
      </c>
      <c r="F343" t="s">
        <v>35</v>
      </c>
      <c r="G343" s="1">
        <v>44489</v>
      </c>
      <c r="H343" t="s">
        <v>36</v>
      </c>
      <c r="I343" t="s">
        <v>184</v>
      </c>
      <c r="J343">
        <v>1297</v>
      </c>
    </row>
    <row r="344" spans="1:10" x14ac:dyDescent="0.25">
      <c r="A344" t="s">
        <v>256</v>
      </c>
      <c r="B344" t="s">
        <v>257</v>
      </c>
      <c r="C344" t="s">
        <v>51</v>
      </c>
      <c r="D344" t="s">
        <v>258</v>
      </c>
      <c r="E344">
        <v>46</v>
      </c>
      <c r="F344" t="s">
        <v>35</v>
      </c>
      <c r="G344" s="1">
        <v>44489</v>
      </c>
      <c r="H344" t="s">
        <v>36</v>
      </c>
      <c r="I344" t="s">
        <v>1</v>
      </c>
      <c r="J344">
        <v>518.79999999999995</v>
      </c>
    </row>
    <row r="345" spans="1:10" x14ac:dyDescent="0.25">
      <c r="A345" t="s">
        <v>256</v>
      </c>
      <c r="B345" t="s">
        <v>257</v>
      </c>
      <c r="C345" t="s">
        <v>51</v>
      </c>
      <c r="D345" t="s">
        <v>258</v>
      </c>
      <c r="E345">
        <v>46</v>
      </c>
      <c r="F345" t="s">
        <v>35</v>
      </c>
      <c r="G345" s="1">
        <v>44489</v>
      </c>
      <c r="H345" t="s">
        <v>36</v>
      </c>
      <c r="I345" t="s">
        <v>260</v>
      </c>
      <c r="J345">
        <v>98.55</v>
      </c>
    </row>
    <row r="346" spans="1:10" x14ac:dyDescent="0.25">
      <c r="A346" t="s">
        <v>256</v>
      </c>
      <c r="B346" t="s">
        <v>257</v>
      </c>
      <c r="C346" t="s">
        <v>51</v>
      </c>
      <c r="D346" t="s">
        <v>258</v>
      </c>
      <c r="E346">
        <v>46</v>
      </c>
      <c r="F346" t="s">
        <v>35</v>
      </c>
      <c r="G346" s="1">
        <v>44489</v>
      </c>
      <c r="H346" t="s">
        <v>36</v>
      </c>
      <c r="I346" t="s">
        <v>200</v>
      </c>
      <c r="J346">
        <v>41.25</v>
      </c>
    </row>
    <row r="347" spans="1:10" x14ac:dyDescent="0.25">
      <c r="A347" t="s">
        <v>256</v>
      </c>
      <c r="B347" t="s">
        <v>257</v>
      </c>
      <c r="C347" t="s">
        <v>168</v>
      </c>
      <c r="D347" t="s">
        <v>56</v>
      </c>
      <c r="E347">
        <v>45</v>
      </c>
      <c r="F347" t="s">
        <v>35</v>
      </c>
      <c r="G347" s="1">
        <v>44117</v>
      </c>
      <c r="H347" t="s">
        <v>36</v>
      </c>
      <c r="I347" t="s">
        <v>184</v>
      </c>
      <c r="J347">
        <v>1297</v>
      </c>
    </row>
    <row r="348" spans="1:10" x14ac:dyDescent="0.25">
      <c r="A348" t="s">
        <v>256</v>
      </c>
      <c r="B348" t="s">
        <v>257</v>
      </c>
      <c r="C348" t="s">
        <v>168</v>
      </c>
      <c r="D348" t="s">
        <v>56</v>
      </c>
      <c r="E348">
        <v>45</v>
      </c>
      <c r="F348" t="s">
        <v>35</v>
      </c>
      <c r="G348" s="1">
        <v>44117</v>
      </c>
      <c r="H348" t="s">
        <v>36</v>
      </c>
      <c r="I348" t="s">
        <v>16</v>
      </c>
      <c r="J348">
        <v>129.69999999999999</v>
      </c>
    </row>
    <row r="349" spans="1:10" x14ac:dyDescent="0.25">
      <c r="A349" t="s">
        <v>256</v>
      </c>
      <c r="B349" t="s">
        <v>257</v>
      </c>
      <c r="C349" t="s">
        <v>168</v>
      </c>
      <c r="D349" t="s">
        <v>56</v>
      </c>
      <c r="E349">
        <v>45</v>
      </c>
      <c r="F349" t="s">
        <v>35</v>
      </c>
      <c r="G349" s="1">
        <v>44117</v>
      </c>
      <c r="H349" t="s">
        <v>36</v>
      </c>
      <c r="I349" t="s">
        <v>7</v>
      </c>
      <c r="J349">
        <v>56.47</v>
      </c>
    </row>
    <row r="350" spans="1:10" x14ac:dyDescent="0.25">
      <c r="A350" t="s">
        <v>256</v>
      </c>
      <c r="B350" t="s">
        <v>257</v>
      </c>
      <c r="C350" t="s">
        <v>168</v>
      </c>
      <c r="D350" t="s">
        <v>56</v>
      </c>
      <c r="E350">
        <v>45</v>
      </c>
      <c r="F350" t="s">
        <v>35</v>
      </c>
      <c r="G350" s="1">
        <v>44117</v>
      </c>
      <c r="H350" t="s">
        <v>36</v>
      </c>
      <c r="I350" t="s">
        <v>260</v>
      </c>
      <c r="J350">
        <v>110.22</v>
      </c>
    </row>
    <row r="351" spans="1:10" x14ac:dyDescent="0.25">
      <c r="A351" t="s">
        <v>256</v>
      </c>
      <c r="B351" t="s">
        <v>257</v>
      </c>
      <c r="C351" t="s">
        <v>168</v>
      </c>
      <c r="D351" t="s">
        <v>56</v>
      </c>
      <c r="E351">
        <v>45</v>
      </c>
      <c r="F351" t="s">
        <v>35</v>
      </c>
      <c r="G351" s="1">
        <v>44117</v>
      </c>
      <c r="H351" t="s">
        <v>36</v>
      </c>
      <c r="I351" t="s">
        <v>1</v>
      </c>
      <c r="J351">
        <v>518.79999999999995</v>
      </c>
    </row>
    <row r="352" spans="1:10" x14ac:dyDescent="0.25">
      <c r="A352" t="s">
        <v>256</v>
      </c>
      <c r="B352" t="s">
        <v>257</v>
      </c>
      <c r="C352" t="s">
        <v>53</v>
      </c>
      <c r="D352" t="s">
        <v>258</v>
      </c>
      <c r="E352">
        <v>41</v>
      </c>
      <c r="F352" t="s">
        <v>35</v>
      </c>
      <c r="G352" s="1">
        <v>43801</v>
      </c>
      <c r="H352" t="s">
        <v>36</v>
      </c>
      <c r="I352" t="s">
        <v>184</v>
      </c>
      <c r="J352">
        <v>1297</v>
      </c>
    </row>
    <row r="353" spans="1:10" x14ac:dyDescent="0.25">
      <c r="A353" t="s">
        <v>256</v>
      </c>
      <c r="B353" t="s">
        <v>257</v>
      </c>
      <c r="C353" t="s">
        <v>53</v>
      </c>
      <c r="D353" t="s">
        <v>258</v>
      </c>
      <c r="E353">
        <v>41</v>
      </c>
      <c r="F353" t="s">
        <v>35</v>
      </c>
      <c r="G353" s="1">
        <v>43801</v>
      </c>
      <c r="H353" t="s">
        <v>36</v>
      </c>
      <c r="I353" t="s">
        <v>1</v>
      </c>
      <c r="J353">
        <v>518.79999999999995</v>
      </c>
    </row>
    <row r="354" spans="1:10" x14ac:dyDescent="0.25">
      <c r="A354" t="s">
        <v>256</v>
      </c>
      <c r="B354" t="s">
        <v>257</v>
      </c>
      <c r="C354" t="s">
        <v>53</v>
      </c>
      <c r="D354" t="s">
        <v>258</v>
      </c>
      <c r="E354">
        <v>41</v>
      </c>
      <c r="F354" t="s">
        <v>35</v>
      </c>
      <c r="G354" s="1">
        <v>43801</v>
      </c>
      <c r="H354" t="s">
        <v>36</v>
      </c>
      <c r="I354" t="s">
        <v>260</v>
      </c>
      <c r="J354">
        <v>98.55</v>
      </c>
    </row>
    <row r="355" spans="1:10" x14ac:dyDescent="0.25">
      <c r="A355" t="s">
        <v>256</v>
      </c>
      <c r="B355" t="s">
        <v>257</v>
      </c>
      <c r="C355" t="s">
        <v>53</v>
      </c>
      <c r="D355" t="s">
        <v>258</v>
      </c>
      <c r="E355">
        <v>41</v>
      </c>
      <c r="F355" t="s">
        <v>35</v>
      </c>
      <c r="G355" s="1">
        <v>43801</v>
      </c>
      <c r="H355" t="s">
        <v>36</v>
      </c>
      <c r="I355" t="s">
        <v>7</v>
      </c>
      <c r="J355">
        <v>56.47</v>
      </c>
    </row>
    <row r="356" spans="1:10" x14ac:dyDescent="0.25">
      <c r="A356" t="s">
        <v>256</v>
      </c>
      <c r="B356" t="s">
        <v>257</v>
      </c>
      <c r="C356" t="s">
        <v>53</v>
      </c>
      <c r="D356" t="s">
        <v>258</v>
      </c>
      <c r="E356">
        <v>41</v>
      </c>
      <c r="F356" t="s">
        <v>35</v>
      </c>
      <c r="G356" s="1">
        <v>43801</v>
      </c>
      <c r="H356" t="s">
        <v>36</v>
      </c>
      <c r="I356" t="s">
        <v>200</v>
      </c>
      <c r="J356">
        <v>239.45</v>
      </c>
    </row>
    <row r="357" spans="1:10" x14ac:dyDescent="0.25">
      <c r="A357" t="s">
        <v>256</v>
      </c>
      <c r="B357" t="s">
        <v>257</v>
      </c>
      <c r="C357" t="s">
        <v>53</v>
      </c>
      <c r="D357" t="s">
        <v>258</v>
      </c>
      <c r="E357">
        <v>41</v>
      </c>
      <c r="F357" t="s">
        <v>35</v>
      </c>
      <c r="G357" s="1">
        <v>43801</v>
      </c>
      <c r="H357" t="s">
        <v>36</v>
      </c>
      <c r="I357" t="s">
        <v>24</v>
      </c>
      <c r="J357">
        <v>77.819999999999993</v>
      </c>
    </row>
    <row r="358" spans="1:10" x14ac:dyDescent="0.25">
      <c r="A358" t="s">
        <v>62</v>
      </c>
      <c r="B358" t="s">
        <v>192</v>
      </c>
      <c r="C358" t="s">
        <v>63</v>
      </c>
      <c r="D358" t="s">
        <v>221</v>
      </c>
      <c r="E358">
        <v>40</v>
      </c>
      <c r="F358" t="s">
        <v>35</v>
      </c>
      <c r="G358" s="1">
        <v>44334</v>
      </c>
      <c r="H358" t="s">
        <v>36</v>
      </c>
      <c r="I358" t="s">
        <v>184</v>
      </c>
      <c r="J358">
        <v>1344.95</v>
      </c>
    </row>
    <row r="359" spans="1:10" x14ac:dyDescent="0.25">
      <c r="A359" t="s">
        <v>62</v>
      </c>
      <c r="B359" t="s">
        <v>192</v>
      </c>
      <c r="C359" t="s">
        <v>63</v>
      </c>
      <c r="D359" t="s">
        <v>221</v>
      </c>
      <c r="E359">
        <v>40</v>
      </c>
      <c r="F359" t="s">
        <v>35</v>
      </c>
      <c r="G359" s="1">
        <v>44334</v>
      </c>
      <c r="H359" t="s">
        <v>36</v>
      </c>
      <c r="I359" t="s">
        <v>7</v>
      </c>
      <c r="J359">
        <v>56.47</v>
      </c>
    </row>
    <row r="360" spans="1:10" x14ac:dyDescent="0.25">
      <c r="A360" t="s">
        <v>62</v>
      </c>
      <c r="B360" t="s">
        <v>192</v>
      </c>
      <c r="C360" t="s">
        <v>63</v>
      </c>
      <c r="D360" t="s">
        <v>221</v>
      </c>
      <c r="E360">
        <v>40</v>
      </c>
      <c r="F360" t="s">
        <v>35</v>
      </c>
      <c r="G360" s="1">
        <v>44334</v>
      </c>
      <c r="H360" t="s">
        <v>36</v>
      </c>
      <c r="I360" t="s">
        <v>260</v>
      </c>
      <c r="J360">
        <v>102.86</v>
      </c>
    </row>
    <row r="361" spans="1:10" x14ac:dyDescent="0.25">
      <c r="A361" t="s">
        <v>62</v>
      </c>
      <c r="B361" t="s">
        <v>192</v>
      </c>
      <c r="C361" t="s">
        <v>63</v>
      </c>
      <c r="D361" t="s">
        <v>221</v>
      </c>
      <c r="E361">
        <v>40</v>
      </c>
      <c r="F361" t="s">
        <v>35</v>
      </c>
      <c r="G361" s="1">
        <v>44334</v>
      </c>
      <c r="H361" t="s">
        <v>36</v>
      </c>
      <c r="I361" t="s">
        <v>1</v>
      </c>
      <c r="J361">
        <v>537.98</v>
      </c>
    </row>
    <row r="362" spans="1:10" x14ac:dyDescent="0.25">
      <c r="A362" t="s">
        <v>62</v>
      </c>
      <c r="B362" t="s">
        <v>192</v>
      </c>
      <c r="C362" t="s">
        <v>64</v>
      </c>
      <c r="D362" t="s">
        <v>221</v>
      </c>
      <c r="E362">
        <v>38</v>
      </c>
      <c r="F362" t="s">
        <v>35</v>
      </c>
      <c r="G362" s="1">
        <v>44117</v>
      </c>
      <c r="H362" t="s">
        <v>36</v>
      </c>
      <c r="I362" t="s">
        <v>184</v>
      </c>
      <c r="J362">
        <v>1344.95</v>
      </c>
    </row>
    <row r="363" spans="1:10" x14ac:dyDescent="0.25">
      <c r="A363" t="s">
        <v>62</v>
      </c>
      <c r="B363" t="s">
        <v>192</v>
      </c>
      <c r="C363" t="s">
        <v>64</v>
      </c>
      <c r="D363" t="s">
        <v>221</v>
      </c>
      <c r="E363">
        <v>38</v>
      </c>
      <c r="F363" t="s">
        <v>35</v>
      </c>
      <c r="G363" s="1">
        <v>44117</v>
      </c>
      <c r="H363" t="s">
        <v>36</v>
      </c>
      <c r="I363" t="s">
        <v>260</v>
      </c>
      <c r="J363">
        <v>102.86</v>
      </c>
    </row>
    <row r="364" spans="1:10" x14ac:dyDescent="0.25">
      <c r="A364" t="s">
        <v>62</v>
      </c>
      <c r="B364" t="s">
        <v>192</v>
      </c>
      <c r="C364" t="s">
        <v>64</v>
      </c>
      <c r="D364" t="s">
        <v>221</v>
      </c>
      <c r="E364">
        <v>38</v>
      </c>
      <c r="F364" t="s">
        <v>35</v>
      </c>
      <c r="G364" s="1">
        <v>44117</v>
      </c>
      <c r="H364" t="s">
        <v>36</v>
      </c>
      <c r="I364" t="s">
        <v>1</v>
      </c>
      <c r="J364">
        <v>537.98</v>
      </c>
    </row>
    <row r="365" spans="1:10" x14ac:dyDescent="0.25">
      <c r="A365" t="s">
        <v>62</v>
      </c>
      <c r="B365" t="s">
        <v>192</v>
      </c>
      <c r="C365" t="s">
        <v>268</v>
      </c>
      <c r="D365" t="s">
        <v>221</v>
      </c>
      <c r="E365">
        <v>43</v>
      </c>
      <c r="F365" t="s">
        <v>35</v>
      </c>
      <c r="G365" s="1">
        <v>44621</v>
      </c>
      <c r="H365" t="s">
        <v>36</v>
      </c>
      <c r="I365" t="s">
        <v>184</v>
      </c>
      <c r="J365">
        <v>1344.95</v>
      </c>
    </row>
    <row r="366" spans="1:10" x14ac:dyDescent="0.25">
      <c r="A366" t="s">
        <v>62</v>
      </c>
      <c r="B366" t="s">
        <v>192</v>
      </c>
      <c r="C366" t="s">
        <v>268</v>
      </c>
      <c r="D366" t="s">
        <v>221</v>
      </c>
      <c r="E366">
        <v>43</v>
      </c>
      <c r="F366" t="s">
        <v>35</v>
      </c>
      <c r="G366" s="1">
        <v>44621</v>
      </c>
      <c r="H366" t="s">
        <v>36</v>
      </c>
      <c r="I366" t="s">
        <v>1</v>
      </c>
      <c r="J366">
        <v>537.98</v>
      </c>
    </row>
    <row r="367" spans="1:10" x14ac:dyDescent="0.25">
      <c r="A367" t="s">
        <v>62</v>
      </c>
      <c r="B367" t="s">
        <v>192</v>
      </c>
      <c r="C367" t="s">
        <v>268</v>
      </c>
      <c r="D367" t="s">
        <v>221</v>
      </c>
      <c r="E367">
        <v>43</v>
      </c>
      <c r="F367" t="s">
        <v>35</v>
      </c>
      <c r="G367" s="1">
        <v>44621</v>
      </c>
      <c r="H367" t="s">
        <v>36</v>
      </c>
      <c r="I367" t="s">
        <v>260</v>
      </c>
      <c r="J367">
        <v>102.86</v>
      </c>
    </row>
    <row r="368" spans="1:10" x14ac:dyDescent="0.25">
      <c r="A368" t="s">
        <v>62</v>
      </c>
      <c r="B368" t="s">
        <v>192</v>
      </c>
      <c r="C368" t="s">
        <v>268</v>
      </c>
      <c r="D368" t="s">
        <v>221</v>
      </c>
      <c r="E368">
        <v>43</v>
      </c>
      <c r="F368" t="s">
        <v>35</v>
      </c>
      <c r="G368" s="1">
        <v>44621</v>
      </c>
      <c r="H368" t="s">
        <v>36</v>
      </c>
      <c r="I368" t="s">
        <v>7</v>
      </c>
      <c r="J368">
        <v>56.47</v>
      </c>
    </row>
    <row r="369" spans="1:10" x14ac:dyDescent="0.25">
      <c r="A369" t="s">
        <v>62</v>
      </c>
      <c r="B369" t="s">
        <v>192</v>
      </c>
      <c r="C369" t="s">
        <v>268</v>
      </c>
      <c r="D369" t="s">
        <v>221</v>
      </c>
      <c r="E369">
        <v>43</v>
      </c>
      <c r="F369" t="s">
        <v>35</v>
      </c>
      <c r="G369" s="1">
        <v>44621</v>
      </c>
      <c r="H369" t="s">
        <v>36</v>
      </c>
      <c r="I369" t="s">
        <v>200</v>
      </c>
      <c r="J369">
        <v>89.47</v>
      </c>
    </row>
    <row r="370" spans="1:10" x14ac:dyDescent="0.25">
      <c r="A370" t="s">
        <v>62</v>
      </c>
      <c r="B370" t="s">
        <v>192</v>
      </c>
      <c r="C370" t="s">
        <v>268</v>
      </c>
      <c r="D370" t="s">
        <v>221</v>
      </c>
      <c r="E370">
        <v>43</v>
      </c>
      <c r="F370" t="s">
        <v>35</v>
      </c>
      <c r="G370" s="1">
        <v>44621</v>
      </c>
      <c r="H370" t="s">
        <v>36</v>
      </c>
      <c r="I370" t="s">
        <v>24</v>
      </c>
      <c r="J370">
        <v>80.7</v>
      </c>
    </row>
    <row r="371" spans="1:10" x14ac:dyDescent="0.25">
      <c r="A371" t="s">
        <v>62</v>
      </c>
      <c r="B371" t="s">
        <v>192</v>
      </c>
      <c r="C371" t="s">
        <v>65</v>
      </c>
      <c r="D371" t="s">
        <v>56</v>
      </c>
      <c r="E371">
        <v>33</v>
      </c>
      <c r="F371" t="s">
        <v>35</v>
      </c>
      <c r="G371" s="1">
        <v>43783</v>
      </c>
      <c r="H371" t="s">
        <v>36</v>
      </c>
      <c r="I371" t="s">
        <v>184</v>
      </c>
      <c r="J371">
        <v>1344.95</v>
      </c>
    </row>
    <row r="372" spans="1:10" x14ac:dyDescent="0.25">
      <c r="A372" t="s">
        <v>62</v>
      </c>
      <c r="B372" t="s">
        <v>192</v>
      </c>
      <c r="C372" t="s">
        <v>65</v>
      </c>
      <c r="D372" t="s">
        <v>56</v>
      </c>
      <c r="E372">
        <v>33</v>
      </c>
      <c r="F372" t="s">
        <v>35</v>
      </c>
      <c r="G372" s="1">
        <v>43783</v>
      </c>
      <c r="H372" t="s">
        <v>36</v>
      </c>
      <c r="I372" t="s">
        <v>260</v>
      </c>
      <c r="J372">
        <v>117.39</v>
      </c>
    </row>
    <row r="373" spans="1:10" x14ac:dyDescent="0.25">
      <c r="A373" t="s">
        <v>62</v>
      </c>
      <c r="B373" t="s">
        <v>192</v>
      </c>
      <c r="C373" t="s">
        <v>65</v>
      </c>
      <c r="D373" t="s">
        <v>56</v>
      </c>
      <c r="E373">
        <v>33</v>
      </c>
      <c r="F373" t="s">
        <v>35</v>
      </c>
      <c r="G373" s="1">
        <v>43783</v>
      </c>
      <c r="H373" t="s">
        <v>36</v>
      </c>
      <c r="I373" t="s">
        <v>22</v>
      </c>
      <c r="J373">
        <v>161.38999999999999</v>
      </c>
    </row>
    <row r="374" spans="1:10" x14ac:dyDescent="0.25">
      <c r="A374" t="s">
        <v>62</v>
      </c>
      <c r="B374" t="s">
        <v>192</v>
      </c>
      <c r="C374" t="s">
        <v>65</v>
      </c>
      <c r="D374" t="s">
        <v>56</v>
      </c>
      <c r="E374">
        <v>33</v>
      </c>
      <c r="F374" t="s">
        <v>35</v>
      </c>
      <c r="G374" s="1">
        <v>43783</v>
      </c>
      <c r="H374" t="s">
        <v>36</v>
      </c>
      <c r="I374" t="s">
        <v>1</v>
      </c>
      <c r="J374">
        <v>537.98</v>
      </c>
    </row>
    <row r="375" spans="1:10" x14ac:dyDescent="0.25">
      <c r="A375" t="s">
        <v>62</v>
      </c>
      <c r="B375" t="s">
        <v>192</v>
      </c>
      <c r="C375" t="s">
        <v>65</v>
      </c>
      <c r="D375" t="s">
        <v>56</v>
      </c>
      <c r="E375">
        <v>33</v>
      </c>
      <c r="F375" t="s">
        <v>35</v>
      </c>
      <c r="G375" s="1">
        <v>43783</v>
      </c>
      <c r="H375" t="s">
        <v>36</v>
      </c>
      <c r="I375" t="s">
        <v>7</v>
      </c>
      <c r="J375">
        <v>56.47</v>
      </c>
    </row>
    <row r="376" spans="1:10" x14ac:dyDescent="0.25">
      <c r="A376" t="s">
        <v>62</v>
      </c>
      <c r="B376" t="s">
        <v>192</v>
      </c>
      <c r="C376" t="s">
        <v>65</v>
      </c>
      <c r="D376" t="s">
        <v>56</v>
      </c>
      <c r="E376">
        <v>33</v>
      </c>
      <c r="F376" t="s">
        <v>35</v>
      </c>
      <c r="G376" s="1">
        <v>43783</v>
      </c>
      <c r="H376" t="s">
        <v>36</v>
      </c>
      <c r="I376" t="s">
        <v>200</v>
      </c>
      <c r="J376">
        <v>74.680000000000007</v>
      </c>
    </row>
    <row r="377" spans="1:10" x14ac:dyDescent="0.25">
      <c r="A377" t="s">
        <v>62</v>
      </c>
      <c r="B377" t="s">
        <v>192</v>
      </c>
      <c r="C377" t="s">
        <v>66</v>
      </c>
      <c r="D377" t="s">
        <v>39</v>
      </c>
      <c r="E377">
        <v>29</v>
      </c>
      <c r="F377" t="s">
        <v>35</v>
      </c>
      <c r="G377" s="1">
        <v>43383</v>
      </c>
      <c r="H377" t="s">
        <v>36</v>
      </c>
      <c r="I377" t="s">
        <v>200</v>
      </c>
      <c r="J377">
        <v>16.87</v>
      </c>
    </row>
    <row r="378" spans="1:10" x14ac:dyDescent="0.25">
      <c r="A378" t="s">
        <v>62</v>
      </c>
      <c r="B378" t="s">
        <v>192</v>
      </c>
      <c r="C378" t="s">
        <v>68</v>
      </c>
      <c r="D378" t="s">
        <v>221</v>
      </c>
      <c r="E378">
        <v>18</v>
      </c>
      <c r="F378" t="s">
        <v>35</v>
      </c>
      <c r="G378" s="1">
        <v>43382</v>
      </c>
      <c r="H378" t="s">
        <v>36</v>
      </c>
      <c r="I378" t="s">
        <v>184</v>
      </c>
      <c r="J378">
        <v>1344.95</v>
      </c>
    </row>
    <row r="379" spans="1:10" x14ac:dyDescent="0.25">
      <c r="A379" t="s">
        <v>62</v>
      </c>
      <c r="B379" t="s">
        <v>192</v>
      </c>
      <c r="C379" t="s">
        <v>68</v>
      </c>
      <c r="D379" t="s">
        <v>221</v>
      </c>
      <c r="E379">
        <v>18</v>
      </c>
      <c r="F379" t="s">
        <v>35</v>
      </c>
      <c r="G379" s="1">
        <v>43382</v>
      </c>
      <c r="H379" t="s">
        <v>36</v>
      </c>
      <c r="I379" t="s">
        <v>260</v>
      </c>
      <c r="J379">
        <v>102.86</v>
      </c>
    </row>
    <row r="380" spans="1:10" x14ac:dyDescent="0.25">
      <c r="A380" t="s">
        <v>62</v>
      </c>
      <c r="B380" t="s">
        <v>192</v>
      </c>
      <c r="C380" t="s">
        <v>68</v>
      </c>
      <c r="D380" t="s">
        <v>221</v>
      </c>
      <c r="E380">
        <v>18</v>
      </c>
      <c r="F380" t="s">
        <v>35</v>
      </c>
      <c r="G380" s="1">
        <v>43382</v>
      </c>
      <c r="H380" t="s">
        <v>36</v>
      </c>
      <c r="I380" t="s">
        <v>7</v>
      </c>
      <c r="J380">
        <v>56.47</v>
      </c>
    </row>
    <row r="381" spans="1:10" x14ac:dyDescent="0.25">
      <c r="A381" t="s">
        <v>62</v>
      </c>
      <c r="B381" t="s">
        <v>192</v>
      </c>
      <c r="C381" t="s">
        <v>68</v>
      </c>
      <c r="D381" t="s">
        <v>221</v>
      </c>
      <c r="E381">
        <v>18</v>
      </c>
      <c r="F381" t="s">
        <v>35</v>
      </c>
      <c r="G381" s="1">
        <v>43382</v>
      </c>
      <c r="H381" t="s">
        <v>36</v>
      </c>
      <c r="I381" t="s">
        <v>1</v>
      </c>
      <c r="J381">
        <v>537.98</v>
      </c>
    </row>
    <row r="382" spans="1:10" x14ac:dyDescent="0.25">
      <c r="A382" t="s">
        <v>62</v>
      </c>
      <c r="B382" t="s">
        <v>192</v>
      </c>
      <c r="C382" t="s">
        <v>68</v>
      </c>
      <c r="D382" t="s">
        <v>221</v>
      </c>
      <c r="E382">
        <v>18</v>
      </c>
      <c r="F382" t="s">
        <v>35</v>
      </c>
      <c r="G382" s="1">
        <v>43382</v>
      </c>
      <c r="H382" t="s">
        <v>36</v>
      </c>
      <c r="I382" t="s">
        <v>200</v>
      </c>
      <c r="J382">
        <v>65</v>
      </c>
    </row>
    <row r="383" spans="1:10" x14ac:dyDescent="0.25">
      <c r="A383" t="s">
        <v>62</v>
      </c>
      <c r="B383" t="s">
        <v>192</v>
      </c>
      <c r="C383" t="s">
        <v>170</v>
      </c>
      <c r="D383" t="s">
        <v>39</v>
      </c>
      <c r="E383">
        <v>25</v>
      </c>
      <c r="F383" t="s">
        <v>35</v>
      </c>
      <c r="G383" s="1">
        <v>43383</v>
      </c>
      <c r="H383" t="s">
        <v>36</v>
      </c>
      <c r="I383" t="s">
        <v>184</v>
      </c>
      <c r="J383">
        <v>2280.81</v>
      </c>
    </row>
    <row r="384" spans="1:10" x14ac:dyDescent="0.25">
      <c r="A384" t="s">
        <v>62</v>
      </c>
      <c r="B384" t="s">
        <v>192</v>
      </c>
      <c r="C384" t="s">
        <v>170</v>
      </c>
      <c r="D384" t="s">
        <v>39</v>
      </c>
      <c r="E384">
        <v>25</v>
      </c>
      <c r="F384" t="s">
        <v>35</v>
      </c>
      <c r="G384" s="1">
        <v>43383</v>
      </c>
      <c r="H384" t="s">
        <v>36</v>
      </c>
      <c r="I384" t="s">
        <v>260</v>
      </c>
      <c r="J384">
        <v>187.09</v>
      </c>
    </row>
    <row r="385" spans="1:10" x14ac:dyDescent="0.25">
      <c r="A385" t="s">
        <v>62</v>
      </c>
      <c r="B385" t="s">
        <v>192</v>
      </c>
      <c r="C385" t="s">
        <v>170</v>
      </c>
      <c r="D385" t="s">
        <v>39</v>
      </c>
      <c r="E385">
        <v>25</v>
      </c>
      <c r="F385" t="s">
        <v>35</v>
      </c>
      <c r="G385" s="1">
        <v>43383</v>
      </c>
      <c r="H385" t="s">
        <v>36</v>
      </c>
      <c r="I385" t="s">
        <v>1</v>
      </c>
      <c r="J385">
        <v>912.32</v>
      </c>
    </row>
    <row r="386" spans="1:10" x14ac:dyDescent="0.25">
      <c r="A386" t="s">
        <v>62</v>
      </c>
      <c r="B386" t="s">
        <v>192</v>
      </c>
      <c r="C386" t="s">
        <v>243</v>
      </c>
      <c r="D386" t="s">
        <v>77</v>
      </c>
      <c r="E386">
        <v>44</v>
      </c>
      <c r="F386" t="s">
        <v>35</v>
      </c>
      <c r="G386" s="1">
        <v>44629</v>
      </c>
      <c r="H386" t="s">
        <v>36</v>
      </c>
      <c r="I386" t="s">
        <v>184</v>
      </c>
      <c r="J386">
        <v>1344.95</v>
      </c>
    </row>
    <row r="387" spans="1:10" x14ac:dyDescent="0.25">
      <c r="A387" t="s">
        <v>62</v>
      </c>
      <c r="B387" t="s">
        <v>192</v>
      </c>
      <c r="C387" t="s">
        <v>243</v>
      </c>
      <c r="D387" t="s">
        <v>77</v>
      </c>
      <c r="E387">
        <v>44</v>
      </c>
      <c r="F387" t="s">
        <v>35</v>
      </c>
      <c r="G387" s="1">
        <v>44629</v>
      </c>
      <c r="H387" t="s">
        <v>36</v>
      </c>
      <c r="I387" t="s">
        <v>1</v>
      </c>
      <c r="J387">
        <v>537.98</v>
      </c>
    </row>
    <row r="388" spans="1:10" x14ac:dyDescent="0.25">
      <c r="A388" t="s">
        <v>62</v>
      </c>
      <c r="B388" t="s">
        <v>192</v>
      </c>
      <c r="C388" t="s">
        <v>243</v>
      </c>
      <c r="D388" t="s">
        <v>77</v>
      </c>
      <c r="E388">
        <v>44</v>
      </c>
      <c r="F388" t="s">
        <v>35</v>
      </c>
      <c r="G388" s="1">
        <v>44629</v>
      </c>
      <c r="H388" t="s">
        <v>36</v>
      </c>
      <c r="I388" t="s">
        <v>260</v>
      </c>
      <c r="J388">
        <v>102.86</v>
      </c>
    </row>
    <row r="389" spans="1:10" x14ac:dyDescent="0.25">
      <c r="A389" t="s">
        <v>62</v>
      </c>
      <c r="B389" t="s">
        <v>192</v>
      </c>
      <c r="C389" t="s">
        <v>243</v>
      </c>
      <c r="D389" t="s">
        <v>77</v>
      </c>
      <c r="E389">
        <v>44</v>
      </c>
      <c r="F389" t="s">
        <v>35</v>
      </c>
      <c r="G389" s="1">
        <v>44629</v>
      </c>
      <c r="H389" t="s">
        <v>36</v>
      </c>
      <c r="I389" t="s">
        <v>7</v>
      </c>
      <c r="J389">
        <v>112.94</v>
      </c>
    </row>
    <row r="390" spans="1:10" x14ac:dyDescent="0.25">
      <c r="A390" t="s">
        <v>62</v>
      </c>
      <c r="B390" t="s">
        <v>192</v>
      </c>
      <c r="C390" t="s">
        <v>243</v>
      </c>
      <c r="D390" t="s">
        <v>77</v>
      </c>
      <c r="E390">
        <v>44</v>
      </c>
      <c r="F390" t="s">
        <v>35</v>
      </c>
      <c r="G390" s="1">
        <v>44629</v>
      </c>
      <c r="H390" t="s">
        <v>36</v>
      </c>
      <c r="I390" t="s">
        <v>200</v>
      </c>
      <c r="J390">
        <v>115.62</v>
      </c>
    </row>
    <row r="391" spans="1:10" x14ac:dyDescent="0.25">
      <c r="A391" t="s">
        <v>62</v>
      </c>
      <c r="B391" t="s">
        <v>192</v>
      </c>
      <c r="C391" t="s">
        <v>243</v>
      </c>
      <c r="D391" t="s">
        <v>77</v>
      </c>
      <c r="E391">
        <v>44</v>
      </c>
      <c r="F391" t="s">
        <v>35</v>
      </c>
      <c r="G391" s="1">
        <v>44629</v>
      </c>
      <c r="H391" t="s">
        <v>36</v>
      </c>
      <c r="I391" t="s">
        <v>24</v>
      </c>
      <c r="J391">
        <v>80.7</v>
      </c>
    </row>
    <row r="392" spans="1:10" x14ac:dyDescent="0.25">
      <c r="A392" t="s">
        <v>78</v>
      </c>
      <c r="B392" t="s">
        <v>195</v>
      </c>
      <c r="C392" t="s">
        <v>79</v>
      </c>
      <c r="D392" t="s">
        <v>269</v>
      </c>
      <c r="E392">
        <v>5</v>
      </c>
      <c r="F392" t="s">
        <v>35</v>
      </c>
      <c r="G392" s="1">
        <v>44398</v>
      </c>
      <c r="H392" t="s">
        <v>36</v>
      </c>
      <c r="I392" t="s">
        <v>184</v>
      </c>
      <c r="J392">
        <v>1653.28</v>
      </c>
    </row>
    <row r="393" spans="1:10" x14ac:dyDescent="0.25">
      <c r="A393" t="s">
        <v>78</v>
      </c>
      <c r="B393" t="s">
        <v>195</v>
      </c>
      <c r="C393" t="s">
        <v>79</v>
      </c>
      <c r="D393" t="s">
        <v>269</v>
      </c>
      <c r="E393">
        <v>5</v>
      </c>
      <c r="F393" t="s">
        <v>35</v>
      </c>
      <c r="G393" s="1">
        <v>44398</v>
      </c>
      <c r="H393" t="s">
        <v>36</v>
      </c>
      <c r="I393" t="s">
        <v>7</v>
      </c>
      <c r="J393">
        <v>56.47</v>
      </c>
    </row>
    <row r="394" spans="1:10" x14ac:dyDescent="0.25">
      <c r="A394" t="s">
        <v>78</v>
      </c>
      <c r="B394" t="s">
        <v>195</v>
      </c>
      <c r="C394" t="s">
        <v>79</v>
      </c>
      <c r="D394" t="s">
        <v>269</v>
      </c>
      <c r="E394">
        <v>5</v>
      </c>
      <c r="F394" t="s">
        <v>35</v>
      </c>
      <c r="G394" s="1">
        <v>44398</v>
      </c>
      <c r="H394" t="s">
        <v>36</v>
      </c>
      <c r="I394" t="s">
        <v>260</v>
      </c>
      <c r="J394">
        <v>130.61000000000001</v>
      </c>
    </row>
    <row r="395" spans="1:10" x14ac:dyDescent="0.25">
      <c r="A395" t="s">
        <v>78</v>
      </c>
      <c r="B395" t="s">
        <v>195</v>
      </c>
      <c r="C395" t="s">
        <v>79</v>
      </c>
      <c r="D395" t="s">
        <v>269</v>
      </c>
      <c r="E395">
        <v>5</v>
      </c>
      <c r="F395" t="s">
        <v>35</v>
      </c>
      <c r="G395" s="1">
        <v>44398</v>
      </c>
      <c r="H395" t="s">
        <v>36</v>
      </c>
      <c r="I395" t="s">
        <v>1</v>
      </c>
      <c r="J395">
        <v>661.31</v>
      </c>
    </row>
    <row r="396" spans="1:10" x14ac:dyDescent="0.25">
      <c r="A396" t="s">
        <v>78</v>
      </c>
      <c r="B396" t="s">
        <v>195</v>
      </c>
      <c r="C396" t="s">
        <v>83</v>
      </c>
      <c r="D396" t="s">
        <v>84</v>
      </c>
      <c r="E396">
        <v>8</v>
      </c>
      <c r="F396" t="s">
        <v>35</v>
      </c>
      <c r="G396" s="1">
        <v>44470</v>
      </c>
      <c r="H396" t="s">
        <v>36</v>
      </c>
      <c r="I396" t="s">
        <v>184</v>
      </c>
      <c r="J396">
        <v>2016.6</v>
      </c>
    </row>
    <row r="397" spans="1:10" x14ac:dyDescent="0.25">
      <c r="A397" t="s">
        <v>78</v>
      </c>
      <c r="B397" t="s">
        <v>195</v>
      </c>
      <c r="C397" t="s">
        <v>83</v>
      </c>
      <c r="D397" t="s">
        <v>84</v>
      </c>
      <c r="E397">
        <v>8</v>
      </c>
      <c r="F397" t="s">
        <v>35</v>
      </c>
      <c r="G397" s="1">
        <v>44470</v>
      </c>
      <c r="H397" t="s">
        <v>36</v>
      </c>
      <c r="I397" t="s">
        <v>260</v>
      </c>
      <c r="J397">
        <v>163.31</v>
      </c>
    </row>
    <row r="398" spans="1:10" x14ac:dyDescent="0.25">
      <c r="A398" t="s">
        <v>78</v>
      </c>
      <c r="B398" t="s">
        <v>195</v>
      </c>
      <c r="C398" t="s">
        <v>83</v>
      </c>
      <c r="D398" t="s">
        <v>84</v>
      </c>
      <c r="E398">
        <v>8</v>
      </c>
      <c r="F398" t="s">
        <v>35</v>
      </c>
      <c r="G398" s="1">
        <v>44470</v>
      </c>
      <c r="H398" t="s">
        <v>36</v>
      </c>
      <c r="I398" t="s">
        <v>1</v>
      </c>
      <c r="J398">
        <v>806.64</v>
      </c>
    </row>
    <row r="399" spans="1:10" x14ac:dyDescent="0.25">
      <c r="A399" t="s">
        <v>78</v>
      </c>
      <c r="B399" t="s">
        <v>195</v>
      </c>
      <c r="C399" t="s">
        <v>85</v>
      </c>
      <c r="D399" t="s">
        <v>86</v>
      </c>
      <c r="E399">
        <v>11</v>
      </c>
      <c r="F399" t="s">
        <v>35</v>
      </c>
      <c r="G399" s="1">
        <v>44495</v>
      </c>
      <c r="H399" t="s">
        <v>36</v>
      </c>
      <c r="I399" t="s">
        <v>184</v>
      </c>
      <c r="J399">
        <v>4033.2</v>
      </c>
    </row>
    <row r="400" spans="1:10" x14ac:dyDescent="0.25">
      <c r="A400" t="s">
        <v>78</v>
      </c>
      <c r="B400" t="s">
        <v>195</v>
      </c>
      <c r="C400" t="s">
        <v>85</v>
      </c>
      <c r="D400" t="s">
        <v>86</v>
      </c>
      <c r="E400">
        <v>11</v>
      </c>
      <c r="F400" t="s">
        <v>35</v>
      </c>
      <c r="G400" s="1">
        <v>44495</v>
      </c>
      <c r="H400" t="s">
        <v>36</v>
      </c>
      <c r="I400" t="s">
        <v>260</v>
      </c>
      <c r="J400">
        <v>400.82</v>
      </c>
    </row>
    <row r="401" spans="1:10" x14ac:dyDescent="0.25">
      <c r="A401" t="s">
        <v>78</v>
      </c>
      <c r="B401" t="s">
        <v>195</v>
      </c>
      <c r="C401" t="s">
        <v>85</v>
      </c>
      <c r="D401" t="s">
        <v>86</v>
      </c>
      <c r="E401">
        <v>11</v>
      </c>
      <c r="F401" t="s">
        <v>35</v>
      </c>
      <c r="G401" s="1">
        <v>44495</v>
      </c>
      <c r="H401" t="s">
        <v>36</v>
      </c>
      <c r="I401" t="s">
        <v>1</v>
      </c>
      <c r="J401">
        <v>1613.28</v>
      </c>
    </row>
    <row r="402" spans="1:10" x14ac:dyDescent="0.25">
      <c r="A402" t="s">
        <v>78</v>
      </c>
      <c r="B402" t="s">
        <v>195</v>
      </c>
      <c r="C402" t="s">
        <v>87</v>
      </c>
      <c r="D402" t="s">
        <v>77</v>
      </c>
      <c r="E402">
        <v>10</v>
      </c>
      <c r="F402" t="s">
        <v>35</v>
      </c>
      <c r="G402" s="1">
        <v>44470</v>
      </c>
      <c r="H402" t="s">
        <v>36</v>
      </c>
      <c r="I402" t="s">
        <v>184</v>
      </c>
      <c r="J402">
        <v>1388.5</v>
      </c>
    </row>
    <row r="403" spans="1:10" x14ac:dyDescent="0.25">
      <c r="A403" t="s">
        <v>78</v>
      </c>
      <c r="B403" t="s">
        <v>195</v>
      </c>
      <c r="C403" t="s">
        <v>87</v>
      </c>
      <c r="D403" t="s">
        <v>77</v>
      </c>
      <c r="E403">
        <v>10</v>
      </c>
      <c r="F403" t="s">
        <v>35</v>
      </c>
      <c r="G403" s="1">
        <v>44470</v>
      </c>
      <c r="H403" t="s">
        <v>36</v>
      </c>
      <c r="I403" t="s">
        <v>260</v>
      </c>
      <c r="J403">
        <v>106.78</v>
      </c>
    </row>
    <row r="404" spans="1:10" x14ac:dyDescent="0.25">
      <c r="A404" t="s">
        <v>78</v>
      </c>
      <c r="B404" t="s">
        <v>195</v>
      </c>
      <c r="C404" t="s">
        <v>87</v>
      </c>
      <c r="D404" t="s">
        <v>77</v>
      </c>
      <c r="E404">
        <v>10</v>
      </c>
      <c r="F404" t="s">
        <v>35</v>
      </c>
      <c r="G404" s="1">
        <v>44470</v>
      </c>
      <c r="H404" t="s">
        <v>36</v>
      </c>
      <c r="I404" t="s">
        <v>1</v>
      </c>
      <c r="J404">
        <v>555.4</v>
      </c>
    </row>
    <row r="405" spans="1:10" x14ac:dyDescent="0.25">
      <c r="A405" t="s">
        <v>78</v>
      </c>
      <c r="B405" t="s">
        <v>195</v>
      </c>
      <c r="C405" t="s">
        <v>90</v>
      </c>
      <c r="D405" t="s">
        <v>91</v>
      </c>
      <c r="E405">
        <v>2</v>
      </c>
      <c r="F405" t="s">
        <v>35</v>
      </c>
      <c r="G405" s="1">
        <v>44390</v>
      </c>
      <c r="H405" t="s">
        <v>36</v>
      </c>
      <c r="I405" t="s">
        <v>184</v>
      </c>
      <c r="J405">
        <v>1859.94</v>
      </c>
    </row>
    <row r="406" spans="1:10" x14ac:dyDescent="0.25">
      <c r="A406" t="s">
        <v>78</v>
      </c>
      <c r="B406" t="s">
        <v>195</v>
      </c>
      <c r="C406" t="s">
        <v>90</v>
      </c>
      <c r="D406" t="s">
        <v>91</v>
      </c>
      <c r="E406">
        <v>2</v>
      </c>
      <c r="F406" t="s">
        <v>35</v>
      </c>
      <c r="G406" s="1">
        <v>44390</v>
      </c>
      <c r="H406" t="s">
        <v>36</v>
      </c>
      <c r="I406" t="s">
        <v>260</v>
      </c>
      <c r="J406">
        <v>149.21</v>
      </c>
    </row>
    <row r="407" spans="1:10" x14ac:dyDescent="0.25">
      <c r="A407" t="s">
        <v>78</v>
      </c>
      <c r="B407" t="s">
        <v>195</v>
      </c>
      <c r="C407" t="s">
        <v>90</v>
      </c>
      <c r="D407" t="s">
        <v>91</v>
      </c>
      <c r="E407">
        <v>2</v>
      </c>
      <c r="F407" t="s">
        <v>35</v>
      </c>
      <c r="G407" s="1">
        <v>44390</v>
      </c>
      <c r="H407" t="s">
        <v>36</v>
      </c>
      <c r="I407" t="s">
        <v>1</v>
      </c>
      <c r="J407">
        <v>743.98</v>
      </c>
    </row>
    <row r="408" spans="1:10" x14ac:dyDescent="0.25">
      <c r="A408" t="s">
        <v>78</v>
      </c>
      <c r="B408" t="s">
        <v>195</v>
      </c>
      <c r="C408" t="s">
        <v>92</v>
      </c>
      <c r="D408" t="s">
        <v>270</v>
      </c>
      <c r="E408">
        <v>4</v>
      </c>
      <c r="F408" t="s">
        <v>35</v>
      </c>
      <c r="G408" s="1">
        <v>44397</v>
      </c>
      <c r="H408" t="s">
        <v>36</v>
      </c>
      <c r="I408" t="s">
        <v>184</v>
      </c>
      <c r="J408">
        <v>1388.5</v>
      </c>
    </row>
    <row r="409" spans="1:10" x14ac:dyDescent="0.25">
      <c r="A409" t="s">
        <v>78</v>
      </c>
      <c r="B409" t="s">
        <v>195</v>
      </c>
      <c r="C409" t="s">
        <v>92</v>
      </c>
      <c r="D409" t="s">
        <v>270</v>
      </c>
      <c r="E409">
        <v>4</v>
      </c>
      <c r="F409" t="s">
        <v>35</v>
      </c>
      <c r="G409" s="1">
        <v>44397</v>
      </c>
      <c r="H409" t="s">
        <v>36</v>
      </c>
      <c r="I409" t="s">
        <v>260</v>
      </c>
      <c r="J409">
        <v>106.78</v>
      </c>
    </row>
    <row r="410" spans="1:10" x14ac:dyDescent="0.25">
      <c r="A410" t="s">
        <v>78</v>
      </c>
      <c r="B410" t="s">
        <v>195</v>
      </c>
      <c r="C410" t="s">
        <v>92</v>
      </c>
      <c r="D410" t="s">
        <v>270</v>
      </c>
      <c r="E410">
        <v>4</v>
      </c>
      <c r="F410" t="s">
        <v>35</v>
      </c>
      <c r="G410" s="1">
        <v>44397</v>
      </c>
      <c r="H410" t="s">
        <v>36</v>
      </c>
      <c r="I410" t="s">
        <v>1</v>
      </c>
      <c r="J410">
        <v>555.4</v>
      </c>
    </row>
    <row r="411" spans="1:10" x14ac:dyDescent="0.25">
      <c r="A411" t="s">
        <v>43</v>
      </c>
      <c r="B411" t="s">
        <v>189</v>
      </c>
      <c r="C411" t="s">
        <v>157</v>
      </c>
      <c r="D411" t="s">
        <v>50</v>
      </c>
      <c r="E411">
        <v>8</v>
      </c>
      <c r="F411" t="s">
        <v>35</v>
      </c>
      <c r="G411" s="1">
        <v>40626</v>
      </c>
      <c r="H411" t="s">
        <v>36</v>
      </c>
      <c r="I411" t="s">
        <v>184</v>
      </c>
      <c r="J411">
        <v>1212</v>
      </c>
    </row>
    <row r="412" spans="1:10" x14ac:dyDescent="0.25">
      <c r="A412" t="s">
        <v>43</v>
      </c>
      <c r="B412" t="s">
        <v>189</v>
      </c>
      <c r="C412" t="s">
        <v>157</v>
      </c>
      <c r="D412" t="s">
        <v>50</v>
      </c>
      <c r="E412">
        <v>8</v>
      </c>
      <c r="F412" t="s">
        <v>35</v>
      </c>
      <c r="G412" s="1">
        <v>40626</v>
      </c>
      <c r="H412" t="s">
        <v>36</v>
      </c>
      <c r="I412" t="s">
        <v>18</v>
      </c>
      <c r="J412">
        <v>1212</v>
      </c>
    </row>
    <row r="413" spans="1:10" x14ac:dyDescent="0.25">
      <c r="A413" t="s">
        <v>43</v>
      </c>
      <c r="B413" t="s">
        <v>189</v>
      </c>
      <c r="C413" t="s">
        <v>47</v>
      </c>
      <c r="D413" t="s">
        <v>48</v>
      </c>
      <c r="E413">
        <v>8</v>
      </c>
      <c r="F413" t="s">
        <v>35</v>
      </c>
      <c r="G413" s="1">
        <v>41157</v>
      </c>
      <c r="H413" t="s">
        <v>36</v>
      </c>
      <c r="I413" t="s">
        <v>184</v>
      </c>
      <c r="J413">
        <v>3021.99</v>
      </c>
    </row>
    <row r="414" spans="1:10" x14ac:dyDescent="0.25">
      <c r="A414" t="s">
        <v>43</v>
      </c>
      <c r="B414" t="s">
        <v>189</v>
      </c>
      <c r="C414" t="s">
        <v>47</v>
      </c>
      <c r="D414" t="s">
        <v>48</v>
      </c>
      <c r="E414">
        <v>8</v>
      </c>
      <c r="F414" t="s">
        <v>35</v>
      </c>
      <c r="G414" s="1">
        <v>41157</v>
      </c>
      <c r="H414" t="s">
        <v>36</v>
      </c>
      <c r="I414" t="s">
        <v>260</v>
      </c>
      <c r="J414">
        <v>326.02999999999997</v>
      </c>
    </row>
    <row r="415" spans="1:10" x14ac:dyDescent="0.25">
      <c r="A415" t="s">
        <v>43</v>
      </c>
      <c r="B415" t="s">
        <v>189</v>
      </c>
      <c r="C415" t="s">
        <v>47</v>
      </c>
      <c r="D415" t="s">
        <v>48</v>
      </c>
      <c r="E415">
        <v>8</v>
      </c>
      <c r="F415" t="s">
        <v>35</v>
      </c>
      <c r="G415" s="1">
        <v>41157</v>
      </c>
      <c r="H415" t="s">
        <v>36</v>
      </c>
      <c r="I415" t="s">
        <v>25</v>
      </c>
      <c r="J415">
        <v>453.3</v>
      </c>
    </row>
    <row r="416" spans="1:10" x14ac:dyDescent="0.25">
      <c r="A416" t="s">
        <v>43</v>
      </c>
      <c r="B416" t="s">
        <v>189</v>
      </c>
      <c r="C416" t="s">
        <v>47</v>
      </c>
      <c r="D416" t="s">
        <v>48</v>
      </c>
      <c r="E416">
        <v>8</v>
      </c>
      <c r="F416" t="s">
        <v>35</v>
      </c>
      <c r="G416" s="1">
        <v>41157</v>
      </c>
      <c r="H416" t="s">
        <v>36</v>
      </c>
      <c r="I416" t="s">
        <v>1</v>
      </c>
      <c r="J416">
        <v>1208.8</v>
      </c>
    </row>
    <row r="417" spans="1:10" x14ac:dyDescent="0.25">
      <c r="A417" t="s">
        <v>43</v>
      </c>
      <c r="B417" t="s">
        <v>189</v>
      </c>
      <c r="C417" t="s">
        <v>47</v>
      </c>
      <c r="D417" t="s">
        <v>48</v>
      </c>
      <c r="E417">
        <v>8</v>
      </c>
      <c r="F417" t="s">
        <v>35</v>
      </c>
      <c r="G417" s="1">
        <v>41157</v>
      </c>
      <c r="H417" t="s">
        <v>36</v>
      </c>
      <c r="I417" t="s">
        <v>6</v>
      </c>
      <c r="J417">
        <v>59.99</v>
      </c>
    </row>
    <row r="418" spans="1:10" x14ac:dyDescent="0.25">
      <c r="A418" t="s">
        <v>75</v>
      </c>
      <c r="B418" t="s">
        <v>194</v>
      </c>
      <c r="C418" t="s">
        <v>242</v>
      </c>
      <c r="D418" t="s">
        <v>290</v>
      </c>
      <c r="E418">
        <v>37</v>
      </c>
      <c r="F418" t="s">
        <v>35</v>
      </c>
      <c r="G418" s="1">
        <v>44715</v>
      </c>
      <c r="H418" t="s">
        <v>36</v>
      </c>
      <c r="I418" t="s">
        <v>184</v>
      </c>
      <c r="J418">
        <v>2000</v>
      </c>
    </row>
    <row r="419" spans="1:10" x14ac:dyDescent="0.25">
      <c r="A419" t="s">
        <v>75</v>
      </c>
      <c r="B419" t="s">
        <v>194</v>
      </c>
      <c r="C419" t="s">
        <v>242</v>
      </c>
      <c r="D419" t="s">
        <v>290</v>
      </c>
      <c r="E419">
        <v>37</v>
      </c>
      <c r="F419" t="s">
        <v>35</v>
      </c>
      <c r="G419" s="1">
        <v>44715</v>
      </c>
      <c r="H419" t="s">
        <v>36</v>
      </c>
      <c r="I419" t="s">
        <v>1</v>
      </c>
      <c r="J419">
        <v>746.67</v>
      </c>
    </row>
    <row r="420" spans="1:10" x14ac:dyDescent="0.25">
      <c r="A420" t="s">
        <v>75</v>
      </c>
      <c r="B420" t="s">
        <v>194</v>
      </c>
      <c r="C420" t="s">
        <v>242</v>
      </c>
      <c r="D420" t="s">
        <v>290</v>
      </c>
      <c r="E420">
        <v>37</v>
      </c>
      <c r="F420" t="s">
        <v>35</v>
      </c>
      <c r="G420" s="1">
        <v>44715</v>
      </c>
      <c r="H420" t="s">
        <v>36</v>
      </c>
      <c r="I420" t="s">
        <v>260</v>
      </c>
      <c r="J420">
        <v>149.82</v>
      </c>
    </row>
    <row r="421" spans="1:10" x14ac:dyDescent="0.25">
      <c r="A421" t="s">
        <v>75</v>
      </c>
      <c r="B421" t="s">
        <v>194</v>
      </c>
      <c r="C421" t="s">
        <v>279</v>
      </c>
      <c r="D421" t="s">
        <v>291</v>
      </c>
      <c r="E421">
        <v>40</v>
      </c>
      <c r="F421" t="s">
        <v>35</v>
      </c>
      <c r="G421" s="1">
        <v>44722</v>
      </c>
      <c r="H421" t="s">
        <v>36</v>
      </c>
      <c r="I421" t="s">
        <v>184</v>
      </c>
      <c r="J421">
        <v>600</v>
      </c>
    </row>
    <row r="422" spans="1:10" x14ac:dyDescent="0.25">
      <c r="A422" t="s">
        <v>75</v>
      </c>
      <c r="B422" t="s">
        <v>194</v>
      </c>
      <c r="C422" t="s">
        <v>279</v>
      </c>
      <c r="D422" t="s">
        <v>291</v>
      </c>
      <c r="E422">
        <v>40</v>
      </c>
      <c r="F422" t="s">
        <v>35</v>
      </c>
      <c r="G422" s="1">
        <v>44722</v>
      </c>
      <c r="H422" t="s">
        <v>36</v>
      </c>
      <c r="I422" t="s">
        <v>286</v>
      </c>
      <c r="J422">
        <v>168</v>
      </c>
    </row>
    <row r="423" spans="1:10" x14ac:dyDescent="0.25">
      <c r="A423" t="s">
        <v>75</v>
      </c>
      <c r="B423" t="s">
        <v>194</v>
      </c>
      <c r="C423" t="s">
        <v>292</v>
      </c>
      <c r="D423" t="s">
        <v>291</v>
      </c>
      <c r="E423">
        <v>38</v>
      </c>
      <c r="F423" t="s">
        <v>35</v>
      </c>
      <c r="G423" s="1">
        <v>44718</v>
      </c>
      <c r="H423" t="s">
        <v>36</v>
      </c>
      <c r="I423" t="s">
        <v>184</v>
      </c>
      <c r="J423">
        <v>600</v>
      </c>
    </row>
    <row r="424" spans="1:10" x14ac:dyDescent="0.25">
      <c r="A424" t="s">
        <v>75</v>
      </c>
      <c r="B424" t="s">
        <v>194</v>
      </c>
      <c r="C424" t="s">
        <v>292</v>
      </c>
      <c r="D424" t="s">
        <v>291</v>
      </c>
      <c r="E424">
        <v>38</v>
      </c>
      <c r="F424" t="s">
        <v>35</v>
      </c>
      <c r="G424" s="1">
        <v>44718</v>
      </c>
      <c r="H424" t="s">
        <v>36</v>
      </c>
      <c r="I424" t="s">
        <v>286</v>
      </c>
      <c r="J424">
        <v>200</v>
      </c>
    </row>
    <row r="425" spans="1:10" x14ac:dyDescent="0.25">
      <c r="A425" t="s">
        <v>75</v>
      </c>
      <c r="B425" t="s">
        <v>194</v>
      </c>
      <c r="C425" t="s">
        <v>278</v>
      </c>
      <c r="D425" t="s">
        <v>291</v>
      </c>
      <c r="E425">
        <v>39</v>
      </c>
      <c r="F425" t="s">
        <v>35</v>
      </c>
      <c r="G425" s="1">
        <v>44722</v>
      </c>
      <c r="H425" t="s">
        <v>36</v>
      </c>
      <c r="I425" t="s">
        <v>184</v>
      </c>
      <c r="J425">
        <v>750</v>
      </c>
    </row>
    <row r="426" spans="1:10" x14ac:dyDescent="0.25">
      <c r="A426" t="s">
        <v>75</v>
      </c>
      <c r="B426" t="s">
        <v>194</v>
      </c>
      <c r="C426" t="s">
        <v>278</v>
      </c>
      <c r="D426" t="s">
        <v>291</v>
      </c>
      <c r="E426">
        <v>39</v>
      </c>
      <c r="F426" t="s">
        <v>35</v>
      </c>
      <c r="G426" s="1">
        <v>44722</v>
      </c>
      <c r="H426" t="s">
        <v>36</v>
      </c>
      <c r="I426" t="s">
        <v>286</v>
      </c>
      <c r="J426">
        <v>210</v>
      </c>
    </row>
    <row r="427" spans="1:10" x14ac:dyDescent="0.25">
      <c r="A427" t="s">
        <v>97</v>
      </c>
      <c r="B427" t="s">
        <v>197</v>
      </c>
      <c r="C427" t="s">
        <v>177</v>
      </c>
      <c r="D427" t="s">
        <v>56</v>
      </c>
      <c r="E427">
        <v>21</v>
      </c>
      <c r="F427" t="s">
        <v>35</v>
      </c>
      <c r="G427" s="1">
        <v>44188</v>
      </c>
      <c r="H427" t="s">
        <v>36</v>
      </c>
      <c r="I427" t="s">
        <v>184</v>
      </c>
      <c r="J427">
        <v>1388.5</v>
      </c>
    </row>
    <row r="428" spans="1:10" x14ac:dyDescent="0.25">
      <c r="A428" t="s">
        <v>97</v>
      </c>
      <c r="B428" t="s">
        <v>197</v>
      </c>
      <c r="C428" t="s">
        <v>177</v>
      </c>
      <c r="D428" t="s">
        <v>56</v>
      </c>
      <c r="E428">
        <v>21</v>
      </c>
      <c r="F428" t="s">
        <v>35</v>
      </c>
      <c r="G428" s="1">
        <v>44188</v>
      </c>
      <c r="H428" t="s">
        <v>36</v>
      </c>
      <c r="I428" t="s">
        <v>260</v>
      </c>
      <c r="J428">
        <v>113.03</v>
      </c>
    </row>
    <row r="429" spans="1:10" x14ac:dyDescent="0.25">
      <c r="A429" t="s">
        <v>97</v>
      </c>
      <c r="B429" t="s">
        <v>197</v>
      </c>
      <c r="C429" t="s">
        <v>177</v>
      </c>
      <c r="D429" t="s">
        <v>56</v>
      </c>
      <c r="E429">
        <v>21</v>
      </c>
      <c r="F429" t="s">
        <v>35</v>
      </c>
      <c r="G429" s="1">
        <v>44188</v>
      </c>
      <c r="H429" t="s">
        <v>36</v>
      </c>
      <c r="I429" t="s">
        <v>7</v>
      </c>
      <c r="J429">
        <v>56.47</v>
      </c>
    </row>
    <row r="430" spans="1:10" x14ac:dyDescent="0.25">
      <c r="A430" t="s">
        <v>97</v>
      </c>
      <c r="B430" t="s">
        <v>197</v>
      </c>
      <c r="C430" t="s">
        <v>177</v>
      </c>
      <c r="D430" t="s">
        <v>56</v>
      </c>
      <c r="E430">
        <v>21</v>
      </c>
      <c r="F430" t="s">
        <v>35</v>
      </c>
      <c r="G430" s="1">
        <v>44188</v>
      </c>
      <c r="H430" t="s">
        <v>36</v>
      </c>
      <c r="I430" t="s">
        <v>1</v>
      </c>
      <c r="J430">
        <v>555.4</v>
      </c>
    </row>
    <row r="431" spans="1:10" x14ac:dyDescent="0.25">
      <c r="A431" t="s">
        <v>97</v>
      </c>
      <c r="B431" t="s">
        <v>197</v>
      </c>
      <c r="C431" t="s">
        <v>177</v>
      </c>
      <c r="D431" t="s">
        <v>56</v>
      </c>
      <c r="E431">
        <v>21</v>
      </c>
      <c r="F431" t="s">
        <v>35</v>
      </c>
      <c r="G431" s="1">
        <v>44188</v>
      </c>
      <c r="H431" t="s">
        <v>36</v>
      </c>
      <c r="I431" t="s">
        <v>3</v>
      </c>
      <c r="J431">
        <v>69.430000000000007</v>
      </c>
    </row>
    <row r="432" spans="1:10" x14ac:dyDescent="0.25">
      <c r="A432" t="s">
        <v>97</v>
      </c>
      <c r="B432" t="s">
        <v>197</v>
      </c>
      <c r="C432" t="s">
        <v>177</v>
      </c>
      <c r="D432" t="s">
        <v>56</v>
      </c>
      <c r="E432">
        <v>21</v>
      </c>
      <c r="F432" t="s">
        <v>35</v>
      </c>
      <c r="G432" s="1">
        <v>44188</v>
      </c>
      <c r="H432" t="s">
        <v>36</v>
      </c>
      <c r="I432" t="s">
        <v>200</v>
      </c>
      <c r="J432">
        <v>260.85000000000002</v>
      </c>
    </row>
    <row r="433" spans="1:10" x14ac:dyDescent="0.25">
      <c r="A433" t="s">
        <v>97</v>
      </c>
      <c r="B433" t="s">
        <v>197</v>
      </c>
      <c r="C433" t="s">
        <v>177</v>
      </c>
      <c r="D433" t="s">
        <v>56</v>
      </c>
      <c r="E433">
        <v>21</v>
      </c>
      <c r="F433" t="s">
        <v>35</v>
      </c>
      <c r="G433" s="1">
        <v>44188</v>
      </c>
      <c r="H433" t="s">
        <v>36</v>
      </c>
      <c r="I433" t="s">
        <v>2</v>
      </c>
      <c r="J433">
        <v>83.31</v>
      </c>
    </row>
    <row r="434" spans="1:10" x14ac:dyDescent="0.25">
      <c r="A434" t="s">
        <v>97</v>
      </c>
      <c r="B434" t="s">
        <v>197</v>
      </c>
      <c r="C434" t="s">
        <v>98</v>
      </c>
      <c r="D434" t="s">
        <v>99</v>
      </c>
      <c r="E434">
        <v>3</v>
      </c>
      <c r="F434" t="s">
        <v>35</v>
      </c>
      <c r="G434" s="1">
        <v>41214</v>
      </c>
      <c r="H434" t="s">
        <v>36</v>
      </c>
      <c r="I434" t="s">
        <v>184</v>
      </c>
      <c r="J434">
        <v>3102.11</v>
      </c>
    </row>
    <row r="435" spans="1:10" x14ac:dyDescent="0.25">
      <c r="A435" t="s">
        <v>97</v>
      </c>
      <c r="B435" t="s">
        <v>197</v>
      </c>
      <c r="C435" t="s">
        <v>98</v>
      </c>
      <c r="D435" t="s">
        <v>99</v>
      </c>
      <c r="E435">
        <v>3</v>
      </c>
      <c r="F435" t="s">
        <v>35</v>
      </c>
      <c r="G435" s="1">
        <v>41214</v>
      </c>
      <c r="H435" t="s">
        <v>36</v>
      </c>
      <c r="I435" t="s">
        <v>27</v>
      </c>
      <c r="J435">
        <v>465.32</v>
      </c>
    </row>
    <row r="436" spans="1:10" x14ac:dyDescent="0.25">
      <c r="A436" t="s">
        <v>97</v>
      </c>
      <c r="B436" t="s">
        <v>197</v>
      </c>
      <c r="C436" t="s">
        <v>98</v>
      </c>
      <c r="D436" t="s">
        <v>99</v>
      </c>
      <c r="E436">
        <v>3</v>
      </c>
      <c r="F436" t="s">
        <v>35</v>
      </c>
      <c r="G436" s="1">
        <v>41214</v>
      </c>
      <c r="H436" t="s">
        <v>36</v>
      </c>
      <c r="I436" t="s">
        <v>260</v>
      </c>
      <c r="J436">
        <v>337.08</v>
      </c>
    </row>
    <row r="437" spans="1:10" x14ac:dyDescent="0.25">
      <c r="A437" t="s">
        <v>97</v>
      </c>
      <c r="B437" t="s">
        <v>197</v>
      </c>
      <c r="C437" t="s">
        <v>98</v>
      </c>
      <c r="D437" t="s">
        <v>99</v>
      </c>
      <c r="E437">
        <v>3</v>
      </c>
      <c r="F437" t="s">
        <v>35</v>
      </c>
      <c r="G437" s="1">
        <v>41214</v>
      </c>
      <c r="H437" t="s">
        <v>36</v>
      </c>
      <c r="I437" t="s">
        <v>1</v>
      </c>
      <c r="J437">
        <v>1240.8399999999999</v>
      </c>
    </row>
    <row r="438" spans="1:10" x14ac:dyDescent="0.25">
      <c r="A438" t="s">
        <v>97</v>
      </c>
      <c r="B438" t="s">
        <v>197</v>
      </c>
      <c r="C438" t="s">
        <v>216</v>
      </c>
      <c r="D438" t="s">
        <v>50</v>
      </c>
      <c r="E438">
        <v>1</v>
      </c>
      <c r="F438" t="s">
        <v>35</v>
      </c>
      <c r="G438" s="1">
        <v>40799</v>
      </c>
      <c r="H438" t="s">
        <v>36</v>
      </c>
      <c r="I438" t="s">
        <v>184</v>
      </c>
      <c r="J438">
        <v>2364</v>
      </c>
    </row>
    <row r="439" spans="1:10" x14ac:dyDescent="0.25">
      <c r="A439" t="s">
        <v>97</v>
      </c>
      <c r="B439" t="s">
        <v>197</v>
      </c>
      <c r="C439" t="s">
        <v>216</v>
      </c>
      <c r="D439" t="s">
        <v>50</v>
      </c>
      <c r="E439">
        <v>1</v>
      </c>
      <c r="F439" t="s">
        <v>35</v>
      </c>
      <c r="G439" s="1">
        <v>40799</v>
      </c>
      <c r="H439" t="s">
        <v>36</v>
      </c>
      <c r="I439" t="s">
        <v>18</v>
      </c>
      <c r="J439">
        <v>2364</v>
      </c>
    </row>
    <row r="440" spans="1:10" x14ac:dyDescent="0.25">
      <c r="A440" t="s">
        <v>97</v>
      </c>
      <c r="B440" t="s">
        <v>197</v>
      </c>
      <c r="C440" t="s">
        <v>100</v>
      </c>
      <c r="D440" t="s">
        <v>101</v>
      </c>
      <c r="E440">
        <v>1</v>
      </c>
      <c r="F440" t="s">
        <v>35</v>
      </c>
      <c r="G440" s="1">
        <v>40940</v>
      </c>
      <c r="H440" t="s">
        <v>36</v>
      </c>
      <c r="I440" t="s">
        <v>184</v>
      </c>
      <c r="J440">
        <v>1749.68</v>
      </c>
    </row>
    <row r="441" spans="1:10" x14ac:dyDescent="0.25">
      <c r="A441" t="s">
        <v>97</v>
      </c>
      <c r="B441" t="s">
        <v>197</v>
      </c>
      <c r="C441" t="s">
        <v>100</v>
      </c>
      <c r="D441" t="s">
        <v>101</v>
      </c>
      <c r="E441">
        <v>1</v>
      </c>
      <c r="F441" t="s">
        <v>35</v>
      </c>
      <c r="G441" s="1">
        <v>40940</v>
      </c>
      <c r="H441" t="s">
        <v>36</v>
      </c>
      <c r="I441" t="s">
        <v>1</v>
      </c>
      <c r="J441">
        <v>795.31</v>
      </c>
    </row>
    <row r="442" spans="1:10" x14ac:dyDescent="0.25">
      <c r="A442" t="s">
        <v>97</v>
      </c>
      <c r="B442" t="s">
        <v>197</v>
      </c>
      <c r="C442" t="s">
        <v>100</v>
      </c>
      <c r="D442" t="s">
        <v>101</v>
      </c>
      <c r="E442">
        <v>1</v>
      </c>
      <c r="F442" t="s">
        <v>35</v>
      </c>
      <c r="G442" s="1">
        <v>40940</v>
      </c>
      <c r="H442" t="s">
        <v>36</v>
      </c>
      <c r="I442" t="s">
        <v>260</v>
      </c>
      <c r="J442">
        <v>147.16</v>
      </c>
    </row>
    <row r="443" spans="1:10" x14ac:dyDescent="0.25">
      <c r="A443" t="s">
        <v>97</v>
      </c>
      <c r="B443" t="s">
        <v>197</v>
      </c>
      <c r="C443" t="s">
        <v>100</v>
      </c>
      <c r="D443" t="s">
        <v>101</v>
      </c>
      <c r="E443">
        <v>1</v>
      </c>
      <c r="F443" t="s">
        <v>35</v>
      </c>
      <c r="G443" s="1">
        <v>40940</v>
      </c>
      <c r="H443" t="s">
        <v>36</v>
      </c>
      <c r="I443" t="s">
        <v>28</v>
      </c>
      <c r="J443">
        <v>87.48</v>
      </c>
    </row>
    <row r="444" spans="1:10" x14ac:dyDescent="0.25">
      <c r="A444" t="s">
        <v>97</v>
      </c>
      <c r="B444" t="s">
        <v>197</v>
      </c>
      <c r="C444" t="s">
        <v>100</v>
      </c>
      <c r="D444" t="s">
        <v>101</v>
      </c>
      <c r="E444">
        <v>1</v>
      </c>
      <c r="F444" t="s">
        <v>35</v>
      </c>
      <c r="G444" s="1">
        <v>40940</v>
      </c>
      <c r="H444" t="s">
        <v>36</v>
      </c>
      <c r="I444" t="s">
        <v>293</v>
      </c>
      <c r="J444">
        <v>58.32</v>
      </c>
    </row>
    <row r="445" spans="1:10" x14ac:dyDescent="0.25">
      <c r="A445" t="s">
        <v>97</v>
      </c>
      <c r="B445" t="s">
        <v>197</v>
      </c>
      <c r="C445" t="s">
        <v>100</v>
      </c>
      <c r="D445" t="s">
        <v>101</v>
      </c>
      <c r="E445">
        <v>1</v>
      </c>
      <c r="F445" t="s">
        <v>35</v>
      </c>
      <c r="G445" s="1">
        <v>40940</v>
      </c>
      <c r="H445" t="s">
        <v>36</v>
      </c>
      <c r="I445" t="s">
        <v>200</v>
      </c>
      <c r="J445">
        <v>122.87</v>
      </c>
    </row>
    <row r="446" spans="1:10" x14ac:dyDescent="0.25">
      <c r="A446" t="s">
        <v>94</v>
      </c>
      <c r="B446" t="s">
        <v>196</v>
      </c>
      <c r="C446" t="s">
        <v>173</v>
      </c>
      <c r="D446" t="s">
        <v>58</v>
      </c>
      <c r="E446">
        <v>29</v>
      </c>
      <c r="F446" t="s">
        <v>35</v>
      </c>
      <c r="G446" s="1">
        <v>43056</v>
      </c>
      <c r="H446" t="s">
        <v>36</v>
      </c>
      <c r="I446" t="s">
        <v>184</v>
      </c>
      <c r="J446">
        <v>1388.5</v>
      </c>
    </row>
    <row r="447" spans="1:10" x14ac:dyDescent="0.25">
      <c r="A447" t="s">
        <v>94</v>
      </c>
      <c r="B447" t="s">
        <v>196</v>
      </c>
      <c r="C447" t="s">
        <v>173</v>
      </c>
      <c r="D447" t="s">
        <v>58</v>
      </c>
      <c r="E447">
        <v>29</v>
      </c>
      <c r="F447" t="s">
        <v>35</v>
      </c>
      <c r="G447" s="1">
        <v>43056</v>
      </c>
      <c r="H447" t="s">
        <v>36</v>
      </c>
      <c r="I447" t="s">
        <v>1</v>
      </c>
      <c r="J447">
        <v>555.4</v>
      </c>
    </row>
    <row r="448" spans="1:10" x14ac:dyDescent="0.25">
      <c r="A448" t="s">
        <v>94</v>
      </c>
      <c r="B448" t="s">
        <v>196</v>
      </c>
      <c r="C448" t="s">
        <v>173</v>
      </c>
      <c r="D448" t="s">
        <v>58</v>
      </c>
      <c r="E448">
        <v>29</v>
      </c>
      <c r="F448" t="s">
        <v>35</v>
      </c>
      <c r="G448" s="1">
        <v>43056</v>
      </c>
      <c r="H448" t="s">
        <v>36</v>
      </c>
      <c r="I448" t="s">
        <v>260</v>
      </c>
      <c r="J448">
        <v>113.03</v>
      </c>
    </row>
    <row r="449" spans="1:10" x14ac:dyDescent="0.25">
      <c r="A449" t="s">
        <v>94</v>
      </c>
      <c r="B449" t="s">
        <v>196</v>
      </c>
      <c r="C449" t="s">
        <v>173</v>
      </c>
      <c r="D449" t="s">
        <v>58</v>
      </c>
      <c r="E449">
        <v>29</v>
      </c>
      <c r="F449" t="s">
        <v>35</v>
      </c>
      <c r="G449" s="1">
        <v>43056</v>
      </c>
      <c r="H449" t="s">
        <v>36</v>
      </c>
      <c r="I449" t="s">
        <v>5</v>
      </c>
      <c r="J449">
        <v>69.430000000000007</v>
      </c>
    </row>
    <row r="450" spans="1:10" x14ac:dyDescent="0.25">
      <c r="A450" t="s">
        <v>94</v>
      </c>
      <c r="B450" t="s">
        <v>196</v>
      </c>
      <c r="C450" t="s">
        <v>173</v>
      </c>
      <c r="D450" t="s">
        <v>58</v>
      </c>
      <c r="E450">
        <v>29</v>
      </c>
      <c r="F450" t="s">
        <v>35</v>
      </c>
      <c r="G450" s="1">
        <v>43056</v>
      </c>
      <c r="H450" t="s">
        <v>36</v>
      </c>
      <c r="I450" t="s">
        <v>6</v>
      </c>
      <c r="J450">
        <v>144.49</v>
      </c>
    </row>
    <row r="451" spans="1:10" x14ac:dyDescent="0.25">
      <c r="A451" t="s">
        <v>94</v>
      </c>
      <c r="B451" t="s">
        <v>196</v>
      </c>
      <c r="C451" t="s">
        <v>173</v>
      </c>
      <c r="D451" t="s">
        <v>58</v>
      </c>
      <c r="E451">
        <v>29</v>
      </c>
      <c r="F451" t="s">
        <v>35</v>
      </c>
      <c r="G451" s="1">
        <v>43056</v>
      </c>
      <c r="H451" t="s">
        <v>36</v>
      </c>
      <c r="I451" t="s">
        <v>2</v>
      </c>
      <c r="J451">
        <v>83.31</v>
      </c>
    </row>
    <row r="452" spans="1:10" x14ac:dyDescent="0.25">
      <c r="A452" t="s">
        <v>94</v>
      </c>
      <c r="B452" t="s">
        <v>196</v>
      </c>
      <c r="C452" t="s">
        <v>96</v>
      </c>
      <c r="D452" t="s">
        <v>58</v>
      </c>
      <c r="E452">
        <v>20</v>
      </c>
      <c r="F452" t="s">
        <v>35</v>
      </c>
      <c r="G452" s="1">
        <v>42927</v>
      </c>
      <c r="H452" t="s">
        <v>36</v>
      </c>
      <c r="I452" t="s">
        <v>184</v>
      </c>
      <c r="J452">
        <v>1388.5</v>
      </c>
    </row>
    <row r="453" spans="1:10" x14ac:dyDescent="0.25">
      <c r="A453" t="s">
        <v>94</v>
      </c>
      <c r="B453" t="s">
        <v>196</v>
      </c>
      <c r="C453" t="s">
        <v>96</v>
      </c>
      <c r="D453" t="s">
        <v>58</v>
      </c>
      <c r="E453">
        <v>20</v>
      </c>
      <c r="F453" t="s">
        <v>35</v>
      </c>
      <c r="G453" s="1">
        <v>42927</v>
      </c>
      <c r="H453" t="s">
        <v>36</v>
      </c>
      <c r="I453" t="s">
        <v>7</v>
      </c>
      <c r="J453">
        <v>56.47</v>
      </c>
    </row>
    <row r="454" spans="1:10" x14ac:dyDescent="0.25">
      <c r="A454" t="s">
        <v>94</v>
      </c>
      <c r="B454" t="s">
        <v>196</v>
      </c>
      <c r="C454" t="s">
        <v>96</v>
      </c>
      <c r="D454" t="s">
        <v>58</v>
      </c>
      <c r="E454">
        <v>20</v>
      </c>
      <c r="F454" t="s">
        <v>35</v>
      </c>
      <c r="G454" s="1">
        <v>42927</v>
      </c>
      <c r="H454" t="s">
        <v>36</v>
      </c>
      <c r="I454" t="s">
        <v>260</v>
      </c>
      <c r="J454">
        <v>113.03</v>
      </c>
    </row>
    <row r="455" spans="1:10" x14ac:dyDescent="0.25">
      <c r="A455" t="s">
        <v>94</v>
      </c>
      <c r="B455" t="s">
        <v>196</v>
      </c>
      <c r="C455" t="s">
        <v>96</v>
      </c>
      <c r="D455" t="s">
        <v>58</v>
      </c>
      <c r="E455">
        <v>20</v>
      </c>
      <c r="F455" t="s">
        <v>35</v>
      </c>
      <c r="G455" s="1">
        <v>42927</v>
      </c>
      <c r="H455" t="s">
        <v>36</v>
      </c>
      <c r="I455" t="s">
        <v>5</v>
      </c>
      <c r="J455">
        <v>69.430000000000007</v>
      </c>
    </row>
    <row r="456" spans="1:10" x14ac:dyDescent="0.25">
      <c r="A456" t="s">
        <v>94</v>
      </c>
      <c r="B456" t="s">
        <v>196</v>
      </c>
      <c r="C456" t="s">
        <v>96</v>
      </c>
      <c r="D456" t="s">
        <v>58</v>
      </c>
      <c r="E456">
        <v>20</v>
      </c>
      <c r="F456" t="s">
        <v>35</v>
      </c>
      <c r="G456" s="1">
        <v>42927</v>
      </c>
      <c r="H456" t="s">
        <v>36</v>
      </c>
      <c r="I456" t="s">
        <v>1</v>
      </c>
      <c r="J456">
        <v>555.4</v>
      </c>
    </row>
    <row r="457" spans="1:10" x14ac:dyDescent="0.25">
      <c r="A457" t="s">
        <v>94</v>
      </c>
      <c r="B457" t="s">
        <v>196</v>
      </c>
      <c r="C457" t="s">
        <v>96</v>
      </c>
      <c r="D457" t="s">
        <v>58</v>
      </c>
      <c r="E457">
        <v>20</v>
      </c>
      <c r="F457" t="s">
        <v>35</v>
      </c>
      <c r="G457" s="1">
        <v>42927</v>
      </c>
      <c r="H457" t="s">
        <v>36</v>
      </c>
      <c r="I457" t="s">
        <v>6</v>
      </c>
      <c r="J457">
        <v>192.04</v>
      </c>
    </row>
    <row r="458" spans="1:10" x14ac:dyDescent="0.25">
      <c r="A458" t="s">
        <v>70</v>
      </c>
      <c r="B458" t="s">
        <v>193</v>
      </c>
      <c r="C458" t="s">
        <v>71</v>
      </c>
      <c r="D458" t="s">
        <v>58</v>
      </c>
      <c r="E458">
        <v>16</v>
      </c>
      <c r="F458" t="s">
        <v>35</v>
      </c>
      <c r="G458" s="1">
        <v>43199</v>
      </c>
      <c r="H458" t="s">
        <v>36</v>
      </c>
      <c r="I458" t="s">
        <v>184</v>
      </c>
      <c r="J458">
        <v>1240</v>
      </c>
    </row>
    <row r="459" spans="1:10" x14ac:dyDescent="0.25">
      <c r="A459" t="s">
        <v>70</v>
      </c>
      <c r="B459" t="s">
        <v>193</v>
      </c>
      <c r="C459" t="s">
        <v>71</v>
      </c>
      <c r="D459" t="s">
        <v>58</v>
      </c>
      <c r="E459">
        <v>16</v>
      </c>
      <c r="F459" t="s">
        <v>35</v>
      </c>
      <c r="G459" s="1">
        <v>43199</v>
      </c>
      <c r="H459" t="s">
        <v>36</v>
      </c>
      <c r="I459" t="s">
        <v>260</v>
      </c>
      <c r="J459">
        <v>96.76</v>
      </c>
    </row>
    <row r="460" spans="1:10" x14ac:dyDescent="0.25">
      <c r="A460" t="s">
        <v>70</v>
      </c>
      <c r="B460" t="s">
        <v>193</v>
      </c>
      <c r="C460" t="s">
        <v>71</v>
      </c>
      <c r="D460" t="s">
        <v>58</v>
      </c>
      <c r="E460">
        <v>16</v>
      </c>
      <c r="F460" t="s">
        <v>35</v>
      </c>
      <c r="G460" s="1">
        <v>43199</v>
      </c>
      <c r="H460" t="s">
        <v>36</v>
      </c>
      <c r="I460" t="s">
        <v>14</v>
      </c>
      <c r="J460">
        <v>37.200000000000003</v>
      </c>
    </row>
    <row r="461" spans="1:10" x14ac:dyDescent="0.25">
      <c r="A461" t="s">
        <v>70</v>
      </c>
      <c r="B461" t="s">
        <v>193</v>
      </c>
      <c r="C461" t="s">
        <v>71</v>
      </c>
      <c r="D461" t="s">
        <v>58</v>
      </c>
      <c r="E461">
        <v>16</v>
      </c>
      <c r="F461" t="s">
        <v>35</v>
      </c>
      <c r="G461" s="1">
        <v>43199</v>
      </c>
      <c r="H461" t="s">
        <v>36</v>
      </c>
      <c r="I461" t="s">
        <v>1</v>
      </c>
      <c r="J461">
        <v>496</v>
      </c>
    </row>
    <row r="462" spans="1:10" x14ac:dyDescent="0.25">
      <c r="A462" t="s">
        <v>70</v>
      </c>
      <c r="B462" t="s">
        <v>193</v>
      </c>
      <c r="C462" t="s">
        <v>71</v>
      </c>
      <c r="D462" t="s">
        <v>58</v>
      </c>
      <c r="E462">
        <v>16</v>
      </c>
      <c r="F462" t="s">
        <v>35</v>
      </c>
      <c r="G462" s="1">
        <v>43199</v>
      </c>
      <c r="H462" t="s">
        <v>36</v>
      </c>
      <c r="I462" t="s">
        <v>15</v>
      </c>
      <c r="J462">
        <v>8</v>
      </c>
    </row>
    <row r="463" spans="1:10" x14ac:dyDescent="0.25">
      <c r="A463" t="s">
        <v>70</v>
      </c>
      <c r="B463" t="s">
        <v>193</v>
      </c>
      <c r="C463" t="s">
        <v>74</v>
      </c>
      <c r="D463" t="s">
        <v>58</v>
      </c>
      <c r="E463">
        <v>12</v>
      </c>
      <c r="F463" t="s">
        <v>35</v>
      </c>
      <c r="G463" s="1">
        <v>42263</v>
      </c>
      <c r="H463" t="s">
        <v>36</v>
      </c>
      <c r="I463" t="s">
        <v>184</v>
      </c>
      <c r="J463">
        <v>1240</v>
      </c>
    </row>
    <row r="464" spans="1:10" x14ac:dyDescent="0.25">
      <c r="A464" t="s">
        <v>70</v>
      </c>
      <c r="B464" t="s">
        <v>193</v>
      </c>
      <c r="C464" t="s">
        <v>74</v>
      </c>
      <c r="D464" t="s">
        <v>58</v>
      </c>
      <c r="E464">
        <v>12</v>
      </c>
      <c r="F464" t="s">
        <v>35</v>
      </c>
      <c r="G464" s="1">
        <v>42263</v>
      </c>
      <c r="H464" t="s">
        <v>36</v>
      </c>
      <c r="I464" t="s">
        <v>260</v>
      </c>
      <c r="J464">
        <v>96.76</v>
      </c>
    </row>
    <row r="465" spans="1:10" x14ac:dyDescent="0.25">
      <c r="A465" t="s">
        <v>70</v>
      </c>
      <c r="B465" t="s">
        <v>193</v>
      </c>
      <c r="C465" t="s">
        <v>74</v>
      </c>
      <c r="D465" t="s">
        <v>58</v>
      </c>
      <c r="E465">
        <v>12</v>
      </c>
      <c r="F465" t="s">
        <v>35</v>
      </c>
      <c r="G465" s="1">
        <v>42263</v>
      </c>
      <c r="H465" t="s">
        <v>36</v>
      </c>
      <c r="I465" t="s">
        <v>14</v>
      </c>
      <c r="J465">
        <v>37.200000000000003</v>
      </c>
    </row>
    <row r="466" spans="1:10" x14ac:dyDescent="0.25">
      <c r="A466" t="s">
        <v>70</v>
      </c>
      <c r="B466" t="s">
        <v>193</v>
      </c>
      <c r="C466" t="s">
        <v>74</v>
      </c>
      <c r="D466" t="s">
        <v>58</v>
      </c>
      <c r="E466">
        <v>12</v>
      </c>
      <c r="F466" t="s">
        <v>35</v>
      </c>
      <c r="G466" s="1">
        <v>42263</v>
      </c>
      <c r="H466" t="s">
        <v>36</v>
      </c>
      <c r="I466" t="s">
        <v>1</v>
      </c>
      <c r="J466">
        <v>496</v>
      </c>
    </row>
    <row r="467" spans="1:10" x14ac:dyDescent="0.25">
      <c r="A467" t="s">
        <v>70</v>
      </c>
      <c r="B467" t="s">
        <v>193</v>
      </c>
      <c r="C467" t="s">
        <v>74</v>
      </c>
      <c r="D467" t="s">
        <v>58</v>
      </c>
      <c r="E467">
        <v>12</v>
      </c>
      <c r="F467" t="s">
        <v>35</v>
      </c>
      <c r="G467" s="1">
        <v>42263</v>
      </c>
      <c r="H467" t="s">
        <v>36</v>
      </c>
      <c r="I467" t="s">
        <v>15</v>
      </c>
      <c r="J467">
        <v>8</v>
      </c>
    </row>
    <row r="468" spans="1:10" x14ac:dyDescent="0.25">
      <c r="A468" t="s">
        <v>32</v>
      </c>
      <c r="B468" t="s">
        <v>187</v>
      </c>
      <c r="C468" t="s">
        <v>33</v>
      </c>
      <c r="D468" t="s">
        <v>58</v>
      </c>
      <c r="E468">
        <v>26</v>
      </c>
      <c r="F468" t="s">
        <v>35</v>
      </c>
      <c r="G468" s="1">
        <v>44361</v>
      </c>
      <c r="H468" t="s">
        <v>36</v>
      </c>
      <c r="I468" t="s">
        <v>184</v>
      </c>
      <c r="J468">
        <v>1302.04</v>
      </c>
    </row>
    <row r="469" spans="1:10" x14ac:dyDescent="0.25">
      <c r="A469" t="s">
        <v>32</v>
      </c>
      <c r="B469" t="s">
        <v>187</v>
      </c>
      <c r="C469" t="s">
        <v>33</v>
      </c>
      <c r="D469" t="s">
        <v>58</v>
      </c>
      <c r="E469">
        <v>26</v>
      </c>
      <c r="F469" t="s">
        <v>35</v>
      </c>
      <c r="G469" s="1">
        <v>44361</v>
      </c>
      <c r="H469" t="s">
        <v>36</v>
      </c>
      <c r="I469" t="s">
        <v>260</v>
      </c>
      <c r="J469">
        <v>99</v>
      </c>
    </row>
    <row r="470" spans="1:10" x14ac:dyDescent="0.25">
      <c r="A470" t="s">
        <v>32</v>
      </c>
      <c r="B470" t="s">
        <v>187</v>
      </c>
      <c r="C470" t="s">
        <v>33</v>
      </c>
      <c r="D470" t="s">
        <v>58</v>
      </c>
      <c r="E470">
        <v>26</v>
      </c>
      <c r="F470" t="s">
        <v>35</v>
      </c>
      <c r="G470" s="1">
        <v>44361</v>
      </c>
      <c r="H470" t="s">
        <v>36</v>
      </c>
      <c r="I470" t="s">
        <v>7</v>
      </c>
      <c r="J470">
        <v>56.47</v>
      </c>
    </row>
    <row r="471" spans="1:10" x14ac:dyDescent="0.25">
      <c r="A471" t="s">
        <v>32</v>
      </c>
      <c r="B471" t="s">
        <v>187</v>
      </c>
      <c r="C471" t="s">
        <v>33</v>
      </c>
      <c r="D471" t="s">
        <v>58</v>
      </c>
      <c r="E471">
        <v>26</v>
      </c>
      <c r="F471" t="s">
        <v>35</v>
      </c>
      <c r="G471" s="1">
        <v>44361</v>
      </c>
      <c r="H471" t="s">
        <v>36</v>
      </c>
      <c r="I471" t="s">
        <v>1</v>
      </c>
      <c r="J471">
        <v>520.82000000000005</v>
      </c>
    </row>
    <row r="472" spans="1:10" x14ac:dyDescent="0.25">
      <c r="A472" t="s">
        <v>32</v>
      </c>
      <c r="B472" t="s">
        <v>187</v>
      </c>
      <c r="C472" t="s">
        <v>33</v>
      </c>
      <c r="D472" t="s">
        <v>58</v>
      </c>
      <c r="E472">
        <v>26</v>
      </c>
      <c r="F472" t="s">
        <v>35</v>
      </c>
      <c r="G472" s="1">
        <v>44361</v>
      </c>
      <c r="H472" t="s">
        <v>36</v>
      </c>
      <c r="I472" t="s">
        <v>289</v>
      </c>
      <c r="J472">
        <v>21.94</v>
      </c>
    </row>
    <row r="473" spans="1:10" x14ac:dyDescent="0.25">
      <c r="A473" t="s">
        <v>32</v>
      </c>
      <c r="B473" t="s">
        <v>187</v>
      </c>
      <c r="C473" t="s">
        <v>37</v>
      </c>
      <c r="D473" t="s">
        <v>58</v>
      </c>
      <c r="E473">
        <v>25</v>
      </c>
      <c r="F473" t="s">
        <v>35</v>
      </c>
      <c r="G473" s="1">
        <v>44361</v>
      </c>
      <c r="H473" t="s">
        <v>36</v>
      </c>
      <c r="I473" t="s">
        <v>184</v>
      </c>
      <c r="J473">
        <v>1302.04</v>
      </c>
    </row>
    <row r="474" spans="1:10" x14ac:dyDescent="0.25">
      <c r="A474" t="s">
        <v>32</v>
      </c>
      <c r="B474" t="s">
        <v>187</v>
      </c>
      <c r="C474" t="s">
        <v>37</v>
      </c>
      <c r="D474" t="s">
        <v>58</v>
      </c>
      <c r="E474">
        <v>25</v>
      </c>
      <c r="F474" t="s">
        <v>35</v>
      </c>
      <c r="G474" s="1">
        <v>44361</v>
      </c>
      <c r="H474" t="s">
        <v>36</v>
      </c>
      <c r="I474" t="s">
        <v>260</v>
      </c>
      <c r="J474">
        <v>99</v>
      </c>
    </row>
    <row r="475" spans="1:10" x14ac:dyDescent="0.25">
      <c r="A475" t="s">
        <v>32</v>
      </c>
      <c r="B475" t="s">
        <v>187</v>
      </c>
      <c r="C475" t="s">
        <v>37</v>
      </c>
      <c r="D475" t="s">
        <v>58</v>
      </c>
      <c r="E475">
        <v>25</v>
      </c>
      <c r="F475" t="s">
        <v>35</v>
      </c>
      <c r="G475" s="1">
        <v>44361</v>
      </c>
      <c r="H475" t="s">
        <v>36</v>
      </c>
      <c r="I475" t="s">
        <v>7</v>
      </c>
      <c r="J475">
        <v>56.47</v>
      </c>
    </row>
    <row r="476" spans="1:10" x14ac:dyDescent="0.25">
      <c r="A476" t="s">
        <v>32</v>
      </c>
      <c r="B476" t="s">
        <v>187</v>
      </c>
      <c r="C476" t="s">
        <v>37</v>
      </c>
      <c r="D476" t="s">
        <v>58</v>
      </c>
      <c r="E476">
        <v>25</v>
      </c>
      <c r="F476" t="s">
        <v>35</v>
      </c>
      <c r="G476" s="1">
        <v>44361</v>
      </c>
      <c r="H476" t="s">
        <v>36</v>
      </c>
      <c r="I476" t="s">
        <v>1</v>
      </c>
      <c r="J476">
        <v>520.82000000000005</v>
      </c>
    </row>
    <row r="477" spans="1:10" x14ac:dyDescent="0.25">
      <c r="A477" t="s">
        <v>32</v>
      </c>
      <c r="B477" t="s">
        <v>187</v>
      </c>
      <c r="C477" t="s">
        <v>37</v>
      </c>
      <c r="D477" t="s">
        <v>58</v>
      </c>
      <c r="E477">
        <v>25</v>
      </c>
      <c r="F477" t="s">
        <v>35</v>
      </c>
      <c r="G477" s="1">
        <v>44361</v>
      </c>
      <c r="H477" t="s">
        <v>36</v>
      </c>
      <c r="I477" t="s">
        <v>289</v>
      </c>
      <c r="J477">
        <v>21.94</v>
      </c>
    </row>
    <row r="478" spans="1:10" x14ac:dyDescent="0.25">
      <c r="A478" t="s">
        <v>32</v>
      </c>
      <c r="B478" t="s">
        <v>187</v>
      </c>
      <c r="C478" t="s">
        <v>153</v>
      </c>
      <c r="D478" t="s">
        <v>58</v>
      </c>
      <c r="E478">
        <v>13</v>
      </c>
      <c r="F478" t="s">
        <v>35</v>
      </c>
      <c r="G478" s="1">
        <v>43175</v>
      </c>
      <c r="H478" t="s">
        <v>36</v>
      </c>
      <c r="I478" t="s">
        <v>184</v>
      </c>
      <c r="J478">
        <v>1302.04</v>
      </c>
    </row>
    <row r="479" spans="1:10" x14ac:dyDescent="0.25">
      <c r="A479" t="s">
        <v>32</v>
      </c>
      <c r="B479" t="s">
        <v>187</v>
      </c>
      <c r="C479" t="s">
        <v>153</v>
      </c>
      <c r="D479" t="s">
        <v>58</v>
      </c>
      <c r="E479">
        <v>13</v>
      </c>
      <c r="F479" t="s">
        <v>35</v>
      </c>
      <c r="G479" s="1">
        <v>43175</v>
      </c>
      <c r="H479" t="s">
        <v>36</v>
      </c>
      <c r="I479" t="s">
        <v>1</v>
      </c>
      <c r="J479">
        <v>520.82000000000005</v>
      </c>
    </row>
    <row r="480" spans="1:10" x14ac:dyDescent="0.25">
      <c r="A480" t="s">
        <v>32</v>
      </c>
      <c r="B480" t="s">
        <v>187</v>
      </c>
      <c r="C480" t="s">
        <v>153</v>
      </c>
      <c r="D480" t="s">
        <v>58</v>
      </c>
      <c r="E480">
        <v>13</v>
      </c>
      <c r="F480" t="s">
        <v>35</v>
      </c>
      <c r="G480" s="1">
        <v>43175</v>
      </c>
      <c r="H480" t="s">
        <v>36</v>
      </c>
      <c r="I480" t="s">
        <v>260</v>
      </c>
      <c r="J480">
        <v>102.51</v>
      </c>
    </row>
    <row r="481" spans="1:10" x14ac:dyDescent="0.25">
      <c r="A481" t="s">
        <v>32</v>
      </c>
      <c r="B481" t="s">
        <v>187</v>
      </c>
      <c r="C481" t="s">
        <v>153</v>
      </c>
      <c r="D481" t="s">
        <v>58</v>
      </c>
      <c r="E481">
        <v>13</v>
      </c>
      <c r="F481" t="s">
        <v>35</v>
      </c>
      <c r="G481" s="1">
        <v>43175</v>
      </c>
      <c r="H481" t="s">
        <v>36</v>
      </c>
      <c r="I481" t="s">
        <v>17</v>
      </c>
      <c r="J481">
        <v>39.06</v>
      </c>
    </row>
    <row r="482" spans="1:10" x14ac:dyDescent="0.25">
      <c r="A482" t="s">
        <v>32</v>
      </c>
      <c r="B482" t="s">
        <v>187</v>
      </c>
      <c r="C482" t="s">
        <v>153</v>
      </c>
      <c r="D482" t="s">
        <v>58</v>
      </c>
      <c r="E482">
        <v>13</v>
      </c>
      <c r="F482" t="s">
        <v>35</v>
      </c>
      <c r="G482" s="1">
        <v>43175</v>
      </c>
      <c r="H482" t="s">
        <v>36</v>
      </c>
      <c r="I482" t="s">
        <v>200</v>
      </c>
      <c r="J482">
        <v>57</v>
      </c>
    </row>
    <row r="483" spans="1:10" x14ac:dyDescent="0.25">
      <c r="A483" t="s">
        <v>32</v>
      </c>
      <c r="B483" t="s">
        <v>187</v>
      </c>
      <c r="C483" t="s">
        <v>153</v>
      </c>
      <c r="D483" t="s">
        <v>58</v>
      </c>
      <c r="E483">
        <v>13</v>
      </c>
      <c r="F483" t="s">
        <v>35</v>
      </c>
      <c r="G483" s="1">
        <v>43175</v>
      </c>
      <c r="H483" t="s">
        <v>36</v>
      </c>
      <c r="I483" t="s">
        <v>289</v>
      </c>
      <c r="J483">
        <v>21.94</v>
      </c>
    </row>
    <row r="484" spans="1:10" x14ac:dyDescent="0.25">
      <c r="A484" t="s">
        <v>54</v>
      </c>
      <c r="B484" t="s">
        <v>190</v>
      </c>
      <c r="C484" t="s">
        <v>57</v>
      </c>
      <c r="D484" t="s">
        <v>58</v>
      </c>
      <c r="E484">
        <v>28</v>
      </c>
      <c r="F484" t="s">
        <v>35</v>
      </c>
      <c r="G484" s="1">
        <v>43046</v>
      </c>
      <c r="H484" t="s">
        <v>36</v>
      </c>
      <c r="I484" t="s">
        <v>184</v>
      </c>
      <c r="J484">
        <v>1388.5</v>
      </c>
    </row>
    <row r="485" spans="1:10" x14ac:dyDescent="0.25">
      <c r="A485" t="s">
        <v>54</v>
      </c>
      <c r="B485" t="s">
        <v>190</v>
      </c>
      <c r="C485" t="s">
        <v>57</v>
      </c>
      <c r="D485" t="s">
        <v>58</v>
      </c>
      <c r="E485">
        <v>28</v>
      </c>
      <c r="F485" t="s">
        <v>35</v>
      </c>
      <c r="G485" s="1">
        <v>43046</v>
      </c>
      <c r="H485" t="s">
        <v>36</v>
      </c>
      <c r="I485" t="s">
        <v>1</v>
      </c>
      <c r="J485">
        <v>555.4</v>
      </c>
    </row>
    <row r="486" spans="1:10" x14ac:dyDescent="0.25">
      <c r="A486" t="s">
        <v>54</v>
      </c>
      <c r="B486" t="s">
        <v>190</v>
      </c>
      <c r="C486" t="s">
        <v>57</v>
      </c>
      <c r="D486" t="s">
        <v>58</v>
      </c>
      <c r="E486">
        <v>28</v>
      </c>
      <c r="F486" t="s">
        <v>35</v>
      </c>
      <c r="G486" s="1">
        <v>43046</v>
      </c>
      <c r="H486" t="s">
        <v>36</v>
      </c>
      <c r="I486" t="s">
        <v>260</v>
      </c>
      <c r="J486">
        <v>113.03</v>
      </c>
    </row>
    <row r="487" spans="1:10" x14ac:dyDescent="0.25">
      <c r="A487" t="s">
        <v>54</v>
      </c>
      <c r="B487" t="s">
        <v>190</v>
      </c>
      <c r="C487" t="s">
        <v>57</v>
      </c>
      <c r="D487" t="s">
        <v>58</v>
      </c>
      <c r="E487">
        <v>28</v>
      </c>
      <c r="F487" t="s">
        <v>35</v>
      </c>
      <c r="G487" s="1">
        <v>43046</v>
      </c>
      <c r="H487" t="s">
        <v>36</v>
      </c>
      <c r="I487" t="s">
        <v>19</v>
      </c>
      <c r="J487">
        <v>69.430000000000007</v>
      </c>
    </row>
    <row r="488" spans="1:10" x14ac:dyDescent="0.25">
      <c r="A488" t="s">
        <v>54</v>
      </c>
      <c r="B488" t="s">
        <v>190</v>
      </c>
      <c r="C488" t="s">
        <v>57</v>
      </c>
      <c r="D488" t="s">
        <v>58</v>
      </c>
      <c r="E488">
        <v>28</v>
      </c>
      <c r="F488" t="s">
        <v>35</v>
      </c>
      <c r="G488" s="1">
        <v>43046</v>
      </c>
      <c r="H488" t="s">
        <v>36</v>
      </c>
      <c r="I488" t="s">
        <v>200</v>
      </c>
      <c r="J488">
        <v>100</v>
      </c>
    </row>
    <row r="489" spans="1:10" x14ac:dyDescent="0.25">
      <c r="A489" t="s">
        <v>54</v>
      </c>
      <c r="B489" t="s">
        <v>190</v>
      </c>
      <c r="C489" t="s">
        <v>57</v>
      </c>
      <c r="D489" t="s">
        <v>58</v>
      </c>
      <c r="E489">
        <v>28</v>
      </c>
      <c r="F489" t="s">
        <v>35</v>
      </c>
      <c r="G489" s="1">
        <v>43046</v>
      </c>
      <c r="H489" t="s">
        <v>36</v>
      </c>
      <c r="I489" t="s">
        <v>2</v>
      </c>
      <c r="J489">
        <v>83.31</v>
      </c>
    </row>
    <row r="490" spans="1:10" x14ac:dyDescent="0.25">
      <c r="A490" t="s">
        <v>59</v>
      </c>
      <c r="B490" t="s">
        <v>191</v>
      </c>
      <c r="C490" t="s">
        <v>271</v>
      </c>
      <c r="D490" t="s">
        <v>58</v>
      </c>
      <c r="E490">
        <v>32</v>
      </c>
      <c r="F490" t="s">
        <v>35</v>
      </c>
      <c r="G490" s="1">
        <v>44663</v>
      </c>
      <c r="H490" t="s">
        <v>36</v>
      </c>
      <c r="I490" t="s">
        <v>184</v>
      </c>
      <c r="J490">
        <v>1352.86</v>
      </c>
    </row>
    <row r="491" spans="1:10" x14ac:dyDescent="0.25">
      <c r="A491" t="s">
        <v>59</v>
      </c>
      <c r="B491" t="s">
        <v>191</v>
      </c>
      <c r="C491" t="s">
        <v>271</v>
      </c>
      <c r="D491" t="s">
        <v>58</v>
      </c>
      <c r="E491">
        <v>32</v>
      </c>
      <c r="F491" t="s">
        <v>35</v>
      </c>
      <c r="G491" s="1">
        <v>44663</v>
      </c>
      <c r="H491" t="s">
        <v>36</v>
      </c>
      <c r="I491" t="s">
        <v>1</v>
      </c>
      <c r="J491">
        <v>541.14</v>
      </c>
    </row>
    <row r="492" spans="1:10" x14ac:dyDescent="0.25">
      <c r="A492" t="s">
        <v>59</v>
      </c>
      <c r="B492" t="s">
        <v>191</v>
      </c>
      <c r="C492" t="s">
        <v>271</v>
      </c>
      <c r="D492" t="s">
        <v>58</v>
      </c>
      <c r="E492">
        <v>32</v>
      </c>
      <c r="F492" t="s">
        <v>35</v>
      </c>
      <c r="G492" s="1">
        <v>44663</v>
      </c>
      <c r="H492" t="s">
        <v>36</v>
      </c>
      <c r="I492" t="s">
        <v>260</v>
      </c>
      <c r="J492">
        <v>103.57</v>
      </c>
    </row>
    <row r="493" spans="1:10" x14ac:dyDescent="0.25">
      <c r="A493" t="s">
        <v>59</v>
      </c>
      <c r="B493" t="s">
        <v>191</v>
      </c>
      <c r="C493" t="s">
        <v>271</v>
      </c>
      <c r="D493" t="s">
        <v>58</v>
      </c>
      <c r="E493">
        <v>32</v>
      </c>
      <c r="F493" t="s">
        <v>35</v>
      </c>
      <c r="G493" s="1">
        <v>44663</v>
      </c>
      <c r="H493" t="s">
        <v>36</v>
      </c>
      <c r="I493" t="s">
        <v>20</v>
      </c>
      <c r="J493">
        <v>16.600000000000001</v>
      </c>
    </row>
    <row r="494" spans="1:10" x14ac:dyDescent="0.25">
      <c r="A494" t="s">
        <v>59</v>
      </c>
      <c r="B494" t="s">
        <v>191</v>
      </c>
      <c r="C494" t="s">
        <v>169</v>
      </c>
      <c r="D494" t="s">
        <v>58</v>
      </c>
      <c r="E494">
        <v>8</v>
      </c>
      <c r="F494" t="s">
        <v>35</v>
      </c>
      <c r="G494" s="1">
        <v>42955</v>
      </c>
      <c r="H494" t="s">
        <v>36</v>
      </c>
      <c r="I494" t="s">
        <v>184</v>
      </c>
      <c r="J494">
        <v>1352.86</v>
      </c>
    </row>
    <row r="495" spans="1:10" x14ac:dyDescent="0.25">
      <c r="A495" t="s">
        <v>59</v>
      </c>
      <c r="B495" t="s">
        <v>191</v>
      </c>
      <c r="C495" t="s">
        <v>169</v>
      </c>
      <c r="D495" t="s">
        <v>58</v>
      </c>
      <c r="E495">
        <v>8</v>
      </c>
      <c r="F495" t="s">
        <v>35</v>
      </c>
      <c r="G495" s="1">
        <v>42955</v>
      </c>
      <c r="H495" t="s">
        <v>36</v>
      </c>
      <c r="I495" t="s">
        <v>1</v>
      </c>
      <c r="J495">
        <v>541.14</v>
      </c>
    </row>
    <row r="496" spans="1:10" x14ac:dyDescent="0.25">
      <c r="A496" t="s">
        <v>59</v>
      </c>
      <c r="B496" t="s">
        <v>191</v>
      </c>
      <c r="C496" t="s">
        <v>169</v>
      </c>
      <c r="D496" t="s">
        <v>58</v>
      </c>
      <c r="E496">
        <v>8</v>
      </c>
      <c r="F496" t="s">
        <v>35</v>
      </c>
      <c r="G496" s="1">
        <v>42955</v>
      </c>
      <c r="H496" t="s">
        <v>36</v>
      </c>
      <c r="I496" t="s">
        <v>260</v>
      </c>
      <c r="J496">
        <v>107.23</v>
      </c>
    </row>
    <row r="497" spans="1:10" x14ac:dyDescent="0.25">
      <c r="A497" t="s">
        <v>59</v>
      </c>
      <c r="B497" t="s">
        <v>191</v>
      </c>
      <c r="C497" t="s">
        <v>169</v>
      </c>
      <c r="D497" t="s">
        <v>58</v>
      </c>
      <c r="E497">
        <v>8</v>
      </c>
      <c r="F497" t="s">
        <v>35</v>
      </c>
      <c r="G497" s="1">
        <v>42955</v>
      </c>
      <c r="H497" t="s">
        <v>36</v>
      </c>
      <c r="I497" t="s">
        <v>21</v>
      </c>
      <c r="J497">
        <v>40.590000000000003</v>
      </c>
    </row>
    <row r="498" spans="1:10" x14ac:dyDescent="0.25">
      <c r="A498" t="s">
        <v>59</v>
      </c>
      <c r="B498" t="s">
        <v>191</v>
      </c>
      <c r="C498" t="s">
        <v>169</v>
      </c>
      <c r="D498" t="s">
        <v>58</v>
      </c>
      <c r="E498">
        <v>8</v>
      </c>
      <c r="F498" t="s">
        <v>35</v>
      </c>
      <c r="G498" s="1">
        <v>42955</v>
      </c>
      <c r="H498" t="s">
        <v>36</v>
      </c>
      <c r="I498" t="s">
        <v>6</v>
      </c>
      <c r="J498">
        <v>60</v>
      </c>
    </row>
    <row r="499" spans="1:10" x14ac:dyDescent="0.25">
      <c r="A499" t="s">
        <v>59</v>
      </c>
      <c r="B499" t="s">
        <v>191</v>
      </c>
      <c r="C499" t="s">
        <v>169</v>
      </c>
      <c r="D499" t="s">
        <v>58</v>
      </c>
      <c r="E499">
        <v>8</v>
      </c>
      <c r="F499" t="s">
        <v>35</v>
      </c>
      <c r="G499" s="1">
        <v>42955</v>
      </c>
      <c r="H499" t="s">
        <v>36</v>
      </c>
      <c r="I499" t="s">
        <v>20</v>
      </c>
      <c r="J499">
        <v>16.600000000000001</v>
      </c>
    </row>
    <row r="500" spans="1:10" x14ac:dyDescent="0.25">
      <c r="A500" t="s">
        <v>40</v>
      </c>
      <c r="B500" t="s">
        <v>188</v>
      </c>
      <c r="C500" t="s">
        <v>162</v>
      </c>
      <c r="D500" t="s">
        <v>58</v>
      </c>
      <c r="E500">
        <v>5</v>
      </c>
      <c r="F500" t="s">
        <v>35</v>
      </c>
      <c r="G500" s="1">
        <v>43078</v>
      </c>
      <c r="H500" t="s">
        <v>36</v>
      </c>
      <c r="I500" t="s">
        <v>184</v>
      </c>
      <c r="J500">
        <v>1212</v>
      </c>
    </row>
    <row r="501" spans="1:10" x14ac:dyDescent="0.25">
      <c r="A501" t="s">
        <v>40</v>
      </c>
      <c r="B501" t="s">
        <v>188</v>
      </c>
      <c r="C501" t="s">
        <v>162</v>
      </c>
      <c r="D501" t="s">
        <v>58</v>
      </c>
      <c r="E501">
        <v>5</v>
      </c>
      <c r="F501" t="s">
        <v>35</v>
      </c>
      <c r="G501" s="1">
        <v>43078</v>
      </c>
      <c r="H501" t="s">
        <v>36</v>
      </c>
      <c r="I501" t="s">
        <v>7</v>
      </c>
      <c r="J501">
        <v>112.94</v>
      </c>
    </row>
    <row r="502" spans="1:10" x14ac:dyDescent="0.25">
      <c r="A502" t="s">
        <v>40</v>
      </c>
      <c r="B502" t="s">
        <v>188</v>
      </c>
      <c r="C502" t="s">
        <v>162</v>
      </c>
      <c r="D502" t="s">
        <v>58</v>
      </c>
      <c r="E502">
        <v>5</v>
      </c>
      <c r="F502" t="s">
        <v>35</v>
      </c>
      <c r="G502" s="1">
        <v>43078</v>
      </c>
      <c r="H502" t="s">
        <v>36</v>
      </c>
      <c r="I502" t="s">
        <v>260</v>
      </c>
      <c r="J502">
        <v>94.17</v>
      </c>
    </row>
    <row r="503" spans="1:10" x14ac:dyDescent="0.25">
      <c r="A503" t="s">
        <v>40</v>
      </c>
      <c r="B503" t="s">
        <v>188</v>
      </c>
      <c r="C503" t="s">
        <v>162</v>
      </c>
      <c r="D503" t="s">
        <v>58</v>
      </c>
      <c r="E503">
        <v>5</v>
      </c>
      <c r="F503" t="s">
        <v>35</v>
      </c>
      <c r="G503" s="1">
        <v>43078</v>
      </c>
      <c r="H503" t="s">
        <v>36</v>
      </c>
      <c r="I503" t="s">
        <v>5</v>
      </c>
      <c r="J503">
        <v>36.36</v>
      </c>
    </row>
    <row r="504" spans="1:10" x14ac:dyDescent="0.25">
      <c r="A504" t="s">
        <v>40</v>
      </c>
      <c r="B504" t="s">
        <v>188</v>
      </c>
      <c r="C504" t="s">
        <v>162</v>
      </c>
      <c r="D504" t="s">
        <v>58</v>
      </c>
      <c r="E504">
        <v>5</v>
      </c>
      <c r="F504" t="s">
        <v>35</v>
      </c>
      <c r="G504" s="1">
        <v>43078</v>
      </c>
      <c r="H504" t="s">
        <v>36</v>
      </c>
      <c r="I504" t="s">
        <v>1</v>
      </c>
      <c r="J504">
        <v>484.8</v>
      </c>
    </row>
    <row r="505" spans="1:10" x14ac:dyDescent="0.25">
      <c r="A505" t="s">
        <v>40</v>
      </c>
      <c r="B505" t="s">
        <v>188</v>
      </c>
      <c r="C505" t="s">
        <v>162</v>
      </c>
      <c r="D505" t="s">
        <v>58</v>
      </c>
      <c r="E505">
        <v>5</v>
      </c>
      <c r="F505" t="s">
        <v>35</v>
      </c>
      <c r="G505" s="1">
        <v>43078</v>
      </c>
      <c r="H505" t="s">
        <v>36</v>
      </c>
      <c r="I505" t="s">
        <v>200</v>
      </c>
      <c r="J505">
        <v>250.54</v>
      </c>
    </row>
    <row r="506" spans="1:10" x14ac:dyDescent="0.25">
      <c r="A506" t="s">
        <v>40</v>
      </c>
      <c r="B506" t="s">
        <v>188</v>
      </c>
      <c r="C506" t="s">
        <v>272</v>
      </c>
      <c r="D506" t="s">
        <v>58</v>
      </c>
      <c r="E506">
        <v>19</v>
      </c>
      <c r="F506" t="s">
        <v>35</v>
      </c>
      <c r="G506" s="1">
        <v>44683</v>
      </c>
      <c r="H506" t="s">
        <v>36</v>
      </c>
      <c r="I506" t="s">
        <v>184</v>
      </c>
      <c r="J506">
        <v>1212</v>
      </c>
    </row>
    <row r="507" spans="1:10" x14ac:dyDescent="0.25">
      <c r="A507" t="s">
        <v>40</v>
      </c>
      <c r="B507" t="s">
        <v>188</v>
      </c>
      <c r="C507" t="s">
        <v>272</v>
      </c>
      <c r="D507" t="s">
        <v>58</v>
      </c>
      <c r="E507">
        <v>19</v>
      </c>
      <c r="F507" t="s">
        <v>35</v>
      </c>
      <c r="G507" s="1">
        <v>44683</v>
      </c>
      <c r="H507" t="s">
        <v>36</v>
      </c>
      <c r="I507" t="s">
        <v>7</v>
      </c>
      <c r="J507">
        <v>56.47</v>
      </c>
    </row>
    <row r="508" spans="1:10" x14ac:dyDescent="0.25">
      <c r="A508" t="s">
        <v>40</v>
      </c>
      <c r="B508" t="s">
        <v>188</v>
      </c>
      <c r="C508" t="s">
        <v>272</v>
      </c>
      <c r="D508" t="s">
        <v>58</v>
      </c>
      <c r="E508">
        <v>19</v>
      </c>
      <c r="F508" t="s">
        <v>35</v>
      </c>
      <c r="G508" s="1">
        <v>44683</v>
      </c>
      <c r="H508" t="s">
        <v>36</v>
      </c>
      <c r="I508" t="s">
        <v>260</v>
      </c>
      <c r="J508">
        <v>90.9</v>
      </c>
    </row>
    <row r="509" spans="1:10" x14ac:dyDescent="0.25">
      <c r="A509" t="s">
        <v>40</v>
      </c>
      <c r="B509" t="s">
        <v>188</v>
      </c>
      <c r="C509" t="s">
        <v>272</v>
      </c>
      <c r="D509" t="s">
        <v>58</v>
      </c>
      <c r="E509">
        <v>19</v>
      </c>
      <c r="F509" t="s">
        <v>35</v>
      </c>
      <c r="G509" s="1">
        <v>44683</v>
      </c>
      <c r="H509" t="s">
        <v>36</v>
      </c>
      <c r="I509" t="s">
        <v>1</v>
      </c>
      <c r="J509">
        <v>484.8</v>
      </c>
    </row>
    <row r="510" spans="1:10" x14ac:dyDescent="0.25">
      <c r="A510" t="s">
        <v>75</v>
      </c>
      <c r="B510" t="s">
        <v>194</v>
      </c>
      <c r="C510" t="s">
        <v>76</v>
      </c>
      <c r="D510" t="s">
        <v>58</v>
      </c>
      <c r="E510">
        <v>33</v>
      </c>
      <c r="F510" t="s">
        <v>35</v>
      </c>
      <c r="G510" s="1">
        <v>43775</v>
      </c>
      <c r="H510" t="s">
        <v>36</v>
      </c>
      <c r="I510" t="s">
        <v>1</v>
      </c>
      <c r="J510">
        <v>555.4</v>
      </c>
    </row>
    <row r="511" spans="1:10" x14ac:dyDescent="0.25">
      <c r="A511" t="s">
        <v>97</v>
      </c>
      <c r="B511" t="s">
        <v>197</v>
      </c>
      <c r="C511" t="s">
        <v>155</v>
      </c>
      <c r="D511" t="s">
        <v>58</v>
      </c>
      <c r="E511">
        <v>2</v>
      </c>
      <c r="F511" t="s">
        <v>35</v>
      </c>
      <c r="G511" s="1">
        <v>41093</v>
      </c>
      <c r="H511" t="s">
        <v>36</v>
      </c>
      <c r="I511" t="s">
        <v>184</v>
      </c>
      <c r="J511">
        <v>1388.5</v>
      </c>
    </row>
    <row r="512" spans="1:10" x14ac:dyDescent="0.25">
      <c r="A512" t="s">
        <v>97</v>
      </c>
      <c r="B512" t="s">
        <v>197</v>
      </c>
      <c r="C512" t="s">
        <v>155</v>
      </c>
      <c r="D512" t="s">
        <v>58</v>
      </c>
      <c r="E512">
        <v>2</v>
      </c>
      <c r="F512" t="s">
        <v>35</v>
      </c>
      <c r="G512" s="1">
        <v>41093</v>
      </c>
      <c r="H512" t="s">
        <v>36</v>
      </c>
      <c r="I512" t="s">
        <v>1</v>
      </c>
      <c r="J512">
        <v>555.4</v>
      </c>
    </row>
    <row r="513" spans="1:10" x14ac:dyDescent="0.25">
      <c r="A513" t="s">
        <v>97</v>
      </c>
      <c r="B513" t="s">
        <v>197</v>
      </c>
      <c r="C513" t="s">
        <v>155</v>
      </c>
      <c r="D513" t="s">
        <v>58</v>
      </c>
      <c r="E513">
        <v>2</v>
      </c>
      <c r="F513" t="s">
        <v>35</v>
      </c>
      <c r="G513" s="1">
        <v>41093</v>
      </c>
      <c r="H513" t="s">
        <v>36</v>
      </c>
      <c r="I513" t="s">
        <v>260</v>
      </c>
      <c r="J513">
        <v>115.95</v>
      </c>
    </row>
    <row r="514" spans="1:10" x14ac:dyDescent="0.25">
      <c r="A514" t="s">
        <v>97</v>
      </c>
      <c r="B514" t="s">
        <v>197</v>
      </c>
      <c r="C514" t="s">
        <v>155</v>
      </c>
      <c r="D514" t="s">
        <v>58</v>
      </c>
      <c r="E514">
        <v>2</v>
      </c>
      <c r="F514" t="s">
        <v>35</v>
      </c>
      <c r="G514" s="1">
        <v>41093</v>
      </c>
      <c r="H514" t="s">
        <v>36</v>
      </c>
      <c r="I514" t="s">
        <v>27</v>
      </c>
      <c r="J514">
        <v>194.4</v>
      </c>
    </row>
    <row r="515" spans="1:10" x14ac:dyDescent="0.25">
      <c r="A515" t="s">
        <v>97</v>
      </c>
      <c r="B515" t="s">
        <v>197</v>
      </c>
      <c r="C515" t="s">
        <v>155</v>
      </c>
      <c r="D515" t="s">
        <v>58</v>
      </c>
      <c r="E515">
        <v>2</v>
      </c>
      <c r="F515" t="s">
        <v>35</v>
      </c>
      <c r="G515" s="1">
        <v>41093</v>
      </c>
      <c r="H515" t="s">
        <v>36</v>
      </c>
      <c r="I515" t="s">
        <v>9</v>
      </c>
      <c r="J515">
        <v>46.26</v>
      </c>
    </row>
    <row r="516" spans="1:10" x14ac:dyDescent="0.25">
      <c r="A516" t="s">
        <v>97</v>
      </c>
      <c r="B516" t="s">
        <v>197</v>
      </c>
      <c r="C516" t="s">
        <v>155</v>
      </c>
      <c r="D516" t="s">
        <v>58</v>
      </c>
      <c r="E516">
        <v>2</v>
      </c>
      <c r="F516" t="s">
        <v>35</v>
      </c>
      <c r="G516" s="1">
        <v>41093</v>
      </c>
      <c r="H516" t="s">
        <v>36</v>
      </c>
      <c r="I516" t="s">
        <v>7</v>
      </c>
      <c r="J516">
        <v>112.94</v>
      </c>
    </row>
    <row r="517" spans="1:10" x14ac:dyDescent="0.25">
      <c r="A517" t="s">
        <v>97</v>
      </c>
      <c r="B517" t="s">
        <v>197</v>
      </c>
      <c r="C517" t="s">
        <v>155</v>
      </c>
      <c r="D517" t="s">
        <v>58</v>
      </c>
      <c r="E517">
        <v>2</v>
      </c>
      <c r="F517" t="s">
        <v>35</v>
      </c>
      <c r="G517" s="1">
        <v>41093</v>
      </c>
      <c r="H517" t="s">
        <v>36</v>
      </c>
      <c r="I517" t="s">
        <v>200</v>
      </c>
      <c r="J517">
        <v>278.5</v>
      </c>
    </row>
    <row r="518" spans="1:10" x14ac:dyDescent="0.25">
      <c r="A518" t="s">
        <v>97</v>
      </c>
      <c r="B518" t="s">
        <v>197</v>
      </c>
      <c r="C518" t="s">
        <v>155</v>
      </c>
      <c r="D518" t="s">
        <v>58</v>
      </c>
      <c r="E518">
        <v>2</v>
      </c>
      <c r="F518" t="s">
        <v>35</v>
      </c>
      <c r="G518" s="1">
        <v>41093</v>
      </c>
      <c r="H518" t="s">
        <v>36</v>
      </c>
      <c r="I518" t="s">
        <v>8</v>
      </c>
      <c r="J518">
        <v>46.26</v>
      </c>
    </row>
    <row r="519" spans="1:10" x14ac:dyDescent="0.25">
      <c r="A519" t="s">
        <v>40</v>
      </c>
      <c r="B519" t="s">
        <v>188</v>
      </c>
      <c r="C519" t="s">
        <v>42</v>
      </c>
      <c r="D519" t="s">
        <v>58</v>
      </c>
      <c r="E519">
        <v>4</v>
      </c>
      <c r="F519" t="s">
        <v>67</v>
      </c>
      <c r="G519" s="1">
        <v>43078</v>
      </c>
      <c r="H519" t="s">
        <v>36</v>
      </c>
      <c r="I519" t="s">
        <v>184</v>
      </c>
      <c r="J519">
        <v>1212</v>
      </c>
    </row>
    <row r="520" spans="1:10" x14ac:dyDescent="0.25">
      <c r="A520" t="s">
        <v>40</v>
      </c>
      <c r="B520" t="s">
        <v>188</v>
      </c>
      <c r="C520" t="s">
        <v>42</v>
      </c>
      <c r="D520" t="s">
        <v>58</v>
      </c>
      <c r="E520">
        <v>4</v>
      </c>
      <c r="F520" t="s">
        <v>67</v>
      </c>
      <c r="G520" s="1">
        <v>43078</v>
      </c>
      <c r="H520" t="s">
        <v>36</v>
      </c>
      <c r="I520" t="s">
        <v>273</v>
      </c>
      <c r="J520">
        <v>5170.3</v>
      </c>
    </row>
    <row r="521" spans="1:10" x14ac:dyDescent="0.25">
      <c r="A521" t="s">
        <v>40</v>
      </c>
      <c r="B521" t="s">
        <v>188</v>
      </c>
      <c r="C521" t="s">
        <v>42</v>
      </c>
      <c r="D521" t="s">
        <v>58</v>
      </c>
      <c r="E521">
        <v>4</v>
      </c>
      <c r="F521" t="s">
        <v>67</v>
      </c>
      <c r="G521" s="1">
        <v>43078</v>
      </c>
      <c r="H521" t="s">
        <v>36</v>
      </c>
      <c r="I521" t="s">
        <v>200</v>
      </c>
      <c r="J521">
        <v>25</v>
      </c>
    </row>
    <row r="522" spans="1:10" x14ac:dyDescent="0.25">
      <c r="A522" t="s">
        <v>40</v>
      </c>
      <c r="B522" t="s">
        <v>188</v>
      </c>
      <c r="C522" t="s">
        <v>42</v>
      </c>
      <c r="D522" t="s">
        <v>58</v>
      </c>
      <c r="E522">
        <v>4</v>
      </c>
      <c r="F522" t="s">
        <v>67</v>
      </c>
      <c r="G522" s="1">
        <v>43078</v>
      </c>
      <c r="H522" t="s">
        <v>36</v>
      </c>
      <c r="I522" t="s">
        <v>23</v>
      </c>
      <c r="J522">
        <v>1090.8</v>
      </c>
    </row>
    <row r="523" spans="1:10" x14ac:dyDescent="0.25">
      <c r="A523" t="s">
        <v>40</v>
      </c>
      <c r="B523" t="s">
        <v>188</v>
      </c>
      <c r="C523" t="s">
        <v>42</v>
      </c>
      <c r="D523" t="s">
        <v>58</v>
      </c>
      <c r="E523">
        <v>4</v>
      </c>
      <c r="F523" t="s">
        <v>67</v>
      </c>
      <c r="G523" s="1">
        <v>43078</v>
      </c>
      <c r="H523" t="s">
        <v>36</v>
      </c>
      <c r="I523" t="s">
        <v>5</v>
      </c>
      <c r="J523">
        <v>32.72</v>
      </c>
    </row>
    <row r="524" spans="1:10" x14ac:dyDescent="0.25">
      <c r="A524" t="s">
        <v>40</v>
      </c>
      <c r="B524" t="s">
        <v>188</v>
      </c>
      <c r="C524" t="s">
        <v>42</v>
      </c>
      <c r="D524" t="s">
        <v>58</v>
      </c>
      <c r="E524">
        <v>4</v>
      </c>
      <c r="F524" t="s">
        <v>67</v>
      </c>
      <c r="G524" s="1">
        <v>43078</v>
      </c>
      <c r="H524" t="s">
        <v>36</v>
      </c>
      <c r="I524" t="s">
        <v>1</v>
      </c>
      <c r="J524">
        <v>484.8</v>
      </c>
    </row>
    <row r="525" spans="1:10" x14ac:dyDescent="0.25">
      <c r="A525" t="s">
        <v>256</v>
      </c>
      <c r="B525" t="s">
        <v>257</v>
      </c>
      <c r="C525" t="s">
        <v>52</v>
      </c>
      <c r="D525" t="s">
        <v>212</v>
      </c>
      <c r="E525">
        <v>26</v>
      </c>
      <c r="F525" t="s">
        <v>67</v>
      </c>
      <c r="G525" s="1">
        <v>43432</v>
      </c>
      <c r="H525" t="s">
        <v>36</v>
      </c>
      <c r="I525" t="s">
        <v>184</v>
      </c>
      <c r="J525">
        <v>1270</v>
      </c>
    </row>
    <row r="526" spans="1:10" x14ac:dyDescent="0.25">
      <c r="A526" t="s">
        <v>256</v>
      </c>
      <c r="B526" t="s">
        <v>257</v>
      </c>
      <c r="C526" t="s">
        <v>52</v>
      </c>
      <c r="D526" t="s">
        <v>212</v>
      </c>
      <c r="E526">
        <v>26</v>
      </c>
      <c r="F526" t="s">
        <v>67</v>
      </c>
      <c r="G526" s="1">
        <v>43432</v>
      </c>
      <c r="H526" t="s">
        <v>36</v>
      </c>
      <c r="I526" t="s">
        <v>273</v>
      </c>
      <c r="J526">
        <v>3511.17</v>
      </c>
    </row>
    <row r="527" spans="1:10" x14ac:dyDescent="0.25">
      <c r="A527" t="s">
        <v>256</v>
      </c>
      <c r="B527" t="s">
        <v>257</v>
      </c>
      <c r="C527" t="s">
        <v>52</v>
      </c>
      <c r="D527" t="s">
        <v>212</v>
      </c>
      <c r="E527">
        <v>26</v>
      </c>
      <c r="F527" t="s">
        <v>67</v>
      </c>
      <c r="G527" s="1">
        <v>43432</v>
      </c>
      <c r="H527" t="s">
        <v>36</v>
      </c>
      <c r="I527" t="s">
        <v>21</v>
      </c>
      <c r="J527">
        <v>22.86</v>
      </c>
    </row>
    <row r="528" spans="1:10" x14ac:dyDescent="0.25">
      <c r="A528" t="s">
        <v>256</v>
      </c>
      <c r="B528" t="s">
        <v>257</v>
      </c>
      <c r="C528" t="s">
        <v>52</v>
      </c>
      <c r="D528" t="s">
        <v>212</v>
      </c>
      <c r="E528">
        <v>26</v>
      </c>
      <c r="F528" t="s">
        <v>67</v>
      </c>
      <c r="G528" s="1">
        <v>43432</v>
      </c>
      <c r="H528" t="s">
        <v>36</v>
      </c>
      <c r="I528" t="s">
        <v>23</v>
      </c>
      <c r="J528">
        <v>762</v>
      </c>
    </row>
    <row r="529" spans="1:10" x14ac:dyDescent="0.25">
      <c r="A529" t="s">
        <v>62</v>
      </c>
      <c r="B529" t="s">
        <v>192</v>
      </c>
      <c r="C529" t="s">
        <v>69</v>
      </c>
      <c r="D529" t="s">
        <v>221</v>
      </c>
      <c r="E529">
        <v>39</v>
      </c>
      <c r="F529" t="s">
        <v>276</v>
      </c>
      <c r="G529" s="1">
        <v>44124</v>
      </c>
      <c r="H529" t="s">
        <v>36</v>
      </c>
      <c r="I529" t="s">
        <v>184</v>
      </c>
      <c r="J529">
        <v>1344.95</v>
      </c>
    </row>
    <row r="530" spans="1:10" x14ac:dyDescent="0.25">
      <c r="A530" t="s">
        <v>62</v>
      </c>
      <c r="B530" t="s">
        <v>192</v>
      </c>
      <c r="C530" t="s">
        <v>69</v>
      </c>
      <c r="D530" t="s">
        <v>221</v>
      </c>
      <c r="E530">
        <v>39</v>
      </c>
      <c r="F530" t="s">
        <v>276</v>
      </c>
      <c r="G530" s="1">
        <v>44124</v>
      </c>
      <c r="H530" t="s">
        <v>36</v>
      </c>
      <c r="I530" t="s">
        <v>13</v>
      </c>
      <c r="J530">
        <v>1650.06</v>
      </c>
    </row>
    <row r="531" spans="1:10" x14ac:dyDescent="0.25">
      <c r="A531" t="s">
        <v>62</v>
      </c>
      <c r="B531" t="s">
        <v>192</v>
      </c>
      <c r="C531" t="s">
        <v>69</v>
      </c>
      <c r="D531" t="s">
        <v>221</v>
      </c>
      <c r="E531">
        <v>39</v>
      </c>
      <c r="F531" t="s">
        <v>276</v>
      </c>
      <c r="G531" s="1">
        <v>44124</v>
      </c>
      <c r="H531" t="s">
        <v>36</v>
      </c>
      <c r="I531" t="s">
        <v>11</v>
      </c>
      <c r="J531">
        <v>1344.95</v>
      </c>
    </row>
    <row r="532" spans="1:10" x14ac:dyDescent="0.25">
      <c r="A532" t="s">
        <v>62</v>
      </c>
      <c r="B532" t="s">
        <v>192</v>
      </c>
      <c r="C532" t="s">
        <v>69</v>
      </c>
      <c r="D532" t="s">
        <v>221</v>
      </c>
      <c r="E532">
        <v>39</v>
      </c>
      <c r="F532" t="s">
        <v>276</v>
      </c>
      <c r="G532" s="1">
        <v>44124</v>
      </c>
      <c r="H532" t="s">
        <v>36</v>
      </c>
      <c r="I532" t="s">
        <v>200</v>
      </c>
      <c r="J532">
        <v>168.79</v>
      </c>
    </row>
    <row r="533" spans="1:10" x14ac:dyDescent="0.25">
      <c r="A533" t="s">
        <v>62</v>
      </c>
      <c r="B533" t="s">
        <v>192</v>
      </c>
      <c r="C533" t="s">
        <v>69</v>
      </c>
      <c r="D533" t="s">
        <v>221</v>
      </c>
      <c r="E533">
        <v>39</v>
      </c>
      <c r="F533" t="s">
        <v>276</v>
      </c>
      <c r="G533" s="1">
        <v>44124</v>
      </c>
      <c r="H533" t="s">
        <v>36</v>
      </c>
      <c r="I533" t="s">
        <v>7</v>
      </c>
      <c r="J533">
        <v>112.94</v>
      </c>
    </row>
    <row r="534" spans="1:10" x14ac:dyDescent="0.25">
      <c r="A534" t="s">
        <v>78</v>
      </c>
      <c r="B534" t="s">
        <v>195</v>
      </c>
      <c r="C534" t="s">
        <v>81</v>
      </c>
      <c r="D534" t="s">
        <v>82</v>
      </c>
      <c r="E534">
        <v>1</v>
      </c>
      <c r="F534" t="s">
        <v>274</v>
      </c>
      <c r="G534" s="1">
        <v>44368</v>
      </c>
      <c r="H534" t="s">
        <v>36</v>
      </c>
      <c r="I534" t="s">
        <v>184</v>
      </c>
      <c r="J534">
        <v>1666.72</v>
      </c>
    </row>
    <row r="535" spans="1:10" x14ac:dyDescent="0.25">
      <c r="A535" t="s">
        <v>78</v>
      </c>
      <c r="B535" t="s">
        <v>195</v>
      </c>
      <c r="C535" t="s">
        <v>81</v>
      </c>
      <c r="D535" t="s">
        <v>82</v>
      </c>
      <c r="E535">
        <v>1</v>
      </c>
      <c r="F535" t="s">
        <v>274</v>
      </c>
      <c r="G535" s="1">
        <v>44368</v>
      </c>
      <c r="H535" t="s">
        <v>36</v>
      </c>
      <c r="I535" t="s">
        <v>275</v>
      </c>
      <c r="J535">
        <v>1666.72</v>
      </c>
    </row>
    <row r="536" spans="1:10" x14ac:dyDescent="0.25">
      <c r="A536" t="s">
        <v>78</v>
      </c>
      <c r="B536" t="s">
        <v>195</v>
      </c>
      <c r="C536" t="s">
        <v>88</v>
      </c>
      <c r="D536" t="s">
        <v>89</v>
      </c>
      <c r="E536">
        <v>3</v>
      </c>
      <c r="F536" t="s">
        <v>67</v>
      </c>
      <c r="G536" s="1">
        <v>44397</v>
      </c>
      <c r="H536" t="s">
        <v>36</v>
      </c>
      <c r="I536" t="s">
        <v>184</v>
      </c>
      <c r="J536">
        <v>3099.9</v>
      </c>
    </row>
    <row r="537" spans="1:10" x14ac:dyDescent="0.25">
      <c r="A537" t="s">
        <v>78</v>
      </c>
      <c r="B537" t="s">
        <v>195</v>
      </c>
      <c r="C537" t="s">
        <v>88</v>
      </c>
      <c r="D537" t="s">
        <v>89</v>
      </c>
      <c r="E537">
        <v>3</v>
      </c>
      <c r="F537" t="s">
        <v>67</v>
      </c>
      <c r="G537" s="1">
        <v>44397</v>
      </c>
      <c r="H537" t="s">
        <v>36</v>
      </c>
      <c r="I537" t="s">
        <v>294</v>
      </c>
      <c r="J537">
        <v>70.03</v>
      </c>
    </row>
    <row r="538" spans="1:10" x14ac:dyDescent="0.25">
      <c r="A538" t="s">
        <v>78</v>
      </c>
      <c r="B538" t="s">
        <v>195</v>
      </c>
      <c r="C538" t="s">
        <v>88</v>
      </c>
      <c r="D538" t="s">
        <v>89</v>
      </c>
      <c r="E538">
        <v>3</v>
      </c>
      <c r="F538" t="s">
        <v>67</v>
      </c>
      <c r="G538" s="1">
        <v>44397</v>
      </c>
      <c r="H538" t="s">
        <v>36</v>
      </c>
      <c r="I538" t="s">
        <v>273</v>
      </c>
      <c r="J538">
        <v>5618.15</v>
      </c>
    </row>
    <row r="539" spans="1:10" x14ac:dyDescent="0.25">
      <c r="A539" t="s">
        <v>78</v>
      </c>
      <c r="B539" t="s">
        <v>195</v>
      </c>
      <c r="C539" t="s">
        <v>88</v>
      </c>
      <c r="D539" t="s">
        <v>89</v>
      </c>
      <c r="E539">
        <v>3</v>
      </c>
      <c r="F539" t="s">
        <v>67</v>
      </c>
      <c r="G539" s="1">
        <v>44397</v>
      </c>
      <c r="H539" t="s">
        <v>36</v>
      </c>
      <c r="I539" t="s">
        <v>23</v>
      </c>
      <c r="J539">
        <v>1859.94</v>
      </c>
    </row>
    <row r="540" spans="1:10" x14ac:dyDescent="0.25">
      <c r="A540" t="s">
        <v>78</v>
      </c>
      <c r="B540" t="s">
        <v>195</v>
      </c>
      <c r="C540" t="s">
        <v>88</v>
      </c>
      <c r="D540" t="s">
        <v>89</v>
      </c>
      <c r="E540">
        <v>3</v>
      </c>
      <c r="F540" t="s">
        <v>67</v>
      </c>
      <c r="G540" s="1">
        <v>44397</v>
      </c>
      <c r="H540" t="s">
        <v>36</v>
      </c>
      <c r="I540" t="s">
        <v>1</v>
      </c>
      <c r="J540">
        <v>1239.96</v>
      </c>
    </row>
    <row r="541" spans="1:10" x14ac:dyDescent="0.25">
      <c r="A541" t="s">
        <v>43</v>
      </c>
      <c r="B541" t="s">
        <v>189</v>
      </c>
      <c r="C541" t="s">
        <v>163</v>
      </c>
      <c r="D541" t="s">
        <v>164</v>
      </c>
      <c r="E541">
        <v>27</v>
      </c>
      <c r="F541" t="s">
        <v>67</v>
      </c>
      <c r="G541" s="1">
        <v>41795</v>
      </c>
      <c r="H541" t="s">
        <v>36</v>
      </c>
      <c r="I541" t="s">
        <v>184</v>
      </c>
      <c r="J541">
        <v>1388.5</v>
      </c>
    </row>
    <row r="542" spans="1:10" x14ac:dyDescent="0.25">
      <c r="A542" t="s">
        <v>43</v>
      </c>
      <c r="B542" t="s">
        <v>189</v>
      </c>
      <c r="C542" t="s">
        <v>163</v>
      </c>
      <c r="D542" t="s">
        <v>164</v>
      </c>
      <c r="E542">
        <v>27</v>
      </c>
      <c r="F542" t="s">
        <v>67</v>
      </c>
      <c r="G542" s="1">
        <v>41795</v>
      </c>
      <c r="H542" t="s">
        <v>36</v>
      </c>
      <c r="I542" t="s">
        <v>273</v>
      </c>
      <c r="J542">
        <v>6324.7</v>
      </c>
    </row>
    <row r="543" spans="1:10" x14ac:dyDescent="0.25">
      <c r="A543" t="s">
        <v>43</v>
      </c>
      <c r="B543" t="s">
        <v>189</v>
      </c>
      <c r="C543" t="s">
        <v>163</v>
      </c>
      <c r="D543" t="s">
        <v>164</v>
      </c>
      <c r="E543">
        <v>27</v>
      </c>
      <c r="F543" t="s">
        <v>67</v>
      </c>
      <c r="G543" s="1">
        <v>41795</v>
      </c>
      <c r="H543" t="s">
        <v>36</v>
      </c>
      <c r="I543" t="s">
        <v>7</v>
      </c>
      <c r="J543">
        <v>32</v>
      </c>
    </row>
    <row r="544" spans="1:10" x14ac:dyDescent="0.25">
      <c r="A544" t="s">
        <v>43</v>
      </c>
      <c r="B544" t="s">
        <v>189</v>
      </c>
      <c r="C544" t="s">
        <v>163</v>
      </c>
      <c r="D544" t="s">
        <v>164</v>
      </c>
      <c r="E544">
        <v>27</v>
      </c>
      <c r="F544" t="s">
        <v>67</v>
      </c>
      <c r="G544" s="1">
        <v>41795</v>
      </c>
      <c r="H544" t="s">
        <v>36</v>
      </c>
      <c r="I544" t="s">
        <v>23</v>
      </c>
      <c r="J544">
        <v>786.82</v>
      </c>
    </row>
    <row r="545" spans="1:10" x14ac:dyDescent="0.25">
      <c r="A545" t="s">
        <v>43</v>
      </c>
      <c r="B545" t="s">
        <v>189</v>
      </c>
      <c r="C545" t="s">
        <v>163</v>
      </c>
      <c r="D545" t="s">
        <v>164</v>
      </c>
      <c r="E545">
        <v>27</v>
      </c>
      <c r="F545" t="s">
        <v>67</v>
      </c>
      <c r="G545" s="1">
        <v>41795</v>
      </c>
      <c r="H545" t="s">
        <v>36</v>
      </c>
      <c r="I545" t="s">
        <v>25</v>
      </c>
      <c r="J545">
        <v>78.680000000000007</v>
      </c>
    </row>
    <row r="546" spans="1:10" x14ac:dyDescent="0.25">
      <c r="A546" t="s">
        <v>43</v>
      </c>
      <c r="B546" t="s">
        <v>189</v>
      </c>
      <c r="C546" t="s">
        <v>165</v>
      </c>
      <c r="D546" t="s">
        <v>99</v>
      </c>
      <c r="E546">
        <v>17</v>
      </c>
      <c r="F546" t="s">
        <v>67</v>
      </c>
      <c r="G546" s="1">
        <v>41662</v>
      </c>
      <c r="H546" t="s">
        <v>36</v>
      </c>
      <c r="I546" t="s">
        <v>184</v>
      </c>
      <c r="J546">
        <v>2495.0100000000002</v>
      </c>
    </row>
    <row r="547" spans="1:10" x14ac:dyDescent="0.25">
      <c r="A547" t="s">
        <v>43</v>
      </c>
      <c r="B547" t="s">
        <v>189</v>
      </c>
      <c r="C547" t="s">
        <v>165</v>
      </c>
      <c r="D547" t="s">
        <v>99</v>
      </c>
      <c r="E547">
        <v>17</v>
      </c>
      <c r="F547" t="s">
        <v>67</v>
      </c>
      <c r="G547" s="1">
        <v>41662</v>
      </c>
      <c r="H547" t="s">
        <v>36</v>
      </c>
      <c r="I547" t="s">
        <v>273</v>
      </c>
      <c r="J547">
        <v>8175.24</v>
      </c>
    </row>
    <row r="548" spans="1:10" x14ac:dyDescent="0.25">
      <c r="A548" t="s">
        <v>43</v>
      </c>
      <c r="B548" t="s">
        <v>189</v>
      </c>
      <c r="C548" t="s">
        <v>165</v>
      </c>
      <c r="D548" t="s">
        <v>99</v>
      </c>
      <c r="E548">
        <v>17</v>
      </c>
      <c r="F548" t="s">
        <v>67</v>
      </c>
      <c r="G548" s="1">
        <v>41662</v>
      </c>
      <c r="H548" t="s">
        <v>36</v>
      </c>
      <c r="I548" t="s">
        <v>294</v>
      </c>
      <c r="J548">
        <v>13.21</v>
      </c>
    </row>
    <row r="549" spans="1:10" x14ac:dyDescent="0.25">
      <c r="A549" t="s">
        <v>43</v>
      </c>
      <c r="B549" t="s">
        <v>189</v>
      </c>
      <c r="C549" t="s">
        <v>165</v>
      </c>
      <c r="D549" t="s">
        <v>99</v>
      </c>
      <c r="E549">
        <v>17</v>
      </c>
      <c r="F549" t="s">
        <v>67</v>
      </c>
      <c r="G549" s="1">
        <v>41662</v>
      </c>
      <c r="H549" t="s">
        <v>36</v>
      </c>
      <c r="I549" t="s">
        <v>23</v>
      </c>
      <c r="J549">
        <v>748.5</v>
      </c>
    </row>
    <row r="550" spans="1:10" x14ac:dyDescent="0.25">
      <c r="A550" t="s">
        <v>43</v>
      </c>
      <c r="B550" t="s">
        <v>189</v>
      </c>
      <c r="C550" t="s">
        <v>165</v>
      </c>
      <c r="D550" t="s">
        <v>99</v>
      </c>
      <c r="E550">
        <v>17</v>
      </c>
      <c r="F550" t="s">
        <v>67</v>
      </c>
      <c r="G550" s="1">
        <v>41662</v>
      </c>
      <c r="H550" t="s">
        <v>36</v>
      </c>
      <c r="I550" t="s">
        <v>25</v>
      </c>
      <c r="J550">
        <v>74.849999999999994</v>
      </c>
    </row>
    <row r="551" spans="1:10" x14ac:dyDescent="0.25">
      <c r="A551" t="s">
        <v>75</v>
      </c>
      <c r="B551" t="s">
        <v>194</v>
      </c>
      <c r="C551" t="s">
        <v>295</v>
      </c>
      <c r="D551" t="s">
        <v>291</v>
      </c>
      <c r="E551">
        <v>41</v>
      </c>
      <c r="F551" t="s">
        <v>67</v>
      </c>
      <c r="G551" s="1">
        <v>44722</v>
      </c>
      <c r="H551" t="s">
        <v>36</v>
      </c>
      <c r="I551" t="s">
        <v>184</v>
      </c>
      <c r="J551">
        <v>750</v>
      </c>
    </row>
    <row r="552" spans="1:10" x14ac:dyDescent="0.25">
      <c r="A552" t="s">
        <v>75</v>
      </c>
      <c r="B552" t="s">
        <v>194</v>
      </c>
      <c r="C552" t="s">
        <v>295</v>
      </c>
      <c r="D552" t="s">
        <v>291</v>
      </c>
      <c r="E552">
        <v>41</v>
      </c>
      <c r="F552" t="s">
        <v>67</v>
      </c>
      <c r="G552" s="1">
        <v>44722</v>
      </c>
      <c r="H552" t="s">
        <v>36</v>
      </c>
      <c r="I552" t="s">
        <v>286</v>
      </c>
      <c r="J552">
        <v>210</v>
      </c>
    </row>
    <row r="553" spans="1:10" x14ac:dyDescent="0.25">
      <c r="A553" t="s">
        <v>75</v>
      </c>
      <c r="B553" t="s">
        <v>194</v>
      </c>
      <c r="C553" t="s">
        <v>295</v>
      </c>
      <c r="D553" t="s">
        <v>291</v>
      </c>
      <c r="E553">
        <v>41</v>
      </c>
      <c r="F553" t="s">
        <v>67</v>
      </c>
      <c r="G553" s="1">
        <v>44722</v>
      </c>
      <c r="H553" t="s">
        <v>36</v>
      </c>
      <c r="I553" t="s">
        <v>296</v>
      </c>
      <c r="J553">
        <v>90</v>
      </c>
    </row>
    <row r="554" spans="1:10" x14ac:dyDescent="0.25">
      <c r="A554" t="s">
        <v>102</v>
      </c>
      <c r="B554" t="s">
        <v>198</v>
      </c>
      <c r="C554" t="s">
        <v>297</v>
      </c>
      <c r="D554" t="s">
        <v>285</v>
      </c>
      <c r="E554">
        <v>107</v>
      </c>
      <c r="F554" t="s">
        <v>67</v>
      </c>
      <c r="G554" s="1">
        <v>44722</v>
      </c>
      <c r="H554" t="s">
        <v>36</v>
      </c>
      <c r="I554" t="s">
        <v>184</v>
      </c>
      <c r="J554">
        <v>600</v>
      </c>
    </row>
    <row r="555" spans="1:10" x14ac:dyDescent="0.25">
      <c r="A555" t="s">
        <v>102</v>
      </c>
      <c r="B555" t="s">
        <v>198</v>
      </c>
      <c r="C555" t="s">
        <v>297</v>
      </c>
      <c r="D555" t="s">
        <v>285</v>
      </c>
      <c r="E555">
        <v>107</v>
      </c>
      <c r="F555" t="s">
        <v>67</v>
      </c>
      <c r="G555" s="1">
        <v>44722</v>
      </c>
      <c r="H555" t="s">
        <v>36</v>
      </c>
      <c r="I555" t="s">
        <v>286</v>
      </c>
      <c r="J555">
        <v>168</v>
      </c>
    </row>
    <row r="556" spans="1:10" x14ac:dyDescent="0.25">
      <c r="A556" t="s">
        <v>102</v>
      </c>
      <c r="B556" t="s">
        <v>198</v>
      </c>
      <c r="C556" t="s">
        <v>297</v>
      </c>
      <c r="D556" t="s">
        <v>285</v>
      </c>
      <c r="E556">
        <v>107</v>
      </c>
      <c r="F556" t="s">
        <v>67</v>
      </c>
      <c r="G556" s="1">
        <v>44722</v>
      </c>
      <c r="H556" t="s">
        <v>36</v>
      </c>
      <c r="I556" t="s">
        <v>296</v>
      </c>
      <c r="J556">
        <v>252</v>
      </c>
    </row>
    <row r="557" spans="1:10" x14ac:dyDescent="0.25">
      <c r="A557" t="s">
        <v>62</v>
      </c>
      <c r="B557" t="s">
        <v>192</v>
      </c>
      <c r="C557" t="s">
        <v>65</v>
      </c>
      <c r="D557" t="s">
        <v>56</v>
      </c>
      <c r="E557">
        <v>33</v>
      </c>
      <c r="F557" t="s">
        <v>35</v>
      </c>
      <c r="G557" s="1">
        <v>43783</v>
      </c>
      <c r="H557" t="s">
        <v>298</v>
      </c>
      <c r="I557" t="s">
        <v>24</v>
      </c>
      <c r="J557">
        <v>80.7</v>
      </c>
    </row>
    <row r="558" spans="1:10" x14ac:dyDescent="0.25">
      <c r="A558" t="s">
        <v>62</v>
      </c>
      <c r="B558" t="s">
        <v>192</v>
      </c>
      <c r="C558" t="s">
        <v>66</v>
      </c>
      <c r="D558" t="s">
        <v>39</v>
      </c>
      <c r="E558">
        <v>29</v>
      </c>
      <c r="F558" t="s">
        <v>35</v>
      </c>
      <c r="G558" s="1">
        <v>43383</v>
      </c>
      <c r="H558" t="s">
        <v>298</v>
      </c>
      <c r="I558" t="s">
        <v>184</v>
      </c>
      <c r="J558">
        <v>2280.81</v>
      </c>
    </row>
    <row r="559" spans="1:10" x14ac:dyDescent="0.25">
      <c r="A559" t="s">
        <v>62</v>
      </c>
      <c r="B559" t="s">
        <v>192</v>
      </c>
      <c r="C559" t="s">
        <v>66</v>
      </c>
      <c r="D559" t="s">
        <v>39</v>
      </c>
      <c r="E559">
        <v>29</v>
      </c>
      <c r="F559" t="s">
        <v>35</v>
      </c>
      <c r="G559" s="1">
        <v>43383</v>
      </c>
      <c r="H559" t="s">
        <v>298</v>
      </c>
      <c r="I559" t="s">
        <v>1</v>
      </c>
      <c r="J559">
        <v>912.32</v>
      </c>
    </row>
    <row r="560" spans="1:10" x14ac:dyDescent="0.25">
      <c r="A560" t="s">
        <v>62</v>
      </c>
      <c r="B560" t="s">
        <v>192</v>
      </c>
      <c r="C560" t="s">
        <v>66</v>
      </c>
      <c r="D560" t="s">
        <v>39</v>
      </c>
      <c r="E560">
        <v>29</v>
      </c>
      <c r="F560" t="s">
        <v>35</v>
      </c>
      <c r="G560" s="1">
        <v>43383</v>
      </c>
      <c r="H560" t="s">
        <v>298</v>
      </c>
      <c r="I560" t="s">
        <v>260</v>
      </c>
      <c r="J560">
        <v>187.09</v>
      </c>
    </row>
    <row r="561" spans="1:10" x14ac:dyDescent="0.25">
      <c r="A561" t="s">
        <v>75</v>
      </c>
      <c r="B561" t="s">
        <v>194</v>
      </c>
      <c r="C561" t="s">
        <v>242</v>
      </c>
      <c r="D561" t="s">
        <v>290</v>
      </c>
      <c r="E561">
        <v>37</v>
      </c>
      <c r="F561" t="s">
        <v>35</v>
      </c>
      <c r="G561" s="1">
        <v>44715</v>
      </c>
      <c r="H561" t="s">
        <v>299</v>
      </c>
      <c r="I561" t="s">
        <v>200</v>
      </c>
      <c r="J561">
        <v>79</v>
      </c>
    </row>
    <row r="562" spans="1:10" x14ac:dyDescent="0.25">
      <c r="A562" t="s">
        <v>75</v>
      </c>
      <c r="B562" t="s">
        <v>194</v>
      </c>
      <c r="C562" t="s">
        <v>76</v>
      </c>
      <c r="D562" t="s">
        <v>58</v>
      </c>
      <c r="E562">
        <v>33</v>
      </c>
      <c r="F562" t="s">
        <v>35</v>
      </c>
      <c r="G562" s="1">
        <v>43775</v>
      </c>
      <c r="H562" t="s">
        <v>299</v>
      </c>
      <c r="I562" t="s">
        <v>184</v>
      </c>
      <c r="J562">
        <v>1388.5</v>
      </c>
    </row>
    <row r="563" spans="1:10" x14ac:dyDescent="0.25">
      <c r="A563" t="s">
        <v>75</v>
      </c>
      <c r="B563" t="s">
        <v>194</v>
      </c>
      <c r="C563" t="s">
        <v>76</v>
      </c>
      <c r="D563" t="s">
        <v>58</v>
      </c>
      <c r="E563">
        <v>33</v>
      </c>
      <c r="F563" t="s">
        <v>35</v>
      </c>
      <c r="G563" s="1">
        <v>43775</v>
      </c>
      <c r="H563" t="s">
        <v>299</v>
      </c>
      <c r="I563" t="s">
        <v>260</v>
      </c>
      <c r="J563">
        <v>106.78</v>
      </c>
    </row>
    <row r="564" spans="1:10" x14ac:dyDescent="0.25">
      <c r="A564" t="s">
        <v>102</v>
      </c>
      <c r="B564" t="s">
        <v>198</v>
      </c>
      <c r="C564" t="s">
        <v>282</v>
      </c>
      <c r="D564" t="s">
        <v>77</v>
      </c>
      <c r="E564">
        <v>108</v>
      </c>
      <c r="F564" t="s">
        <v>35</v>
      </c>
      <c r="G564" s="1">
        <v>44735</v>
      </c>
      <c r="H564" t="s">
        <v>300</v>
      </c>
      <c r="I564" t="s">
        <v>260</v>
      </c>
      <c r="J564">
        <v>27.77</v>
      </c>
    </row>
    <row r="565" spans="1:10" x14ac:dyDescent="0.25">
      <c r="A565" t="s">
        <v>102</v>
      </c>
      <c r="B565" t="s">
        <v>198</v>
      </c>
      <c r="C565" t="s">
        <v>160</v>
      </c>
      <c r="D565" t="s">
        <v>58</v>
      </c>
      <c r="E565">
        <v>22</v>
      </c>
      <c r="F565" t="s">
        <v>35</v>
      </c>
      <c r="G565" s="1">
        <v>40210</v>
      </c>
      <c r="H565" t="s">
        <v>300</v>
      </c>
      <c r="I565" t="s">
        <v>184</v>
      </c>
      <c r="J565">
        <v>1388.5</v>
      </c>
    </row>
    <row r="566" spans="1:10" x14ac:dyDescent="0.25">
      <c r="A566" t="s">
        <v>102</v>
      </c>
      <c r="B566" t="s">
        <v>198</v>
      </c>
      <c r="C566" t="s">
        <v>160</v>
      </c>
      <c r="D566" t="s">
        <v>58</v>
      </c>
      <c r="E566">
        <v>22</v>
      </c>
      <c r="F566" t="s">
        <v>35</v>
      </c>
      <c r="G566" s="1">
        <v>40210</v>
      </c>
      <c r="H566" t="s">
        <v>300</v>
      </c>
      <c r="I566" t="s">
        <v>260</v>
      </c>
      <c r="J566">
        <v>125.52</v>
      </c>
    </row>
    <row r="567" spans="1:10" x14ac:dyDescent="0.25">
      <c r="A567" t="s">
        <v>102</v>
      </c>
      <c r="B567" t="s">
        <v>198</v>
      </c>
      <c r="C567" t="s">
        <v>160</v>
      </c>
      <c r="D567" t="s">
        <v>58</v>
      </c>
      <c r="E567">
        <v>22</v>
      </c>
      <c r="F567" t="s">
        <v>35</v>
      </c>
      <c r="G567" s="1">
        <v>40210</v>
      </c>
      <c r="H567" t="s">
        <v>300</v>
      </c>
      <c r="I567" t="s">
        <v>27</v>
      </c>
      <c r="J567">
        <v>208.27</v>
      </c>
    </row>
    <row r="568" spans="1:10" x14ac:dyDescent="0.25">
      <c r="A568" t="s">
        <v>102</v>
      </c>
      <c r="B568" t="s">
        <v>198</v>
      </c>
      <c r="C568" t="s">
        <v>160</v>
      </c>
      <c r="D568" t="s">
        <v>58</v>
      </c>
      <c r="E568">
        <v>22</v>
      </c>
      <c r="F568" t="s">
        <v>35</v>
      </c>
      <c r="G568" s="1">
        <v>40210</v>
      </c>
      <c r="H568" t="s">
        <v>300</v>
      </c>
      <c r="I568" t="s">
        <v>200</v>
      </c>
      <c r="J568">
        <v>38</v>
      </c>
    </row>
    <row r="569" spans="1:10" x14ac:dyDescent="0.25">
      <c r="A569" t="s">
        <v>102</v>
      </c>
      <c r="B569" t="s">
        <v>198</v>
      </c>
      <c r="C569" t="s">
        <v>160</v>
      </c>
      <c r="D569" t="s">
        <v>58</v>
      </c>
      <c r="E569">
        <v>22</v>
      </c>
      <c r="F569" t="s">
        <v>35</v>
      </c>
      <c r="G569" s="1">
        <v>40210</v>
      </c>
      <c r="H569" t="s">
        <v>300</v>
      </c>
      <c r="I569" t="s">
        <v>7</v>
      </c>
      <c r="J569">
        <v>56.47</v>
      </c>
    </row>
    <row r="570" spans="1:10" x14ac:dyDescent="0.25">
      <c r="A570" t="s">
        <v>102</v>
      </c>
      <c r="B570" t="s">
        <v>198</v>
      </c>
      <c r="C570" t="s">
        <v>160</v>
      </c>
      <c r="D570" t="s">
        <v>58</v>
      </c>
      <c r="E570">
        <v>22</v>
      </c>
      <c r="F570" t="s">
        <v>35</v>
      </c>
      <c r="G570" s="1">
        <v>40210</v>
      </c>
      <c r="H570" t="s">
        <v>300</v>
      </c>
      <c r="I570" t="s">
        <v>1</v>
      </c>
      <c r="J570">
        <v>555.4</v>
      </c>
    </row>
    <row r="572" spans="1:10" x14ac:dyDescent="0.25">
      <c r="A572" t="s">
        <v>102</v>
      </c>
      <c r="B572" t="s">
        <v>199</v>
      </c>
      <c r="C572" t="s">
        <v>110</v>
      </c>
      <c r="D572" t="s">
        <v>109</v>
      </c>
      <c r="E572">
        <v>41</v>
      </c>
      <c r="F572" t="s">
        <v>35</v>
      </c>
      <c r="G572" s="1">
        <v>41626</v>
      </c>
      <c r="H572" t="s">
        <v>301</v>
      </c>
      <c r="I572" t="s">
        <v>184</v>
      </c>
      <c r="J572">
        <v>1212</v>
      </c>
    </row>
    <row r="573" spans="1:10" x14ac:dyDescent="0.25">
      <c r="A573" t="s">
        <v>102</v>
      </c>
      <c r="B573" t="s">
        <v>199</v>
      </c>
      <c r="C573" t="s">
        <v>110</v>
      </c>
      <c r="D573" t="s">
        <v>109</v>
      </c>
      <c r="E573">
        <v>41</v>
      </c>
      <c r="F573" t="s">
        <v>35</v>
      </c>
      <c r="G573" s="1">
        <v>41626</v>
      </c>
      <c r="H573" t="s">
        <v>301</v>
      </c>
      <c r="I573" t="s">
        <v>260</v>
      </c>
      <c r="J573">
        <v>90.9</v>
      </c>
    </row>
    <row r="574" spans="1:10" x14ac:dyDescent="0.25">
      <c r="A574" t="s">
        <v>102</v>
      </c>
      <c r="B574" t="s">
        <v>199</v>
      </c>
      <c r="C574" t="s">
        <v>110</v>
      </c>
      <c r="D574" t="s">
        <v>109</v>
      </c>
      <c r="E574">
        <v>41</v>
      </c>
      <c r="F574" t="s">
        <v>35</v>
      </c>
      <c r="G574" s="1">
        <v>41626</v>
      </c>
      <c r="H574" t="s">
        <v>299</v>
      </c>
      <c r="I574" t="s">
        <v>1</v>
      </c>
      <c r="J574">
        <v>484.8</v>
      </c>
    </row>
    <row r="575" spans="1:10" x14ac:dyDescent="0.25">
      <c r="A575" t="s">
        <v>102</v>
      </c>
      <c r="B575" t="s">
        <v>199</v>
      </c>
      <c r="C575" t="s">
        <v>111</v>
      </c>
      <c r="D575" t="s">
        <v>109</v>
      </c>
      <c r="E575">
        <v>165</v>
      </c>
      <c r="F575" t="s">
        <v>35</v>
      </c>
      <c r="G575" s="1">
        <v>44287</v>
      </c>
      <c r="H575" t="s">
        <v>299</v>
      </c>
      <c r="I575" t="s">
        <v>184</v>
      </c>
      <c r="J575">
        <v>1212</v>
      </c>
    </row>
    <row r="576" spans="1:10" x14ac:dyDescent="0.25">
      <c r="A576" t="s">
        <v>102</v>
      </c>
      <c r="B576" t="s">
        <v>199</v>
      </c>
      <c r="C576" t="s">
        <v>111</v>
      </c>
      <c r="D576" t="s">
        <v>109</v>
      </c>
      <c r="E576">
        <v>165</v>
      </c>
      <c r="F576" t="s">
        <v>35</v>
      </c>
      <c r="G576" s="1">
        <v>44287</v>
      </c>
      <c r="H576" t="s">
        <v>299</v>
      </c>
      <c r="I576" t="s">
        <v>260</v>
      </c>
      <c r="J576">
        <v>90.9</v>
      </c>
    </row>
    <row r="577" spans="1:10" x14ac:dyDescent="0.25">
      <c r="A577" t="s">
        <v>102</v>
      </c>
      <c r="B577" t="s">
        <v>199</v>
      </c>
      <c r="C577" t="s">
        <v>240</v>
      </c>
      <c r="D577" t="s">
        <v>105</v>
      </c>
      <c r="E577">
        <v>169</v>
      </c>
      <c r="F577" t="s">
        <v>35</v>
      </c>
      <c r="G577" s="1">
        <v>44613</v>
      </c>
      <c r="H577" t="s">
        <v>302</v>
      </c>
      <c r="I577" t="s">
        <v>1</v>
      </c>
      <c r="J577">
        <v>484.8</v>
      </c>
    </row>
    <row r="578" spans="1:10" x14ac:dyDescent="0.25">
      <c r="A578" t="s">
        <v>102</v>
      </c>
      <c r="B578" t="s">
        <v>199</v>
      </c>
      <c r="C578" t="s">
        <v>114</v>
      </c>
      <c r="D578" t="s">
        <v>109</v>
      </c>
      <c r="E578">
        <v>104</v>
      </c>
      <c r="F578" t="s">
        <v>35</v>
      </c>
      <c r="G578" s="1">
        <v>42100</v>
      </c>
      <c r="H578" t="s">
        <v>302</v>
      </c>
      <c r="I578" t="s">
        <v>184</v>
      </c>
      <c r="J578">
        <v>1212</v>
      </c>
    </row>
    <row r="579" spans="1:10" x14ac:dyDescent="0.25">
      <c r="A579" t="s">
        <v>102</v>
      </c>
      <c r="B579" t="s">
        <v>199</v>
      </c>
      <c r="C579" t="s">
        <v>114</v>
      </c>
      <c r="D579" t="s">
        <v>109</v>
      </c>
      <c r="E579">
        <v>104</v>
      </c>
      <c r="F579" t="s">
        <v>35</v>
      </c>
      <c r="G579" s="1">
        <v>42100</v>
      </c>
      <c r="H579" t="s">
        <v>302</v>
      </c>
      <c r="I579" t="s">
        <v>260</v>
      </c>
      <c r="J579">
        <v>90.9</v>
      </c>
    </row>
    <row r="581" spans="1:10" x14ac:dyDescent="0.25">
      <c r="A581" t="s">
        <v>102</v>
      </c>
      <c r="B581" t="s">
        <v>199</v>
      </c>
      <c r="C581" t="s">
        <v>116</v>
      </c>
      <c r="D581" t="s">
        <v>105</v>
      </c>
      <c r="E581">
        <v>156</v>
      </c>
      <c r="F581" t="s">
        <v>35</v>
      </c>
      <c r="G581" s="1">
        <v>44216</v>
      </c>
      <c r="H581" t="s">
        <v>299</v>
      </c>
      <c r="I581" t="s">
        <v>184</v>
      </c>
      <c r="J581">
        <v>1212</v>
      </c>
    </row>
    <row r="582" spans="1:10" x14ac:dyDescent="0.25">
      <c r="A582" t="s">
        <v>102</v>
      </c>
      <c r="B582" t="s">
        <v>199</v>
      </c>
      <c r="C582" t="s">
        <v>116</v>
      </c>
      <c r="D582" t="s">
        <v>105</v>
      </c>
      <c r="E582">
        <v>156</v>
      </c>
      <c r="F582" t="s">
        <v>35</v>
      </c>
      <c r="G582" s="1">
        <v>44216</v>
      </c>
      <c r="H582" t="s">
        <v>299</v>
      </c>
      <c r="I582" t="s">
        <v>7</v>
      </c>
      <c r="J582">
        <v>112.94</v>
      </c>
    </row>
    <row r="583" spans="1:10" x14ac:dyDescent="0.25">
      <c r="A583" t="s">
        <v>102</v>
      </c>
      <c r="B583" t="s">
        <v>199</v>
      </c>
      <c r="C583" t="s">
        <v>116</v>
      </c>
      <c r="D583" t="s">
        <v>105</v>
      </c>
      <c r="E583">
        <v>156</v>
      </c>
      <c r="F583" t="s">
        <v>35</v>
      </c>
      <c r="G583" s="1">
        <v>44216</v>
      </c>
      <c r="H583" t="s">
        <v>299</v>
      </c>
      <c r="I583" t="s">
        <v>260</v>
      </c>
      <c r="J583">
        <v>90.9</v>
      </c>
    </row>
    <row r="584" spans="1:10" x14ac:dyDescent="0.25">
      <c r="A584" t="s">
        <v>102</v>
      </c>
      <c r="B584" t="s">
        <v>199</v>
      </c>
      <c r="C584" t="s">
        <v>127</v>
      </c>
      <c r="D584" t="s">
        <v>105</v>
      </c>
      <c r="E584">
        <v>57</v>
      </c>
      <c r="F584" t="s">
        <v>35</v>
      </c>
      <c r="G584" s="1">
        <v>41699</v>
      </c>
      <c r="H584" t="s">
        <v>299</v>
      </c>
      <c r="I584" t="s">
        <v>184</v>
      </c>
      <c r="J584">
        <v>1212</v>
      </c>
    </row>
    <row r="585" spans="1:10" x14ac:dyDescent="0.25">
      <c r="A585" t="s">
        <v>102</v>
      </c>
      <c r="B585" t="s">
        <v>199</v>
      </c>
      <c r="C585" t="s">
        <v>127</v>
      </c>
      <c r="D585" t="s">
        <v>105</v>
      </c>
      <c r="E585">
        <v>57</v>
      </c>
      <c r="F585" t="s">
        <v>35</v>
      </c>
      <c r="G585" s="1">
        <v>41699</v>
      </c>
      <c r="H585" t="s">
        <v>299</v>
      </c>
      <c r="I585" t="s">
        <v>7</v>
      </c>
      <c r="J585">
        <v>56.47</v>
      </c>
    </row>
    <row r="586" spans="1:10" x14ac:dyDescent="0.25">
      <c r="A586" t="s">
        <v>102</v>
      </c>
      <c r="B586" t="s">
        <v>199</v>
      </c>
      <c r="C586" t="s">
        <v>127</v>
      </c>
      <c r="D586" t="s">
        <v>105</v>
      </c>
      <c r="E586">
        <v>57</v>
      </c>
      <c r="F586" t="s">
        <v>35</v>
      </c>
      <c r="G586" s="1">
        <v>41699</v>
      </c>
      <c r="H586" t="s">
        <v>299</v>
      </c>
      <c r="I586" t="s">
        <v>260</v>
      </c>
      <c r="J586">
        <v>90.9</v>
      </c>
    </row>
    <row r="587" spans="1:10" x14ac:dyDescent="0.25">
      <c r="A587" t="s">
        <v>102</v>
      </c>
      <c r="B587" t="s">
        <v>199</v>
      </c>
      <c r="C587" t="s">
        <v>135</v>
      </c>
      <c r="D587" t="s">
        <v>109</v>
      </c>
      <c r="E587">
        <v>148</v>
      </c>
      <c r="F587" t="s">
        <v>35</v>
      </c>
      <c r="G587" s="1">
        <v>43776</v>
      </c>
      <c r="H587" t="s">
        <v>299</v>
      </c>
      <c r="I587" t="s">
        <v>1</v>
      </c>
      <c r="J587">
        <v>484.8</v>
      </c>
    </row>
    <row r="588" spans="1:10" x14ac:dyDescent="0.25">
      <c r="A588" t="s">
        <v>102</v>
      </c>
      <c r="B588" t="s">
        <v>199</v>
      </c>
      <c r="C588" t="s">
        <v>136</v>
      </c>
      <c r="D588" t="s">
        <v>105</v>
      </c>
      <c r="E588">
        <v>155</v>
      </c>
      <c r="F588" t="s">
        <v>35</v>
      </c>
      <c r="G588" s="1">
        <v>44216</v>
      </c>
      <c r="H588" t="s">
        <v>299</v>
      </c>
      <c r="I588" t="s">
        <v>184</v>
      </c>
      <c r="J588">
        <v>1212</v>
      </c>
    </row>
    <row r="589" spans="1:10" x14ac:dyDescent="0.25">
      <c r="A589" t="s">
        <v>102</v>
      </c>
      <c r="B589" t="s">
        <v>199</v>
      </c>
      <c r="C589" t="s">
        <v>136</v>
      </c>
      <c r="D589" t="s">
        <v>105</v>
      </c>
      <c r="E589">
        <v>155</v>
      </c>
      <c r="F589" t="s">
        <v>35</v>
      </c>
      <c r="G589" s="1">
        <v>44216</v>
      </c>
      <c r="H589" t="s">
        <v>299</v>
      </c>
      <c r="I589" t="s">
        <v>260</v>
      </c>
      <c r="J589">
        <v>90.9</v>
      </c>
    </row>
    <row r="590" spans="1:10" x14ac:dyDescent="0.25">
      <c r="A590" t="s">
        <v>102</v>
      </c>
      <c r="B590" t="s">
        <v>199</v>
      </c>
      <c r="C590" t="s">
        <v>146</v>
      </c>
      <c r="D590" t="s">
        <v>109</v>
      </c>
      <c r="E590">
        <v>145</v>
      </c>
      <c r="F590" t="s">
        <v>35</v>
      </c>
      <c r="G590" s="1">
        <v>43497</v>
      </c>
      <c r="H590" t="s">
        <v>299</v>
      </c>
      <c r="I590" t="s">
        <v>184</v>
      </c>
      <c r="J590">
        <v>1212</v>
      </c>
    </row>
    <row r="591" spans="1:10" x14ac:dyDescent="0.25">
      <c r="A591" t="s">
        <v>102</v>
      </c>
      <c r="B591" t="s">
        <v>199</v>
      </c>
      <c r="C591" t="s">
        <v>146</v>
      </c>
      <c r="D591" t="s">
        <v>109</v>
      </c>
      <c r="E591">
        <v>145</v>
      </c>
      <c r="F591" t="s">
        <v>35</v>
      </c>
      <c r="G591" s="1">
        <v>43497</v>
      </c>
      <c r="H591" t="s">
        <v>299</v>
      </c>
      <c r="I591" t="s">
        <v>1</v>
      </c>
      <c r="J591">
        <v>484.8</v>
      </c>
    </row>
    <row r="592" spans="1:10" x14ac:dyDescent="0.25">
      <c r="A592" t="s">
        <v>102</v>
      </c>
      <c r="B592" t="s">
        <v>199</v>
      </c>
      <c r="C592" t="s">
        <v>146</v>
      </c>
      <c r="D592" t="s">
        <v>109</v>
      </c>
      <c r="E592">
        <v>145</v>
      </c>
      <c r="F592" t="s">
        <v>35</v>
      </c>
      <c r="G592" s="1">
        <v>43497</v>
      </c>
      <c r="H592" t="s">
        <v>299</v>
      </c>
      <c r="I592" t="s">
        <v>260</v>
      </c>
      <c r="J592">
        <v>90.9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FA62-7D13-4E2A-8988-58CBCF096259}">
  <dimension ref="A1:L44"/>
  <sheetViews>
    <sheetView showGridLines="0" workbookViewId="0">
      <selection activeCell="H16" activeCellId="2" sqref="B18 C18 H16"/>
    </sheetView>
  </sheetViews>
  <sheetFormatPr defaultRowHeight="15" x14ac:dyDescent="0.25"/>
  <cols>
    <col min="1" max="1" width="18.28515625" bestFit="1" customWidth="1"/>
    <col min="2" max="2" width="24.5703125" bestFit="1" customWidth="1"/>
    <col min="3" max="3" width="15.42578125" bestFit="1" customWidth="1"/>
    <col min="4" max="4" width="11.7109375" bestFit="1" customWidth="1"/>
    <col min="5" max="6" width="22.42578125" bestFit="1" customWidth="1"/>
    <col min="7" max="7" width="14.140625" bestFit="1" customWidth="1"/>
    <col min="8" max="8" width="11.5703125" bestFit="1" customWidth="1"/>
    <col min="9" max="9" width="10.5703125" bestFit="1" customWidth="1"/>
    <col min="11" max="11" width="34.140625" bestFit="1" customWidth="1"/>
    <col min="12" max="12" width="9.5703125" style="5" bestFit="1" customWidth="1"/>
  </cols>
  <sheetData>
    <row r="1" spans="1:9" x14ac:dyDescent="0.25">
      <c r="A1" s="2" t="s">
        <v>0</v>
      </c>
      <c r="B1" t="s">
        <v>392</v>
      </c>
    </row>
    <row r="2" spans="1:9" x14ac:dyDescent="0.25">
      <c r="A2" s="2" t="s">
        <v>343</v>
      </c>
      <c r="B2" t="s">
        <v>392</v>
      </c>
    </row>
    <row r="4" spans="1:9" x14ac:dyDescent="0.25">
      <c r="A4" s="2" t="s">
        <v>185</v>
      </c>
      <c r="B4" t="s">
        <v>348</v>
      </c>
      <c r="C4" t="s">
        <v>531</v>
      </c>
      <c r="D4" t="s">
        <v>340</v>
      </c>
      <c r="E4" t="s">
        <v>341</v>
      </c>
    </row>
    <row r="5" spans="1:9" x14ac:dyDescent="0.25">
      <c r="A5" s="3" t="s">
        <v>352</v>
      </c>
      <c r="B5" s="4">
        <v>6037.1480000000001</v>
      </c>
      <c r="C5" s="4">
        <v>1660</v>
      </c>
      <c r="D5" s="4">
        <v>99.6</v>
      </c>
      <c r="E5" s="4">
        <v>0</v>
      </c>
      <c r="F5" s="5"/>
      <c r="G5" s="4">
        <v>6037.1480000000001</v>
      </c>
      <c r="H5" s="5">
        <f>G5-B5</f>
        <v>0</v>
      </c>
      <c r="I5" s="4"/>
    </row>
    <row r="6" spans="1:9" x14ac:dyDescent="0.25">
      <c r="A6" s="3" t="s">
        <v>228</v>
      </c>
      <c r="B6" s="4">
        <v>31524.467799999999</v>
      </c>
      <c r="C6" s="4">
        <v>500</v>
      </c>
      <c r="D6" s="4">
        <v>298.39999999999998</v>
      </c>
      <c r="E6" s="4">
        <v>101.99</v>
      </c>
      <c r="F6" s="5"/>
      <c r="G6" s="4">
        <v>31524.467799999999</v>
      </c>
      <c r="H6" s="5">
        <f t="shared" ref="H6:H17" si="0">G6-B6</f>
        <v>0</v>
      </c>
      <c r="I6" s="4"/>
    </row>
    <row r="7" spans="1:9" x14ac:dyDescent="0.25">
      <c r="A7" s="3" t="s">
        <v>230</v>
      </c>
      <c r="B7" s="4">
        <v>14455.508000000002</v>
      </c>
      <c r="C7" s="4">
        <v>275</v>
      </c>
      <c r="D7" s="4">
        <v>139.19999999999999</v>
      </c>
      <c r="E7" s="4">
        <v>477</v>
      </c>
      <c r="F7" s="5"/>
      <c r="G7" s="4">
        <v>14455.508000000002</v>
      </c>
      <c r="H7" s="5">
        <f t="shared" si="0"/>
        <v>0</v>
      </c>
      <c r="I7" s="4"/>
    </row>
    <row r="8" spans="1:9" x14ac:dyDescent="0.25">
      <c r="A8" s="3" t="s">
        <v>231</v>
      </c>
      <c r="B8" s="4">
        <v>11647.063195000001</v>
      </c>
      <c r="C8" s="4">
        <v>0</v>
      </c>
      <c r="D8" s="4">
        <v>238.85999999999999</v>
      </c>
      <c r="E8" s="4">
        <v>0</v>
      </c>
      <c r="F8" s="5"/>
      <c r="G8" s="4">
        <v>11647.063195000001</v>
      </c>
      <c r="H8" s="5">
        <f t="shared" si="0"/>
        <v>0</v>
      </c>
      <c r="I8" s="4"/>
    </row>
    <row r="9" spans="1:9" x14ac:dyDescent="0.25">
      <c r="A9" s="3" t="s">
        <v>225</v>
      </c>
      <c r="B9" s="4">
        <v>35779.315992000003</v>
      </c>
      <c r="C9" s="4">
        <v>8156.3639999999996</v>
      </c>
      <c r="D9" s="4">
        <v>39.89</v>
      </c>
      <c r="E9" s="4">
        <v>126.78</v>
      </c>
      <c r="F9" s="5"/>
      <c r="G9" s="4">
        <v>35779.315992000003</v>
      </c>
      <c r="H9" s="5">
        <f t="shared" si="0"/>
        <v>0</v>
      </c>
      <c r="I9" s="4"/>
    </row>
    <row r="10" spans="1:9" x14ac:dyDescent="0.25">
      <c r="A10" s="3" t="s">
        <v>226</v>
      </c>
      <c r="B10" s="4">
        <v>143386.02637400004</v>
      </c>
      <c r="C10" s="4">
        <v>17011.620000000003</v>
      </c>
      <c r="D10" s="4">
        <v>0</v>
      </c>
      <c r="E10" s="4">
        <v>0</v>
      </c>
      <c r="F10" s="5"/>
      <c r="G10" s="4">
        <v>143386.02637400004</v>
      </c>
      <c r="H10" s="5">
        <f t="shared" si="0"/>
        <v>0</v>
      </c>
      <c r="I10" s="4"/>
    </row>
    <row r="11" spans="1:9" x14ac:dyDescent="0.25">
      <c r="A11" s="3" t="s">
        <v>353</v>
      </c>
      <c r="B11" s="4">
        <v>16072.112000000003</v>
      </c>
      <c r="C11" s="4">
        <v>632</v>
      </c>
      <c r="D11" s="4">
        <v>-304.43</v>
      </c>
      <c r="E11" s="4">
        <v>299.66999999999996</v>
      </c>
      <c r="F11" s="5"/>
      <c r="G11" s="4">
        <v>16072.112000000003</v>
      </c>
      <c r="H11" s="5">
        <f t="shared" si="0"/>
        <v>0</v>
      </c>
      <c r="I11" s="4"/>
    </row>
    <row r="12" spans="1:9" x14ac:dyDescent="0.25">
      <c r="A12" s="3" t="s">
        <v>229</v>
      </c>
      <c r="B12" s="4">
        <v>12225.323999999999</v>
      </c>
      <c r="C12" s="4">
        <v>2777</v>
      </c>
      <c r="D12" s="4">
        <v>0</v>
      </c>
      <c r="E12" s="4">
        <v>0</v>
      </c>
      <c r="F12" s="5"/>
      <c r="G12" s="4">
        <v>12225.323999999999</v>
      </c>
      <c r="H12" s="5">
        <f t="shared" si="0"/>
        <v>0</v>
      </c>
      <c r="I12" s="4"/>
    </row>
    <row r="13" spans="1:9" x14ac:dyDescent="0.25">
      <c r="A13" s="3" t="s">
        <v>351</v>
      </c>
      <c r="B13" s="4">
        <v>13049.935999999998</v>
      </c>
      <c r="C13" s="4">
        <v>100</v>
      </c>
      <c r="D13" s="4">
        <v>0</v>
      </c>
      <c r="E13" s="4">
        <v>100</v>
      </c>
      <c r="F13" s="5"/>
      <c r="G13" s="4">
        <v>13049.935999999998</v>
      </c>
      <c r="H13" s="5">
        <f t="shared" si="0"/>
        <v>0</v>
      </c>
      <c r="I13" s="4"/>
    </row>
    <row r="14" spans="1:9" x14ac:dyDescent="0.25">
      <c r="A14" s="3" t="s">
        <v>224</v>
      </c>
      <c r="B14" s="4">
        <v>12518.031999999999</v>
      </c>
      <c r="C14" s="4">
        <v>0</v>
      </c>
      <c r="D14" s="4">
        <v>-138</v>
      </c>
      <c r="E14" s="4">
        <v>188.26999999999998</v>
      </c>
      <c r="F14" s="5"/>
      <c r="G14" s="4">
        <v>12518.031999999999</v>
      </c>
      <c r="H14" s="5">
        <f t="shared" si="0"/>
        <v>0</v>
      </c>
      <c r="I14" s="4"/>
    </row>
    <row r="15" spans="1:9" x14ac:dyDescent="0.25">
      <c r="A15" s="3" t="s">
        <v>232</v>
      </c>
      <c r="B15" s="4">
        <v>11545.315999999999</v>
      </c>
      <c r="C15" s="4">
        <v>0</v>
      </c>
      <c r="D15" s="4">
        <v>0</v>
      </c>
      <c r="E15" s="4">
        <v>0</v>
      </c>
      <c r="F15" s="5"/>
      <c r="G15" s="4">
        <v>11545.315999999999</v>
      </c>
      <c r="H15" s="5">
        <f t="shared" si="0"/>
        <v>0</v>
      </c>
      <c r="I15" s="4"/>
    </row>
    <row r="16" spans="1:9" x14ac:dyDescent="0.25">
      <c r="A16" s="3" t="s">
        <v>350</v>
      </c>
      <c r="B16" s="4">
        <v>35640.921029999998</v>
      </c>
      <c r="C16" s="4">
        <v>5275</v>
      </c>
      <c r="D16" s="4">
        <v>1452.5499999999997</v>
      </c>
      <c r="E16" s="4">
        <v>206.38</v>
      </c>
      <c r="F16" s="5"/>
      <c r="G16" s="4">
        <v>43997.765729999999</v>
      </c>
      <c r="H16" s="5">
        <f t="shared" si="0"/>
        <v>8356.8447000000015</v>
      </c>
      <c r="I16" s="4"/>
    </row>
    <row r="17" spans="1:9" x14ac:dyDescent="0.25">
      <c r="A17" s="3" t="s">
        <v>223</v>
      </c>
      <c r="B17" s="4">
        <v>10658.524000000001</v>
      </c>
      <c r="C17" s="4">
        <v>0</v>
      </c>
      <c r="D17" s="4">
        <v>-80</v>
      </c>
      <c r="E17" s="4">
        <v>360.41999999999996</v>
      </c>
      <c r="F17" s="5"/>
      <c r="G17" s="4">
        <v>10658.524000000001</v>
      </c>
      <c r="H17" s="5">
        <f t="shared" si="0"/>
        <v>0</v>
      </c>
      <c r="I17" s="4"/>
    </row>
    <row r="18" spans="1:9" x14ac:dyDescent="0.25">
      <c r="A18" s="3" t="s">
        <v>186</v>
      </c>
      <c r="B18" s="4">
        <v>354539.69439099997</v>
      </c>
      <c r="C18" s="4">
        <v>36386.984000000004</v>
      </c>
      <c r="D18" s="4">
        <v>1746.0699999999997</v>
      </c>
      <c r="E18" s="4">
        <v>1860.5100000000002</v>
      </c>
      <c r="F18" s="5"/>
      <c r="G18" s="4"/>
      <c r="H18" s="5"/>
      <c r="I18" s="4"/>
    </row>
    <row r="19" spans="1:9" x14ac:dyDescent="0.25">
      <c r="F19" s="5"/>
      <c r="G19" s="4"/>
      <c r="H19" s="5"/>
      <c r="I19" s="4"/>
    </row>
    <row r="20" spans="1:9" x14ac:dyDescent="0.25">
      <c r="F20" s="5"/>
      <c r="G20" s="4"/>
      <c r="H20" s="5"/>
      <c r="I20" s="4"/>
    </row>
    <row r="21" spans="1:9" x14ac:dyDescent="0.25">
      <c r="F21" s="4"/>
      <c r="G21" s="4"/>
      <c r="H21" s="5"/>
      <c r="I21" s="4"/>
    </row>
    <row r="22" spans="1:9" x14ac:dyDescent="0.25">
      <c r="F22" s="4"/>
      <c r="H22" s="5"/>
      <c r="I22" s="4"/>
    </row>
    <row r="23" spans="1:9" x14ac:dyDescent="0.25">
      <c r="G23" s="5">
        <v>0.01</v>
      </c>
      <c r="H23" s="5"/>
      <c r="I23" s="4"/>
    </row>
    <row r="24" spans="1:9" x14ac:dyDescent="0.25">
      <c r="G24" s="5">
        <v>0.08</v>
      </c>
      <c r="H24" s="11">
        <f>G24+G23</f>
        <v>0.09</v>
      </c>
      <c r="I24" s="12" t="e">
        <f>(H24-H23)/H23</f>
        <v>#DIV/0!</v>
      </c>
    </row>
    <row r="25" spans="1:9" x14ac:dyDescent="0.25">
      <c r="G25" s="5">
        <v>0.28000000000000003</v>
      </c>
      <c r="H25" s="11">
        <f>G25+H24</f>
        <v>0.37</v>
      </c>
      <c r="I25" s="12">
        <f>(H25-H24)/H24</f>
        <v>3.1111111111111116</v>
      </c>
    </row>
    <row r="26" spans="1:9" x14ac:dyDescent="0.25">
      <c r="F26" s="6"/>
      <c r="G26" s="5">
        <v>3.96</v>
      </c>
      <c r="H26" s="11">
        <f t="shared" ref="H26:H40" si="1">G26+H25</f>
        <v>4.33</v>
      </c>
      <c r="I26" s="12">
        <f t="shared" ref="I26:I38" si="2">(H26-H25)/H25</f>
        <v>10.702702702702704</v>
      </c>
    </row>
    <row r="27" spans="1:9" x14ac:dyDescent="0.25">
      <c r="G27" s="5">
        <v>8.58</v>
      </c>
      <c r="H27" s="11">
        <f t="shared" si="1"/>
        <v>12.91</v>
      </c>
      <c r="I27" s="12">
        <f t="shared" si="2"/>
        <v>1.9815242494226328</v>
      </c>
    </row>
    <row r="28" spans="1:9" x14ac:dyDescent="0.25">
      <c r="G28" s="5">
        <v>7.21</v>
      </c>
      <c r="H28" s="11">
        <f>G28+H27</f>
        <v>20.12</v>
      </c>
      <c r="I28" s="12">
        <f t="shared" si="2"/>
        <v>0.55848179705654533</v>
      </c>
    </row>
    <row r="29" spans="1:9" x14ac:dyDescent="0.25">
      <c r="G29" s="5">
        <v>7.51</v>
      </c>
      <c r="H29" s="11">
        <f t="shared" si="1"/>
        <v>27.630000000000003</v>
      </c>
      <c r="I29" s="12">
        <f t="shared" si="2"/>
        <v>0.3732604373757456</v>
      </c>
    </row>
    <row r="30" spans="1:9" x14ac:dyDescent="0.25">
      <c r="G30" s="5">
        <v>8.1</v>
      </c>
      <c r="H30" s="11">
        <f t="shared" si="1"/>
        <v>35.730000000000004</v>
      </c>
      <c r="I30" s="12">
        <f t="shared" si="2"/>
        <v>0.29315960912052119</v>
      </c>
    </row>
    <row r="31" spans="1:9" x14ac:dyDescent="0.25">
      <c r="G31" s="5">
        <v>7.91</v>
      </c>
      <c r="H31" s="11">
        <f t="shared" si="1"/>
        <v>43.64</v>
      </c>
      <c r="I31" s="12">
        <f t="shared" si="2"/>
        <v>0.22138259165966961</v>
      </c>
    </row>
    <row r="32" spans="1:9" x14ac:dyDescent="0.25">
      <c r="G32" s="5">
        <v>9.07</v>
      </c>
      <c r="H32" s="11">
        <f t="shared" si="1"/>
        <v>52.71</v>
      </c>
      <c r="I32" s="12">
        <f t="shared" si="2"/>
        <v>0.20783684692942256</v>
      </c>
    </row>
    <row r="33" spans="7:9" x14ac:dyDescent="0.25">
      <c r="G33" s="5">
        <v>10.48</v>
      </c>
      <c r="H33" s="11">
        <f t="shared" si="1"/>
        <v>63.19</v>
      </c>
      <c r="I33" s="12">
        <f t="shared" si="2"/>
        <v>0.1988237526086131</v>
      </c>
    </row>
    <row r="34" spans="7:9" x14ac:dyDescent="0.25">
      <c r="G34" s="5">
        <v>11.85</v>
      </c>
      <c r="H34" s="11">
        <f t="shared" si="1"/>
        <v>75.039999999999992</v>
      </c>
      <c r="I34" s="12">
        <f t="shared" si="2"/>
        <v>0.18752967241652152</v>
      </c>
    </row>
    <row r="35" spans="7:9" x14ac:dyDescent="0.25">
      <c r="G35" s="5">
        <v>12.67</v>
      </c>
      <c r="H35" s="11">
        <f t="shared" si="1"/>
        <v>87.71</v>
      </c>
      <c r="I35" s="12">
        <f t="shared" si="2"/>
        <v>0.16884328358208958</v>
      </c>
    </row>
    <row r="36" spans="7:9" x14ac:dyDescent="0.25">
      <c r="G36" s="5">
        <v>16.350000000000001</v>
      </c>
      <c r="H36" s="11">
        <f t="shared" si="1"/>
        <v>104.06</v>
      </c>
      <c r="I36" s="12">
        <f t="shared" si="2"/>
        <v>0.18640975943450017</v>
      </c>
    </row>
    <row r="37" spans="7:9" x14ac:dyDescent="0.25">
      <c r="G37" s="5">
        <v>16</v>
      </c>
      <c r="H37" s="11">
        <f t="shared" si="1"/>
        <v>120.06</v>
      </c>
      <c r="I37" s="12">
        <f t="shared" si="2"/>
        <v>0.15375744762636939</v>
      </c>
    </row>
    <row r="38" spans="7:9" x14ac:dyDescent="0.25">
      <c r="G38" s="5">
        <v>18.63</v>
      </c>
      <c r="H38" s="11">
        <f t="shared" si="1"/>
        <v>138.69</v>
      </c>
      <c r="I38" s="12">
        <f t="shared" si="2"/>
        <v>0.1551724137931034</v>
      </c>
    </row>
    <row r="39" spans="7:9" x14ac:dyDescent="0.25">
      <c r="G39" s="5">
        <v>23.56</v>
      </c>
      <c r="H39" s="11">
        <f t="shared" si="1"/>
        <v>162.25</v>
      </c>
      <c r="I39" s="12">
        <f>(G39-G38)/G38</f>
        <v>0.26462694578636609</v>
      </c>
    </row>
    <row r="40" spans="7:9" x14ac:dyDescent="0.25">
      <c r="G40" s="5">
        <v>24.32</v>
      </c>
      <c r="H40" s="11">
        <f t="shared" si="1"/>
        <v>186.57</v>
      </c>
      <c r="I40" s="12">
        <f>(G40-G39)/G39</f>
        <v>3.2258064516129101E-2</v>
      </c>
    </row>
    <row r="44" spans="7:9" x14ac:dyDescent="0.25">
      <c r="G44">
        <f>SUM(G23:G43)</f>
        <v>186.57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C43F-CF92-4D9E-95A2-A18E1CF49BAF}">
  <dimension ref="A1:L27"/>
  <sheetViews>
    <sheetView tabSelected="1" workbookViewId="0">
      <selection activeCell="D13" sqref="D13"/>
    </sheetView>
  </sheetViews>
  <sheetFormatPr defaultRowHeight="15" x14ac:dyDescent="0.25"/>
  <cols>
    <col min="1" max="1" width="33.5703125" bestFit="1" customWidth="1"/>
    <col min="2" max="2" width="16.42578125" bestFit="1" customWidth="1"/>
    <col min="3" max="3" width="15.7109375" bestFit="1" customWidth="1"/>
    <col min="4" max="4" width="16" bestFit="1" customWidth="1"/>
    <col min="5" max="5" width="14.28515625" bestFit="1" customWidth="1"/>
    <col min="6" max="6" width="12.85546875" bestFit="1" customWidth="1"/>
    <col min="7" max="9" width="10.42578125" bestFit="1" customWidth="1"/>
    <col min="10" max="10" width="9.28515625" bestFit="1" customWidth="1"/>
    <col min="11" max="11" width="16.42578125" bestFit="1" customWidth="1"/>
    <col min="12" max="12" width="16" style="5" bestFit="1" customWidth="1"/>
    <col min="13" max="13" width="16.7109375" bestFit="1" customWidth="1"/>
  </cols>
  <sheetData>
    <row r="1" spans="1:12" x14ac:dyDescent="0.25">
      <c r="A1" t="s">
        <v>634</v>
      </c>
      <c r="B1" t="s">
        <v>343</v>
      </c>
      <c r="C1" t="s">
        <v>344</v>
      </c>
      <c r="D1" t="s">
        <v>345</v>
      </c>
      <c r="E1" t="s">
        <v>393</v>
      </c>
      <c r="F1" t="s">
        <v>525</v>
      </c>
      <c r="G1" t="s">
        <v>438</v>
      </c>
      <c r="H1" s="5"/>
      <c r="L1"/>
    </row>
    <row r="2" spans="1:12" x14ac:dyDescent="0.25">
      <c r="A2" t="s">
        <v>219</v>
      </c>
      <c r="B2" t="s">
        <v>73</v>
      </c>
      <c r="C2" t="s">
        <v>508</v>
      </c>
      <c r="D2" t="s">
        <v>254</v>
      </c>
      <c r="E2" t="s">
        <v>255</v>
      </c>
      <c r="F2">
        <v>300</v>
      </c>
      <c r="G2">
        <f>SUMIF(BASE_DE_NOMES[Nome],GRATIFICAÇÃO[[#This Row],[COLABORADOR]],BASE_DE_NOMES[GRATIFICAÇÃO])-GRATIFICAÇÃO[[#This Row],[Valor Total]]</f>
        <v>-300</v>
      </c>
      <c r="H2" s="5"/>
      <c r="I2" s="9"/>
      <c r="L2"/>
    </row>
    <row r="3" spans="1:12" x14ac:dyDescent="0.25">
      <c r="A3" t="s">
        <v>382</v>
      </c>
      <c r="B3" t="s">
        <v>505</v>
      </c>
      <c r="C3" t="s">
        <v>254</v>
      </c>
      <c r="D3" t="s">
        <v>228</v>
      </c>
      <c r="E3" t="s">
        <v>255</v>
      </c>
      <c r="F3">
        <v>200</v>
      </c>
      <c r="G3">
        <f>SUMIF(BASE_DE_NOMES[Nome],GRATIFICAÇÃO[[#This Row],[COLABORADOR]],BASE_DE_NOMES[GRATIFICAÇÃO])-GRATIFICAÇÃO[[#This Row],[Valor Total]]</f>
        <v>0</v>
      </c>
      <c r="H3" s="5"/>
      <c r="I3" s="9"/>
      <c r="L3"/>
    </row>
    <row r="4" spans="1:12" x14ac:dyDescent="0.25">
      <c r="A4" t="s">
        <v>312</v>
      </c>
      <c r="B4" t="s">
        <v>164</v>
      </c>
      <c r="C4" t="s">
        <v>253</v>
      </c>
      <c r="D4" t="s">
        <v>253</v>
      </c>
      <c r="E4" t="s">
        <v>255</v>
      </c>
      <c r="F4">
        <v>275</v>
      </c>
      <c r="G4">
        <f>SUMIF(BASE_DE_NOMES[Nome],GRATIFICAÇÃO[[#This Row],[COLABORADOR]],BASE_DE_NOMES[GRATIFICAÇÃO])-GRATIFICAÇÃO[[#This Row],[Valor Total]]</f>
        <v>0</v>
      </c>
      <c r="H4" s="5"/>
      <c r="I4" s="9"/>
      <c r="L4"/>
    </row>
    <row r="5" spans="1:12" x14ac:dyDescent="0.25">
      <c r="A5" t="s">
        <v>152</v>
      </c>
      <c r="B5" t="s">
        <v>212</v>
      </c>
      <c r="C5" t="s">
        <v>511</v>
      </c>
      <c r="D5" t="s">
        <v>511</v>
      </c>
      <c r="E5" t="s">
        <v>255</v>
      </c>
      <c r="F5">
        <v>100</v>
      </c>
      <c r="G5">
        <f>SUMIF(BASE_DE_NOMES[Nome],GRATIFICAÇÃO[[#This Row],[COLABORADOR]],BASE_DE_NOMES[GRATIFICAÇÃO])-GRATIFICAÇÃO[[#This Row],[Valor Total]]</f>
        <v>0</v>
      </c>
      <c r="H5" s="5"/>
      <c r="I5" s="9"/>
      <c r="L5"/>
    </row>
    <row r="6" spans="1:12" x14ac:dyDescent="0.25">
      <c r="A6" t="s">
        <v>180</v>
      </c>
      <c r="B6" t="s">
        <v>557</v>
      </c>
      <c r="C6" t="s">
        <v>254</v>
      </c>
      <c r="D6" t="s">
        <v>358</v>
      </c>
      <c r="E6" t="s">
        <v>255</v>
      </c>
      <c r="F6">
        <v>300</v>
      </c>
      <c r="G6">
        <f>SUMIF(BASE_DE_NOMES[Nome],GRATIFICAÇÃO[[#This Row],[COLABORADOR]],BASE_DE_NOMES[GRATIFICAÇÃO])-GRATIFICAÇÃO[[#This Row],[Valor Total]]</f>
        <v>0</v>
      </c>
      <c r="H6" s="5"/>
      <c r="I6" s="9"/>
      <c r="L6"/>
    </row>
    <row r="7" spans="1:12" x14ac:dyDescent="0.25">
      <c r="A7" t="s">
        <v>725</v>
      </c>
      <c r="B7" t="s">
        <v>212</v>
      </c>
      <c r="C7" t="s">
        <v>508</v>
      </c>
      <c r="D7" t="s">
        <v>280</v>
      </c>
      <c r="E7" t="s">
        <v>255</v>
      </c>
      <c r="F7">
        <v>150</v>
      </c>
      <c r="G7">
        <f>SUMIF(BASE_DE_NOMES[Nome],GRATIFICAÇÃO[[#This Row],[COLABORADOR]],BASE_DE_NOMES[GRATIFICAÇÃO])-GRATIFICAÇÃO[[#This Row],[Valor Total]]</f>
        <v>-150</v>
      </c>
      <c r="H7" s="5"/>
      <c r="I7" s="9"/>
      <c r="L7"/>
    </row>
    <row r="8" spans="1:12" x14ac:dyDescent="0.25">
      <c r="A8" t="s">
        <v>66</v>
      </c>
      <c r="B8" t="s">
        <v>124</v>
      </c>
      <c r="C8" t="s">
        <v>229</v>
      </c>
      <c r="D8" t="s">
        <v>229</v>
      </c>
      <c r="E8" t="s">
        <v>255</v>
      </c>
      <c r="F8">
        <v>500</v>
      </c>
      <c r="G8">
        <f>SUMIF(BASE_DE_NOMES[Nome],GRATIFICAÇÃO[[#This Row],[COLABORADOR]],BASE_DE_NOMES[GRATIFICAÇÃO])-GRATIFICAÇÃO[[#This Row],[Valor Total]]</f>
        <v>0</v>
      </c>
      <c r="I8" s="9"/>
      <c r="L8"/>
    </row>
    <row r="9" spans="1:12" x14ac:dyDescent="0.25">
      <c r="A9" t="s">
        <v>88</v>
      </c>
      <c r="B9" t="s">
        <v>101</v>
      </c>
      <c r="C9" t="s">
        <v>325</v>
      </c>
      <c r="D9" t="s">
        <v>325</v>
      </c>
      <c r="E9" t="s">
        <v>255</v>
      </c>
      <c r="F9">
        <v>539</v>
      </c>
      <c r="G9">
        <f>SUMIF(BASE_DE_NOMES[Nome],GRATIFICAÇÃO[[#This Row],[COLABORADOR]],BASE_DE_NOMES[GRATIFICAÇÃO])-GRATIFICAÇÃO[[#This Row],[Valor Total]]</f>
        <v>0</v>
      </c>
      <c r="I9" s="9"/>
      <c r="L9"/>
    </row>
    <row r="10" spans="1:12" x14ac:dyDescent="0.25">
      <c r="A10" t="s">
        <v>183</v>
      </c>
      <c r="B10" t="s">
        <v>77</v>
      </c>
      <c r="C10" t="s">
        <v>254</v>
      </c>
      <c r="D10" t="s">
        <v>254</v>
      </c>
      <c r="E10" t="s">
        <v>255</v>
      </c>
      <c r="F10">
        <v>300</v>
      </c>
      <c r="G10">
        <f>SUMIF(BASE_DE_NOMES[Nome],GRATIFICAÇÃO[[#This Row],[COLABORADOR]],BASE_DE_NOMES[GRATIFICAÇÃO])-GRATIFICAÇÃO[[#This Row],[Valor Total]]</f>
        <v>0</v>
      </c>
      <c r="I10" s="9"/>
      <c r="L10"/>
    </row>
    <row r="11" spans="1:12" x14ac:dyDescent="0.25">
      <c r="A11" t="s">
        <v>236</v>
      </c>
      <c r="B11" t="s">
        <v>251</v>
      </c>
      <c r="C11" t="s">
        <v>252</v>
      </c>
      <c r="D11" t="s">
        <v>252</v>
      </c>
      <c r="E11" t="s">
        <v>255</v>
      </c>
      <c r="F11">
        <v>200</v>
      </c>
      <c r="G11">
        <f>SUMIF(BASE_DE_NOMES[Nome],GRATIFICAÇÃO[[#This Row],[COLABORADOR]],BASE_DE_NOMES[GRATIFICAÇÃO])-GRATIFICAÇÃO[[#This Row],[Valor Total]]</f>
        <v>0</v>
      </c>
      <c r="I11" s="9"/>
      <c r="L11"/>
    </row>
    <row r="12" spans="1:12" x14ac:dyDescent="0.25">
      <c r="A12" t="s">
        <v>106</v>
      </c>
      <c r="B12" t="s">
        <v>251</v>
      </c>
      <c r="C12" t="s">
        <v>252</v>
      </c>
      <c r="D12" t="s">
        <v>252</v>
      </c>
      <c r="E12" t="s">
        <v>255</v>
      </c>
      <c r="F12">
        <v>100</v>
      </c>
      <c r="G12">
        <f>SUMIF(BASE_DE_NOMES[Nome],GRATIFICAÇÃO[[#This Row],[COLABORADOR]],BASE_DE_NOMES[GRATIFICAÇÃO])-GRATIFICAÇÃO[[#This Row],[Valor Total]]</f>
        <v>0</v>
      </c>
      <c r="I12" s="9"/>
      <c r="L12"/>
    </row>
    <row r="13" spans="1:12" x14ac:dyDescent="0.25">
      <c r="A13" t="s">
        <v>239</v>
      </c>
      <c r="B13" t="s">
        <v>311</v>
      </c>
      <c r="C13" t="s">
        <v>326</v>
      </c>
      <c r="D13" t="s">
        <v>326</v>
      </c>
      <c r="E13" t="s">
        <v>255</v>
      </c>
      <c r="F13">
        <v>700</v>
      </c>
      <c r="G13">
        <f>SUMIF(BASE_DE_NOMES[Nome],GRATIFICAÇÃO[[#This Row],[COLABORADOR]],BASE_DE_NOMES[GRATIFICAÇÃO])-GRATIFICAÇÃO[[#This Row],[Valor Total]]</f>
        <v>0</v>
      </c>
      <c r="I13" s="9"/>
      <c r="L13"/>
    </row>
    <row r="14" spans="1:12" x14ac:dyDescent="0.25">
      <c r="A14" t="s">
        <v>726</v>
      </c>
      <c r="B14" t="s">
        <v>526</v>
      </c>
      <c r="C14" t="s">
        <v>252</v>
      </c>
      <c r="D14" t="s">
        <v>252</v>
      </c>
      <c r="E14" t="s">
        <v>255</v>
      </c>
      <c r="F14">
        <v>700</v>
      </c>
      <c r="G14">
        <f>SUMIF(BASE_DE_NOMES[Nome],GRATIFICAÇÃO[[#This Row],[COLABORADOR]],BASE_DE_NOMES[GRATIFICAÇÃO])-GRATIFICAÇÃO[[#This Row],[Valor Total]]</f>
        <v>-700</v>
      </c>
      <c r="I14" s="9"/>
      <c r="L14"/>
    </row>
    <row r="15" spans="1:12" x14ac:dyDescent="0.25">
      <c r="A15" t="s">
        <v>117</v>
      </c>
      <c r="B15" t="s">
        <v>251</v>
      </c>
      <c r="C15" t="s">
        <v>252</v>
      </c>
      <c r="D15" t="s">
        <v>252</v>
      </c>
      <c r="E15" t="s">
        <v>255</v>
      </c>
      <c r="F15">
        <v>400</v>
      </c>
      <c r="G15">
        <f>SUMIF(BASE_DE_NOMES[Nome],GRATIFICAÇÃO[[#This Row],[COLABORADOR]],BASE_DE_NOMES[GRATIFICAÇÃO])-GRATIFICAÇÃO[[#This Row],[Valor Total]]</f>
        <v>0</v>
      </c>
      <c r="I15" s="9"/>
      <c r="L15"/>
    </row>
    <row r="16" spans="1:12" x14ac:dyDescent="0.25">
      <c r="A16" t="s">
        <v>120</v>
      </c>
      <c r="B16" t="s">
        <v>527</v>
      </c>
      <c r="C16" t="s">
        <v>252</v>
      </c>
      <c r="D16" t="s">
        <v>252</v>
      </c>
      <c r="E16" t="s">
        <v>255</v>
      </c>
      <c r="F16">
        <v>200</v>
      </c>
      <c r="G16">
        <f>SUMIF(BASE_DE_NOMES[Nome],GRATIFICAÇÃO[[#This Row],[COLABORADOR]],BASE_DE_NOMES[GRATIFICAÇÃO])-GRATIFICAÇÃO[[#This Row],[Valor Total]]</f>
        <v>0</v>
      </c>
      <c r="I16" s="9"/>
      <c r="L16"/>
    </row>
    <row r="17" spans="1:12" x14ac:dyDescent="0.25">
      <c r="A17" t="s">
        <v>121</v>
      </c>
      <c r="B17" t="s">
        <v>251</v>
      </c>
      <c r="C17" t="s">
        <v>252</v>
      </c>
      <c r="D17" t="s">
        <v>252</v>
      </c>
      <c r="E17" t="s">
        <v>255</v>
      </c>
      <c r="F17">
        <v>100</v>
      </c>
      <c r="G17">
        <f>SUMIF(BASE_DE_NOMES[Nome],GRATIFICAÇÃO[[#This Row],[COLABORADOR]],BASE_DE_NOMES[GRATIFICAÇÃO])-GRATIFICAÇÃO[[#This Row],[Valor Total]]</f>
        <v>0</v>
      </c>
      <c r="I17" s="9"/>
      <c r="L17"/>
    </row>
    <row r="18" spans="1:12" x14ac:dyDescent="0.25">
      <c r="A18" t="s">
        <v>635</v>
      </c>
      <c r="B18" t="s">
        <v>251</v>
      </c>
      <c r="C18" t="s">
        <v>252</v>
      </c>
      <c r="D18" t="s">
        <v>252</v>
      </c>
      <c r="E18" t="s">
        <v>255</v>
      </c>
      <c r="F18">
        <v>200</v>
      </c>
      <c r="G18">
        <f>SUMIF(BASE_DE_NOMES[Nome],GRATIFICAÇÃO[[#This Row],[COLABORADOR]],BASE_DE_NOMES[GRATIFICAÇÃO])-GRATIFICAÇÃO[[#This Row],[Valor Total]]</f>
        <v>-200</v>
      </c>
      <c r="I18" s="9"/>
      <c r="L18"/>
    </row>
    <row r="19" spans="1:12" x14ac:dyDescent="0.25">
      <c r="A19" t="s">
        <v>281</v>
      </c>
      <c r="B19" t="s">
        <v>251</v>
      </c>
      <c r="C19" t="s">
        <v>326</v>
      </c>
      <c r="D19" t="s">
        <v>542</v>
      </c>
      <c r="E19" t="s">
        <v>255</v>
      </c>
      <c r="F19">
        <v>531</v>
      </c>
      <c r="G19">
        <f>SUMIF(BASE_DE_NOMES[Nome],GRATIFICAÇÃO[[#This Row],[COLABORADOR]],BASE_DE_NOMES[GRATIFICAÇÃO])-GRATIFICAÇÃO[[#This Row],[Valor Total]]</f>
        <v>0</v>
      </c>
      <c r="I19" s="9"/>
      <c r="L19"/>
    </row>
    <row r="20" spans="1:12" x14ac:dyDescent="0.25">
      <c r="A20" t="s">
        <v>132</v>
      </c>
      <c r="B20" t="s">
        <v>526</v>
      </c>
      <c r="C20" t="s">
        <v>252</v>
      </c>
      <c r="D20" t="s">
        <v>252</v>
      </c>
      <c r="E20" t="s">
        <v>255</v>
      </c>
      <c r="F20">
        <v>200</v>
      </c>
      <c r="G20">
        <f>SUMIF(BASE_DE_NOMES[Nome],GRATIFICAÇÃO[[#This Row],[COLABORADOR]],BASE_DE_NOMES[GRATIFICAÇÃO])-GRATIFICAÇÃO[[#This Row],[Valor Total]]</f>
        <v>0</v>
      </c>
      <c r="I20" s="9"/>
      <c r="L20"/>
    </row>
    <row r="21" spans="1:12" x14ac:dyDescent="0.25">
      <c r="A21" t="s">
        <v>133</v>
      </c>
      <c r="B21" t="s">
        <v>251</v>
      </c>
      <c r="C21" t="s">
        <v>252</v>
      </c>
      <c r="D21" t="s">
        <v>252</v>
      </c>
      <c r="E21" t="s">
        <v>255</v>
      </c>
      <c r="F21">
        <v>100</v>
      </c>
      <c r="G21">
        <f>SUMIF(BASE_DE_NOMES[Nome],GRATIFICAÇÃO[[#This Row],[COLABORADOR]],BASE_DE_NOMES[GRATIFICAÇÃO])-GRATIFICAÇÃO[[#This Row],[Valor Total]]</f>
        <v>0</v>
      </c>
      <c r="I21" s="9"/>
      <c r="L21"/>
    </row>
    <row r="22" spans="1:12" x14ac:dyDescent="0.25">
      <c r="A22" t="s">
        <v>140</v>
      </c>
      <c r="B22" t="s">
        <v>251</v>
      </c>
      <c r="C22" t="s">
        <v>252</v>
      </c>
      <c r="D22" t="s">
        <v>252</v>
      </c>
      <c r="E22" t="s">
        <v>255</v>
      </c>
      <c r="F22">
        <v>300</v>
      </c>
      <c r="G22">
        <f>SUMIF(BASE_DE_NOMES[Nome],GRATIFICAÇÃO[[#This Row],[COLABORADOR]],BASE_DE_NOMES[GRATIFICAÇÃO])-GRATIFICAÇÃO[[#This Row],[Valor Total]]</f>
        <v>0</v>
      </c>
      <c r="I22" s="9"/>
      <c r="L22"/>
    </row>
    <row r="23" spans="1:12" x14ac:dyDescent="0.25">
      <c r="A23" t="s">
        <v>151</v>
      </c>
      <c r="B23" t="s">
        <v>251</v>
      </c>
      <c r="C23" t="s">
        <v>252</v>
      </c>
      <c r="D23" t="s">
        <v>252</v>
      </c>
      <c r="E23" t="s">
        <v>255</v>
      </c>
      <c r="F23">
        <v>300</v>
      </c>
      <c r="G23">
        <f>SUMIF(BASE_DE_NOMES[Nome],GRATIFICAÇÃO[[#This Row],[COLABORADOR]],BASE_DE_NOMES[GRATIFICAÇÃO])-GRATIFICAÇÃO[[#This Row],[Valor Total]]</f>
        <v>0</v>
      </c>
      <c r="I23" s="5"/>
      <c r="L23"/>
    </row>
    <row r="24" spans="1:12" x14ac:dyDescent="0.25">
      <c r="A24" t="s">
        <v>148</v>
      </c>
      <c r="B24" t="s">
        <v>251</v>
      </c>
      <c r="C24" t="s">
        <v>252</v>
      </c>
      <c r="D24" t="s">
        <v>252</v>
      </c>
      <c r="E24" t="s">
        <v>255</v>
      </c>
      <c r="F24">
        <v>100</v>
      </c>
      <c r="G24">
        <f>SUMIF(BASE_DE_NOMES[Nome],GRATIFICAÇÃO[[#This Row],[COLABORADOR]],BASE_DE_NOMES[GRATIFICAÇÃO])-GRATIFICAÇÃO[[#This Row],[Valor Total]]</f>
        <v>0</v>
      </c>
      <c r="H24" s="4"/>
      <c r="J24" s="5"/>
      <c r="L24"/>
    </row>
    <row r="25" spans="1:12" x14ac:dyDescent="0.25">
      <c r="A25" t="s">
        <v>149</v>
      </c>
      <c r="B25" t="s">
        <v>528</v>
      </c>
      <c r="C25" t="s">
        <v>252</v>
      </c>
      <c r="D25" t="s">
        <v>252</v>
      </c>
      <c r="E25" t="s">
        <v>255</v>
      </c>
      <c r="F25">
        <v>200</v>
      </c>
      <c r="G25">
        <f>SUMIF(BASE_DE_NOMES[Nome],GRATIFICAÇÃO[[#This Row],[COLABORADOR]],BASE_DE_NOMES[GRATIFICAÇÃO])-GRATIFICAÇÃO[[#This Row],[Valor Total]]</f>
        <v>0</v>
      </c>
      <c r="J25" s="5"/>
      <c r="L25"/>
    </row>
    <row r="26" spans="1:12" x14ac:dyDescent="0.25">
      <c r="A26" t="s">
        <v>150</v>
      </c>
      <c r="B26" t="s">
        <v>526</v>
      </c>
      <c r="C26" t="s">
        <v>252</v>
      </c>
      <c r="D26" t="s">
        <v>252</v>
      </c>
      <c r="E26" t="s">
        <v>255</v>
      </c>
      <c r="F26">
        <v>200</v>
      </c>
      <c r="G26">
        <f>SUMIF(BASE_DE_NOMES[Nome],GRATIFICAÇÃO[[#This Row],[COLABORADOR]],BASE_DE_NOMES[GRATIFICAÇÃO])-GRATIFICAÇÃO[[#This Row],[Valor Total]]</f>
        <v>0</v>
      </c>
      <c r="J26" s="5"/>
      <c r="L26"/>
    </row>
    <row r="27" spans="1:12" x14ac:dyDescent="0.25">
      <c r="F27" s="4">
        <f>SUBTOTAL(109,GRATIFICAÇÃO[Valor Total])</f>
        <v>7195</v>
      </c>
      <c r="G27">
        <f>SUBTOTAL(109,GRATIFICAÇÃO[Coluna1])</f>
        <v>-1350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9852B-65F6-4C71-9427-7B6733F18D8F}">
  <dimension ref="A4:I171"/>
  <sheetViews>
    <sheetView showGridLines="0" workbookViewId="0">
      <selection activeCell="C1" sqref="C1:E1048576"/>
    </sheetView>
  </sheetViews>
  <sheetFormatPr defaultRowHeight="15" x14ac:dyDescent="0.25"/>
  <cols>
    <col min="1" max="1" width="13.5703125" bestFit="1" customWidth="1"/>
    <col min="2" max="2" width="15.140625" bestFit="1" customWidth="1"/>
    <col min="3" max="3" width="13.5703125" bestFit="1" customWidth="1"/>
    <col min="4" max="4" width="14.140625" bestFit="1" customWidth="1"/>
    <col min="5" max="5" width="11.5703125" bestFit="1" customWidth="1"/>
    <col min="6" max="6" width="10.5703125" bestFit="1" customWidth="1"/>
    <col min="8" max="8" width="34.140625" bestFit="1" customWidth="1"/>
    <col min="9" max="9" width="9.5703125" style="5" bestFit="1" customWidth="1"/>
  </cols>
  <sheetData>
    <row r="4" spans="1:6" x14ac:dyDescent="0.25">
      <c r="A4" s="2" t="s">
        <v>491</v>
      </c>
      <c r="B4" t="s">
        <v>392</v>
      </c>
    </row>
    <row r="5" spans="1:6" x14ac:dyDescent="0.25">
      <c r="D5" s="4"/>
      <c r="E5" s="5"/>
      <c r="F5" s="4"/>
    </row>
    <row r="6" spans="1:6" x14ac:dyDescent="0.25">
      <c r="A6" t="s">
        <v>398</v>
      </c>
      <c r="C6" s="5"/>
      <c r="D6" s="4"/>
      <c r="E6" s="5"/>
      <c r="F6" s="4"/>
    </row>
    <row r="7" spans="1:6" x14ac:dyDescent="0.25">
      <c r="A7" s="4" t="e">
        <v>#NAME?</v>
      </c>
      <c r="C7" s="5"/>
      <c r="D7" s="4"/>
      <c r="E7" s="5"/>
      <c r="F7" s="4"/>
    </row>
    <row r="8" spans="1:6" x14ac:dyDescent="0.25">
      <c r="C8" s="5"/>
      <c r="D8" s="4"/>
      <c r="E8" s="5"/>
      <c r="F8" s="4"/>
    </row>
    <row r="9" spans="1:6" x14ac:dyDescent="0.25">
      <c r="C9" s="5"/>
      <c r="D9" s="4"/>
      <c r="E9" s="5"/>
      <c r="F9" s="4"/>
    </row>
    <row r="10" spans="1:6" x14ac:dyDescent="0.25">
      <c r="C10" s="5"/>
      <c r="D10" s="4"/>
      <c r="E10" s="5"/>
      <c r="F10" s="4"/>
    </row>
    <row r="11" spans="1:6" x14ac:dyDescent="0.25">
      <c r="C11" s="5"/>
      <c r="D11" s="4"/>
      <c r="E11" s="5"/>
      <c r="F11" s="4"/>
    </row>
    <row r="12" spans="1:6" x14ac:dyDescent="0.25">
      <c r="C12" s="5"/>
      <c r="D12" s="4"/>
      <c r="E12" s="5"/>
      <c r="F12" s="4"/>
    </row>
    <row r="13" spans="1:6" x14ac:dyDescent="0.25">
      <c r="C13" s="5"/>
      <c r="D13" s="4"/>
      <c r="E13" s="5"/>
      <c r="F13" s="4"/>
    </row>
    <row r="14" spans="1:6" x14ac:dyDescent="0.25">
      <c r="C14" s="5"/>
      <c r="D14" s="4"/>
      <c r="E14" s="5"/>
      <c r="F14" s="4"/>
    </row>
    <row r="15" spans="1:6" x14ac:dyDescent="0.25">
      <c r="C15" s="5"/>
      <c r="D15" s="4"/>
      <c r="E15" s="5"/>
      <c r="F15" s="4"/>
    </row>
    <row r="16" spans="1:6" x14ac:dyDescent="0.25">
      <c r="C16" s="5"/>
      <c r="D16" s="4"/>
      <c r="E16" s="5"/>
      <c r="F16" s="4"/>
    </row>
    <row r="17" spans="3:6" x14ac:dyDescent="0.25">
      <c r="C17" s="5"/>
      <c r="D17" s="4"/>
      <c r="E17" s="5"/>
      <c r="F17" s="4"/>
    </row>
    <row r="18" spans="3:6" x14ac:dyDescent="0.25">
      <c r="C18" s="5"/>
      <c r="D18" s="4"/>
      <c r="E18" s="5"/>
      <c r="F18" s="4"/>
    </row>
    <row r="19" spans="3:6" x14ac:dyDescent="0.25">
      <c r="C19" s="5"/>
      <c r="D19" s="4"/>
      <c r="E19" s="5"/>
      <c r="F19" s="4"/>
    </row>
    <row r="20" spans="3:6" x14ac:dyDescent="0.25">
      <c r="C20" s="5"/>
      <c r="D20" s="4"/>
      <c r="E20" s="5"/>
      <c r="F20" s="4"/>
    </row>
    <row r="21" spans="3:6" x14ac:dyDescent="0.25">
      <c r="C21" s="5"/>
      <c r="D21" s="4"/>
      <c r="E21" s="5"/>
      <c r="F21" s="4"/>
    </row>
    <row r="22" spans="3:6" x14ac:dyDescent="0.25">
      <c r="C22" s="5"/>
      <c r="E22" s="5"/>
      <c r="F22" s="4"/>
    </row>
    <row r="23" spans="3:6" x14ac:dyDescent="0.25">
      <c r="C23" s="5"/>
      <c r="E23" s="5"/>
      <c r="F23" s="4"/>
    </row>
    <row r="24" spans="3:6" x14ac:dyDescent="0.25">
      <c r="C24" s="5"/>
      <c r="F24" s="4"/>
    </row>
    <row r="25" spans="3:6" x14ac:dyDescent="0.25">
      <c r="C25" s="5"/>
    </row>
    <row r="26" spans="3:6" x14ac:dyDescent="0.25">
      <c r="C26" s="5"/>
    </row>
    <row r="27" spans="3:6" x14ac:dyDescent="0.25">
      <c r="C27" s="5"/>
    </row>
    <row r="28" spans="3:6" x14ac:dyDescent="0.25">
      <c r="C28" s="5"/>
    </row>
    <row r="29" spans="3:6" x14ac:dyDescent="0.25">
      <c r="C29" s="5"/>
    </row>
    <row r="30" spans="3:6" x14ac:dyDescent="0.25">
      <c r="C30" s="5"/>
    </row>
    <row r="31" spans="3:6" x14ac:dyDescent="0.25">
      <c r="C31" s="5"/>
    </row>
    <row r="32" spans="3:6" x14ac:dyDescent="0.25">
      <c r="C32" s="5"/>
    </row>
    <row r="33" spans="3:3" x14ac:dyDescent="0.25">
      <c r="C33" s="5"/>
    </row>
    <row r="34" spans="3:3" x14ac:dyDescent="0.25">
      <c r="C34" s="5"/>
    </row>
    <row r="35" spans="3:3" x14ac:dyDescent="0.25">
      <c r="C35" s="5"/>
    </row>
    <row r="36" spans="3:3" x14ac:dyDescent="0.25">
      <c r="C36" s="5"/>
    </row>
    <row r="37" spans="3:3" x14ac:dyDescent="0.25">
      <c r="C37" s="5"/>
    </row>
    <row r="38" spans="3:3" x14ac:dyDescent="0.25">
      <c r="C38" s="5"/>
    </row>
    <row r="39" spans="3:3" x14ac:dyDescent="0.25">
      <c r="C39" s="5"/>
    </row>
    <row r="40" spans="3:3" x14ac:dyDescent="0.25">
      <c r="C40" s="5"/>
    </row>
    <row r="41" spans="3:3" x14ac:dyDescent="0.25">
      <c r="C41" s="5"/>
    </row>
    <row r="42" spans="3:3" x14ac:dyDescent="0.25">
      <c r="C42" s="5"/>
    </row>
    <row r="43" spans="3:3" x14ac:dyDescent="0.25">
      <c r="C43" s="5"/>
    </row>
    <row r="44" spans="3:3" x14ac:dyDescent="0.25">
      <c r="C44" s="5"/>
    </row>
    <row r="45" spans="3:3" x14ac:dyDescent="0.25">
      <c r="C45" s="5"/>
    </row>
    <row r="46" spans="3:3" x14ac:dyDescent="0.25">
      <c r="C46" s="5"/>
    </row>
    <row r="47" spans="3:3" x14ac:dyDescent="0.25">
      <c r="C47" s="5"/>
    </row>
    <row r="48" spans="3:3" x14ac:dyDescent="0.25">
      <c r="C48" s="5"/>
    </row>
    <row r="49" spans="3:3" x14ac:dyDescent="0.25">
      <c r="C49" s="5"/>
    </row>
    <row r="50" spans="3:3" x14ac:dyDescent="0.25">
      <c r="C50" s="5"/>
    </row>
    <row r="51" spans="3:3" x14ac:dyDescent="0.25">
      <c r="C51" s="5"/>
    </row>
    <row r="52" spans="3:3" x14ac:dyDescent="0.25">
      <c r="C52" s="5"/>
    </row>
    <row r="53" spans="3:3" x14ac:dyDescent="0.25">
      <c r="C53" s="5"/>
    </row>
    <row r="54" spans="3:3" x14ac:dyDescent="0.25">
      <c r="C54" s="5"/>
    </row>
    <row r="55" spans="3:3" x14ac:dyDescent="0.25">
      <c r="C55" s="5"/>
    </row>
    <row r="56" spans="3:3" x14ac:dyDescent="0.25">
      <c r="C56" s="5"/>
    </row>
    <row r="57" spans="3:3" x14ac:dyDescent="0.25">
      <c r="C57" s="5"/>
    </row>
    <row r="58" spans="3:3" x14ac:dyDescent="0.25">
      <c r="C58" s="5"/>
    </row>
    <row r="59" spans="3:3" x14ac:dyDescent="0.25">
      <c r="C59" s="5"/>
    </row>
    <row r="60" spans="3:3" x14ac:dyDescent="0.25">
      <c r="C60" s="5"/>
    </row>
    <row r="61" spans="3:3" x14ac:dyDescent="0.25">
      <c r="C61" s="5"/>
    </row>
    <row r="62" spans="3:3" x14ac:dyDescent="0.25">
      <c r="C62" s="5"/>
    </row>
    <row r="63" spans="3:3" x14ac:dyDescent="0.25">
      <c r="C63" s="5"/>
    </row>
    <row r="64" spans="3:3" x14ac:dyDescent="0.25">
      <c r="C64" s="5"/>
    </row>
    <row r="65" spans="3:3" x14ac:dyDescent="0.25">
      <c r="C65" s="5"/>
    </row>
    <row r="66" spans="3:3" x14ac:dyDescent="0.25">
      <c r="C66" s="5"/>
    </row>
    <row r="67" spans="3:3" x14ac:dyDescent="0.25">
      <c r="C67" s="5"/>
    </row>
    <row r="68" spans="3:3" x14ac:dyDescent="0.25">
      <c r="C68" s="5"/>
    </row>
    <row r="69" spans="3:3" x14ac:dyDescent="0.25">
      <c r="C69" s="5"/>
    </row>
    <row r="70" spans="3:3" x14ac:dyDescent="0.25">
      <c r="C70" s="5"/>
    </row>
    <row r="71" spans="3:3" x14ac:dyDescent="0.25">
      <c r="C71" s="5"/>
    </row>
    <row r="72" spans="3:3" x14ac:dyDescent="0.25">
      <c r="C72" s="5"/>
    </row>
    <row r="73" spans="3:3" x14ac:dyDescent="0.25">
      <c r="C73" s="5"/>
    </row>
    <row r="74" spans="3:3" x14ac:dyDescent="0.25">
      <c r="C74" s="5"/>
    </row>
    <row r="75" spans="3:3" x14ac:dyDescent="0.25">
      <c r="C75" s="5"/>
    </row>
    <row r="76" spans="3:3" x14ac:dyDescent="0.25">
      <c r="C76" s="5"/>
    </row>
    <row r="77" spans="3:3" x14ac:dyDescent="0.25">
      <c r="C77" s="5"/>
    </row>
    <row r="78" spans="3:3" x14ac:dyDescent="0.25">
      <c r="C78" s="5"/>
    </row>
    <row r="79" spans="3:3" x14ac:dyDescent="0.25">
      <c r="C79" s="5"/>
    </row>
    <row r="80" spans="3:3" x14ac:dyDescent="0.25">
      <c r="C80" s="5"/>
    </row>
    <row r="81" spans="3:3" x14ac:dyDescent="0.25">
      <c r="C81" s="5"/>
    </row>
    <row r="82" spans="3:3" x14ac:dyDescent="0.25">
      <c r="C82" s="5"/>
    </row>
    <row r="83" spans="3:3" x14ac:dyDescent="0.25">
      <c r="C83" s="5"/>
    </row>
    <row r="84" spans="3:3" x14ac:dyDescent="0.25">
      <c r="C84" s="5"/>
    </row>
    <row r="85" spans="3:3" x14ac:dyDescent="0.25">
      <c r="C85" s="5"/>
    </row>
    <row r="86" spans="3:3" x14ac:dyDescent="0.25">
      <c r="C86" s="5"/>
    </row>
    <row r="87" spans="3:3" x14ac:dyDescent="0.25">
      <c r="C87" s="5"/>
    </row>
    <row r="88" spans="3:3" x14ac:dyDescent="0.25">
      <c r="C88" s="5"/>
    </row>
    <row r="89" spans="3:3" x14ac:dyDescent="0.25">
      <c r="C89" s="5"/>
    </row>
    <row r="90" spans="3:3" x14ac:dyDescent="0.25">
      <c r="C90" s="5"/>
    </row>
    <row r="91" spans="3:3" x14ac:dyDescent="0.25">
      <c r="C91" s="5"/>
    </row>
    <row r="92" spans="3:3" x14ac:dyDescent="0.25">
      <c r="C92" s="5"/>
    </row>
    <row r="93" spans="3:3" x14ac:dyDescent="0.25">
      <c r="C93" s="5"/>
    </row>
    <row r="94" spans="3:3" x14ac:dyDescent="0.25">
      <c r="C94" s="5"/>
    </row>
    <row r="95" spans="3:3" x14ac:dyDescent="0.25">
      <c r="C95" s="5"/>
    </row>
    <row r="96" spans="3:3" x14ac:dyDescent="0.25">
      <c r="C96" s="5"/>
    </row>
    <row r="97" spans="3:3" x14ac:dyDescent="0.25">
      <c r="C97" s="5"/>
    </row>
    <row r="98" spans="3:3" x14ac:dyDescent="0.25">
      <c r="C98" s="5"/>
    </row>
    <row r="99" spans="3:3" x14ac:dyDescent="0.25">
      <c r="C99" s="5"/>
    </row>
    <row r="100" spans="3:3" x14ac:dyDescent="0.25">
      <c r="C100" s="5"/>
    </row>
    <row r="101" spans="3:3" x14ac:dyDescent="0.25">
      <c r="C101" s="5"/>
    </row>
    <row r="102" spans="3:3" x14ac:dyDescent="0.25">
      <c r="C102" s="5"/>
    </row>
    <row r="103" spans="3:3" x14ac:dyDescent="0.25">
      <c r="C103" s="5"/>
    </row>
    <row r="104" spans="3:3" x14ac:dyDescent="0.25">
      <c r="C104" s="5"/>
    </row>
    <row r="105" spans="3:3" x14ac:dyDescent="0.25">
      <c r="C105" s="5"/>
    </row>
    <row r="106" spans="3:3" x14ac:dyDescent="0.25">
      <c r="C106" s="5"/>
    </row>
    <row r="107" spans="3:3" x14ac:dyDescent="0.25">
      <c r="C107" s="5"/>
    </row>
    <row r="108" spans="3:3" x14ac:dyDescent="0.25">
      <c r="C108" s="5"/>
    </row>
    <row r="109" spans="3:3" x14ac:dyDescent="0.25">
      <c r="C109" s="5"/>
    </row>
    <row r="110" spans="3:3" x14ac:dyDescent="0.25">
      <c r="C110" s="5"/>
    </row>
    <row r="111" spans="3:3" x14ac:dyDescent="0.25">
      <c r="C111" s="5"/>
    </row>
    <row r="112" spans="3:3" x14ac:dyDescent="0.25">
      <c r="C112" s="5"/>
    </row>
    <row r="113" spans="3:3" x14ac:dyDescent="0.25">
      <c r="C113" s="5"/>
    </row>
    <row r="114" spans="3:3" x14ac:dyDescent="0.25">
      <c r="C114" s="5"/>
    </row>
    <row r="115" spans="3:3" x14ac:dyDescent="0.25">
      <c r="C115" s="5"/>
    </row>
    <row r="116" spans="3:3" x14ac:dyDescent="0.25">
      <c r="C116" s="5"/>
    </row>
    <row r="117" spans="3:3" x14ac:dyDescent="0.25">
      <c r="C117" s="5"/>
    </row>
    <row r="118" spans="3:3" x14ac:dyDescent="0.25">
      <c r="C118" s="5"/>
    </row>
    <row r="119" spans="3:3" x14ac:dyDescent="0.25">
      <c r="C119" s="5"/>
    </row>
    <row r="120" spans="3:3" x14ac:dyDescent="0.25">
      <c r="C120" s="5"/>
    </row>
    <row r="121" spans="3:3" x14ac:dyDescent="0.25">
      <c r="C121" s="5"/>
    </row>
    <row r="122" spans="3:3" x14ac:dyDescent="0.25">
      <c r="C122" s="5"/>
    </row>
    <row r="123" spans="3:3" x14ac:dyDescent="0.25">
      <c r="C123" s="5"/>
    </row>
    <row r="124" spans="3:3" x14ac:dyDescent="0.25">
      <c r="C124" s="5"/>
    </row>
    <row r="125" spans="3:3" x14ac:dyDescent="0.25">
      <c r="C125" s="5"/>
    </row>
    <row r="126" spans="3:3" x14ac:dyDescent="0.25">
      <c r="C126" s="5"/>
    </row>
    <row r="127" spans="3:3" x14ac:dyDescent="0.25">
      <c r="C127" s="5"/>
    </row>
    <row r="128" spans="3:3" x14ac:dyDescent="0.25">
      <c r="C128" s="5"/>
    </row>
    <row r="129" spans="3:3" x14ac:dyDescent="0.25">
      <c r="C129" s="5"/>
    </row>
    <row r="130" spans="3:3" x14ac:dyDescent="0.25">
      <c r="C130" s="5"/>
    </row>
    <row r="131" spans="3:3" x14ac:dyDescent="0.25">
      <c r="C131" s="5"/>
    </row>
    <row r="132" spans="3:3" x14ac:dyDescent="0.25">
      <c r="C132" s="5"/>
    </row>
    <row r="133" spans="3:3" x14ac:dyDescent="0.25">
      <c r="C133" s="5"/>
    </row>
    <row r="134" spans="3:3" x14ac:dyDescent="0.25">
      <c r="C134" s="5"/>
    </row>
    <row r="135" spans="3:3" x14ac:dyDescent="0.25">
      <c r="C135" s="5"/>
    </row>
    <row r="136" spans="3:3" x14ac:dyDescent="0.25">
      <c r="C136" s="5"/>
    </row>
    <row r="137" spans="3:3" x14ac:dyDescent="0.25">
      <c r="C137" s="5"/>
    </row>
    <row r="138" spans="3:3" x14ac:dyDescent="0.25">
      <c r="C138" s="5"/>
    </row>
    <row r="139" spans="3:3" x14ac:dyDescent="0.25">
      <c r="C139" s="5"/>
    </row>
    <row r="140" spans="3:3" x14ac:dyDescent="0.25">
      <c r="C140" s="5"/>
    </row>
    <row r="141" spans="3:3" x14ac:dyDescent="0.25">
      <c r="C141" s="5"/>
    </row>
    <row r="142" spans="3:3" x14ac:dyDescent="0.25">
      <c r="C142" s="5"/>
    </row>
    <row r="143" spans="3:3" x14ac:dyDescent="0.25">
      <c r="C143" s="5"/>
    </row>
    <row r="144" spans="3:3" x14ac:dyDescent="0.25">
      <c r="C144" s="5"/>
    </row>
    <row r="145" spans="3:3" x14ac:dyDescent="0.25">
      <c r="C145" s="5"/>
    </row>
    <row r="146" spans="3:3" x14ac:dyDescent="0.25">
      <c r="C146" s="5"/>
    </row>
    <row r="147" spans="3:3" x14ac:dyDescent="0.25">
      <c r="C147" s="5"/>
    </row>
    <row r="148" spans="3:3" x14ac:dyDescent="0.25">
      <c r="C148" s="5"/>
    </row>
    <row r="149" spans="3:3" x14ac:dyDescent="0.25">
      <c r="C149" s="5"/>
    </row>
    <row r="150" spans="3:3" x14ac:dyDescent="0.25">
      <c r="C150" s="5"/>
    </row>
    <row r="151" spans="3:3" x14ac:dyDescent="0.25">
      <c r="C151" s="5"/>
    </row>
    <row r="152" spans="3:3" x14ac:dyDescent="0.25">
      <c r="C152" s="5"/>
    </row>
    <row r="153" spans="3:3" x14ac:dyDescent="0.25">
      <c r="C153" s="5"/>
    </row>
    <row r="154" spans="3:3" x14ac:dyDescent="0.25">
      <c r="C154" s="5"/>
    </row>
    <row r="155" spans="3:3" x14ac:dyDescent="0.25">
      <c r="C155" s="5"/>
    </row>
    <row r="156" spans="3:3" x14ac:dyDescent="0.25">
      <c r="C156" s="5"/>
    </row>
    <row r="157" spans="3:3" x14ac:dyDescent="0.25">
      <c r="C157" s="5"/>
    </row>
    <row r="158" spans="3:3" x14ac:dyDescent="0.25">
      <c r="C158" s="5"/>
    </row>
    <row r="159" spans="3:3" x14ac:dyDescent="0.25">
      <c r="C159" s="5"/>
    </row>
    <row r="160" spans="3:3" x14ac:dyDescent="0.25">
      <c r="C160" s="5"/>
    </row>
    <row r="161" spans="3:3" x14ac:dyDescent="0.25">
      <c r="C161" s="5"/>
    </row>
    <row r="162" spans="3:3" x14ac:dyDescent="0.25">
      <c r="C162" s="5"/>
    </row>
    <row r="163" spans="3:3" x14ac:dyDescent="0.25">
      <c r="C163" s="5"/>
    </row>
    <row r="164" spans="3:3" x14ac:dyDescent="0.25">
      <c r="C164" s="5"/>
    </row>
    <row r="165" spans="3:3" x14ac:dyDescent="0.25">
      <c r="C165" s="5"/>
    </row>
    <row r="166" spans="3:3" x14ac:dyDescent="0.25">
      <c r="C166" s="5"/>
    </row>
    <row r="167" spans="3:3" x14ac:dyDescent="0.25">
      <c r="C167" s="5"/>
    </row>
    <row r="168" spans="3:3" x14ac:dyDescent="0.25">
      <c r="C168" s="5"/>
    </row>
    <row r="169" spans="3:3" x14ac:dyDescent="0.25">
      <c r="C169" s="5"/>
    </row>
    <row r="170" spans="3:3" x14ac:dyDescent="0.25">
      <c r="C170" s="5"/>
    </row>
    <row r="171" spans="3:3" x14ac:dyDescent="0.25">
      <c r="C171" s="5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5BFBD-45EB-4E55-B3CD-48AA64E0E3DC}">
  <dimension ref="A1:AH48"/>
  <sheetViews>
    <sheetView workbookViewId="0">
      <selection sqref="A1:F25"/>
    </sheetView>
  </sheetViews>
  <sheetFormatPr defaultRowHeight="15" x14ac:dyDescent="0.25"/>
  <cols>
    <col min="1" max="1" width="39" bestFit="1" customWidth="1"/>
    <col min="2" max="2" width="13.7109375" style="5" bestFit="1" customWidth="1"/>
    <col min="3" max="4" width="15.7109375" style="5" bestFit="1" customWidth="1"/>
    <col min="5" max="5" width="14.140625" style="5" bestFit="1" customWidth="1"/>
    <col min="6" max="6" width="10.5703125" style="5" bestFit="1" customWidth="1"/>
    <col min="7" max="7" width="15.42578125" style="5" bestFit="1" customWidth="1"/>
    <col min="8" max="8" width="22.28515625" style="5" bestFit="1" customWidth="1"/>
    <col min="9" max="10" width="10.42578125" style="5" bestFit="1" customWidth="1"/>
    <col min="11" max="15" width="11.140625" style="5" bestFit="1" customWidth="1"/>
    <col min="16" max="16" width="16.5703125" style="5" bestFit="1" customWidth="1"/>
    <col min="17" max="19" width="10.5703125" style="5" bestFit="1" customWidth="1"/>
    <col min="20" max="21" width="10.42578125" style="5" bestFit="1" customWidth="1"/>
    <col min="22" max="22" width="15.140625" style="5" bestFit="1" customWidth="1"/>
    <col min="23" max="23" width="10.42578125" bestFit="1" customWidth="1"/>
    <col min="24" max="24" width="15.7109375" bestFit="1" customWidth="1"/>
    <col min="25" max="25" width="14.85546875" bestFit="1" customWidth="1"/>
    <col min="26" max="26" width="18.85546875" bestFit="1" customWidth="1"/>
    <col min="27" max="27" width="24.5703125" bestFit="1" customWidth="1"/>
    <col min="28" max="28" width="38.5703125" bestFit="1" customWidth="1"/>
    <col min="29" max="29" width="10.42578125" bestFit="1" customWidth="1"/>
    <col min="30" max="30" width="16" bestFit="1" customWidth="1"/>
    <col min="31" max="31" width="9.85546875" bestFit="1" customWidth="1"/>
    <col min="32" max="32" width="16.28515625" bestFit="1" customWidth="1"/>
    <col min="34" max="34" width="9.5703125" style="5" bestFit="1" customWidth="1"/>
    <col min="35" max="35" width="9.5703125" bestFit="1" customWidth="1"/>
  </cols>
  <sheetData>
    <row r="1" spans="1:34" x14ac:dyDescent="0.25">
      <c r="A1" t="s">
        <v>342</v>
      </c>
      <c r="B1" t="s">
        <v>343</v>
      </c>
      <c r="C1" t="s">
        <v>344</v>
      </c>
      <c r="D1" t="s">
        <v>345</v>
      </c>
      <c r="E1" s="5" t="s">
        <v>574</v>
      </c>
      <c r="F1" t="s">
        <v>438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AH1"/>
    </row>
    <row r="2" spans="1:34" hidden="1" x14ac:dyDescent="0.25">
      <c r="A2" s="10" t="s">
        <v>727</v>
      </c>
      <c r="B2" s="8" t="s">
        <v>544</v>
      </c>
      <c r="C2" s="8" t="s">
        <v>325</v>
      </c>
      <c r="D2" s="8" t="s">
        <v>325</v>
      </c>
      <c r="E2" s="5">
        <v>379.5</v>
      </c>
      <c r="F2" s="4">
        <f>SUMIF(BASE_DE_NOMES[Nome],PG[[#This Row],[Nome]],BASE_DE_NOMES[PAGAMENTOS])-PG[[#This Row],[Valor Pago]]</f>
        <v>-379.5</v>
      </c>
      <c r="H2" s="4"/>
      <c r="I2"/>
      <c r="J2"/>
      <c r="K2"/>
      <c r="L2"/>
      <c r="M2"/>
      <c r="N2"/>
      <c r="O2"/>
      <c r="P2"/>
      <c r="Q2"/>
      <c r="R2"/>
      <c r="S2"/>
      <c r="T2"/>
      <c r="U2"/>
      <c r="V2"/>
      <c r="AH2"/>
    </row>
    <row r="3" spans="1:34" x14ac:dyDescent="0.25">
      <c r="A3" s="10" t="s">
        <v>728</v>
      </c>
      <c r="B3" s="8" t="s">
        <v>544</v>
      </c>
      <c r="C3" s="8" t="s">
        <v>325</v>
      </c>
      <c r="D3" s="8" t="s">
        <v>325</v>
      </c>
      <c r="E3" s="5">
        <v>1518</v>
      </c>
      <c r="F3" s="4">
        <f>SUMIF(BASE_DE_NOMES[Nome],PG[[#This Row],[Nome]],BASE_DE_NOMES[PAGAMENTOS])-PG[[#This Row],[Valor Pago]]</f>
        <v>-1518</v>
      </c>
      <c r="H3" s="4"/>
      <c r="I3"/>
      <c r="J3"/>
      <c r="K3"/>
      <c r="L3"/>
      <c r="M3"/>
      <c r="N3"/>
      <c r="O3"/>
      <c r="P3"/>
      <c r="Q3"/>
      <c r="R3"/>
      <c r="S3"/>
      <c r="T3"/>
      <c r="U3"/>
      <c r="V3"/>
      <c r="AH3"/>
    </row>
    <row r="4" spans="1:34" x14ac:dyDescent="0.25">
      <c r="A4" s="10" t="s">
        <v>729</v>
      </c>
      <c r="B4" s="8" t="s">
        <v>544</v>
      </c>
      <c r="C4" s="8" t="s">
        <v>325</v>
      </c>
      <c r="D4" s="8" t="s">
        <v>325</v>
      </c>
      <c r="E4" s="5">
        <v>759</v>
      </c>
      <c r="F4" s="4">
        <f>SUMIF(BASE_DE_NOMES[Nome],PG[[#This Row],[Nome]],BASE_DE_NOMES[PAGAMENTOS])-PG[[#This Row],[Valor Pago]]</f>
        <v>-759</v>
      </c>
      <c r="H4" s="4"/>
      <c r="I4"/>
      <c r="J4"/>
      <c r="K4"/>
      <c r="L4"/>
      <c r="M4"/>
      <c r="N4"/>
      <c r="O4"/>
      <c r="P4"/>
      <c r="Q4"/>
      <c r="R4"/>
      <c r="S4"/>
      <c r="T4"/>
      <c r="U4"/>
      <c r="V4"/>
      <c r="AH4"/>
    </row>
    <row r="5" spans="1:34" hidden="1" x14ac:dyDescent="0.25">
      <c r="A5" s="10" t="s">
        <v>165</v>
      </c>
      <c r="B5" s="8" t="s">
        <v>403</v>
      </c>
      <c r="C5" s="8" t="s">
        <v>427</v>
      </c>
      <c r="D5" s="8" t="s">
        <v>254</v>
      </c>
      <c r="E5" s="5">
        <v>5275</v>
      </c>
      <c r="F5" s="4">
        <f>SUMIF(BASE_DE_NOMES[Nome],PG[[#This Row],[Nome]],BASE_DE_NOMES[PAGAMENTOS])-PG[[#This Row],[Valor Pago]]</f>
        <v>0</v>
      </c>
      <c r="H5" s="4"/>
      <c r="I5"/>
      <c r="J5"/>
      <c r="K5"/>
      <c r="L5"/>
      <c r="M5"/>
      <c r="N5"/>
      <c r="O5"/>
      <c r="P5"/>
      <c r="Q5"/>
      <c r="R5"/>
      <c r="S5"/>
      <c r="T5"/>
      <c r="U5"/>
      <c r="V5"/>
      <c r="AH5"/>
    </row>
    <row r="6" spans="1:34" x14ac:dyDescent="0.25">
      <c r="A6" s="10" t="s">
        <v>612</v>
      </c>
      <c r="B6" s="8" t="s">
        <v>544</v>
      </c>
      <c r="C6" s="8" t="s">
        <v>325</v>
      </c>
      <c r="D6" s="8" t="s">
        <v>325</v>
      </c>
      <c r="E6" s="5">
        <v>759</v>
      </c>
      <c r="F6" s="4">
        <f>SUMIF(BASE_DE_NOMES[Nome],PG[[#This Row],[Nome]],BASE_DE_NOMES[PAGAMENTOS])-PG[[#This Row],[Valor Pago]]</f>
        <v>-759</v>
      </c>
      <c r="H6" s="4"/>
      <c r="I6"/>
      <c r="J6"/>
      <c r="K6"/>
      <c r="L6"/>
      <c r="M6"/>
      <c r="N6"/>
      <c r="O6"/>
      <c r="P6"/>
      <c r="Q6"/>
      <c r="R6"/>
      <c r="S6"/>
      <c r="T6"/>
      <c r="U6"/>
      <c r="V6"/>
      <c r="AH6"/>
    </row>
    <row r="7" spans="1:34" hidden="1" x14ac:dyDescent="0.25">
      <c r="A7" s="10" t="s">
        <v>532</v>
      </c>
      <c r="B7" s="8" t="s">
        <v>605</v>
      </c>
      <c r="C7" s="8" t="s">
        <v>427</v>
      </c>
      <c r="D7" s="8" t="s">
        <v>225</v>
      </c>
      <c r="E7" s="5">
        <v>2110</v>
      </c>
      <c r="F7" s="4">
        <f>SUMIF(BASE_DE_NOMES[Nome],PG[[#This Row],[Nome]],BASE_DE_NOMES[PAGAMENTOS])-PG[[#This Row],[Valor Pago]]</f>
        <v>0</v>
      </c>
      <c r="I7" s="4"/>
      <c r="J7"/>
      <c r="K7"/>
      <c r="L7"/>
      <c r="M7"/>
      <c r="N7"/>
      <c r="O7"/>
      <c r="P7"/>
      <c r="Q7"/>
      <c r="R7"/>
      <c r="S7"/>
      <c r="T7"/>
      <c r="U7"/>
      <c r="V7"/>
      <c r="AH7"/>
    </row>
    <row r="8" spans="1:34" hidden="1" x14ac:dyDescent="0.25">
      <c r="A8" s="10" t="s">
        <v>667</v>
      </c>
      <c r="B8" s="8" t="s">
        <v>558</v>
      </c>
      <c r="C8" s="8" t="s">
        <v>427</v>
      </c>
      <c r="D8" s="8" t="s">
        <v>225</v>
      </c>
      <c r="E8" s="5">
        <v>1016.4739999999999</v>
      </c>
      <c r="F8" s="4">
        <f>SUMIF(BASE_DE_NOMES[Nome],PG[[#This Row],[Nome]],BASE_DE_NOMES[PAGAMENTOS])-PG[[#This Row],[Valor Pago]]</f>
        <v>0</v>
      </c>
      <c r="J8" s="4"/>
      <c r="K8"/>
      <c r="L8"/>
      <c r="M8"/>
      <c r="N8"/>
      <c r="O8"/>
      <c r="P8"/>
      <c r="Q8"/>
      <c r="R8"/>
      <c r="S8"/>
      <c r="T8"/>
      <c r="U8"/>
      <c r="V8"/>
      <c r="AH8"/>
    </row>
    <row r="9" spans="1:34" hidden="1" x14ac:dyDescent="0.25">
      <c r="A9" s="10" t="s">
        <v>123</v>
      </c>
      <c r="B9" s="8" t="s">
        <v>124</v>
      </c>
      <c r="C9" s="8" t="s">
        <v>325</v>
      </c>
      <c r="D9" s="8" t="s">
        <v>325</v>
      </c>
      <c r="E9" s="5">
        <v>821.44</v>
      </c>
      <c r="F9" s="4">
        <f>SUMIF(BASE_DE_NOMES[Nome],PG[[#This Row],[Nome]],BASE_DE_NOMES[PAGAMENTOS])-PG[[#This Row],[Valor Pago]]</f>
        <v>0</v>
      </c>
      <c r="J9" s="4"/>
      <c r="K9"/>
      <c r="L9"/>
      <c r="M9"/>
      <c r="N9"/>
      <c r="O9"/>
      <c r="P9"/>
      <c r="Q9"/>
      <c r="R9"/>
      <c r="S9"/>
      <c r="T9"/>
      <c r="U9"/>
      <c r="V9"/>
      <c r="AH9"/>
    </row>
    <row r="10" spans="1:34" x14ac:dyDescent="0.25">
      <c r="A10" s="10" t="s">
        <v>613</v>
      </c>
      <c r="B10" s="8" t="s">
        <v>544</v>
      </c>
      <c r="C10" s="8" t="s">
        <v>325</v>
      </c>
      <c r="D10" s="8" t="s">
        <v>325</v>
      </c>
      <c r="E10" s="5">
        <v>759</v>
      </c>
      <c r="F10" s="4">
        <f>SUMIF(BASE_DE_NOMES[Nome],PG[[#This Row],[Nome]],BASE_DE_NOMES[PAGAMENTOS])-PG[[#This Row],[Valor Pago]]</f>
        <v>-759</v>
      </c>
      <c r="J10" s="4"/>
      <c r="K10"/>
      <c r="L10"/>
      <c r="M10"/>
      <c r="N10"/>
      <c r="O10"/>
      <c r="P10"/>
      <c r="Q10"/>
      <c r="R10"/>
      <c r="S10"/>
      <c r="T10"/>
      <c r="U10"/>
      <c r="V10"/>
      <c r="AH10"/>
    </row>
    <row r="11" spans="1:34" hidden="1" x14ac:dyDescent="0.25">
      <c r="A11" s="10" t="s">
        <v>551</v>
      </c>
      <c r="B11" s="8" t="s">
        <v>543</v>
      </c>
      <c r="C11" s="8" t="s">
        <v>325</v>
      </c>
      <c r="D11" s="8" t="s">
        <v>325</v>
      </c>
      <c r="E11" s="5">
        <v>600</v>
      </c>
      <c r="F11" s="4">
        <f>SUMIF(BASE_DE_NOMES[Nome],PG[[#This Row],[Nome]],BASE_DE_NOMES[PAGAMENTOS])-PG[[#This Row],[Valor Pago]]</f>
        <v>-600</v>
      </c>
      <c r="J11" s="4"/>
      <c r="K11"/>
      <c r="L11"/>
      <c r="M11"/>
      <c r="N11"/>
      <c r="O11"/>
      <c r="P11"/>
      <c r="Q11"/>
      <c r="R11"/>
      <c r="S11"/>
      <c r="T11"/>
      <c r="U11"/>
      <c r="V11"/>
      <c r="AH11"/>
    </row>
    <row r="12" spans="1:34" x14ac:dyDescent="0.25">
      <c r="A12" s="10" t="s">
        <v>615</v>
      </c>
      <c r="B12" s="8" t="s">
        <v>544</v>
      </c>
      <c r="C12" s="8" t="s">
        <v>325</v>
      </c>
      <c r="D12" s="8" t="s">
        <v>325</v>
      </c>
      <c r="E12" s="5">
        <v>759</v>
      </c>
      <c r="F12" s="4">
        <f>SUMIF(BASE_DE_NOMES[Nome],PG[[#This Row],[Nome]],BASE_DE_NOMES[PAGAMENTOS])-PG[[#This Row],[Valor Pago]]</f>
        <v>-759</v>
      </c>
      <c r="J12" s="4"/>
      <c r="K12"/>
      <c r="L12"/>
      <c r="M12"/>
      <c r="N12"/>
      <c r="O12"/>
      <c r="P12"/>
      <c r="Q12"/>
      <c r="R12"/>
      <c r="S12"/>
      <c r="T12"/>
      <c r="U12"/>
      <c r="V12"/>
      <c r="AH12"/>
    </row>
    <row r="13" spans="1:34" hidden="1" x14ac:dyDescent="0.25">
      <c r="A13" s="10" t="s">
        <v>730</v>
      </c>
      <c r="B13" s="8" t="s">
        <v>544</v>
      </c>
      <c r="C13" s="8" t="s">
        <v>325</v>
      </c>
      <c r="D13" s="8" t="s">
        <v>325</v>
      </c>
      <c r="E13" s="5">
        <v>202.4</v>
      </c>
      <c r="F13" s="4">
        <f>SUMIF(BASE_DE_NOMES[Nome],PG[[#This Row],[Nome]],BASE_DE_NOMES[PAGAMENTOS])-PG[[#This Row],[Valor Pago]]</f>
        <v>-202.4</v>
      </c>
      <c r="J13" s="4"/>
      <c r="K13"/>
      <c r="L13"/>
      <c r="M13"/>
      <c r="N13"/>
      <c r="O13"/>
      <c r="P13"/>
      <c r="Q13"/>
      <c r="R13"/>
      <c r="S13"/>
      <c r="T13"/>
      <c r="U13"/>
      <c r="V13"/>
      <c r="AH13"/>
    </row>
    <row r="14" spans="1:34" hidden="1" x14ac:dyDescent="0.25">
      <c r="A14" s="10" t="s">
        <v>731</v>
      </c>
      <c r="B14" s="8" t="s">
        <v>616</v>
      </c>
      <c r="C14" s="8" t="s">
        <v>427</v>
      </c>
      <c r="D14" s="8" t="s">
        <v>225</v>
      </c>
      <c r="E14" s="5">
        <v>3834.56</v>
      </c>
      <c r="F14" s="4">
        <f>SUMIF(BASE_DE_NOMES[Nome],PG[[#This Row],[Nome]],BASE_DE_NOMES[PAGAMENTOS])-PG[[#This Row],[Valor Pago]]</f>
        <v>-3834.56</v>
      </c>
      <c r="J14" s="4"/>
      <c r="K14"/>
      <c r="L14"/>
      <c r="M14"/>
      <c r="N14"/>
      <c r="O14"/>
      <c r="P14"/>
      <c r="Q14"/>
      <c r="R14"/>
      <c r="S14"/>
      <c r="T14"/>
      <c r="U14"/>
      <c r="V14"/>
      <c r="AH14"/>
    </row>
    <row r="15" spans="1:34" hidden="1" x14ac:dyDescent="0.25">
      <c r="A15" s="10" t="s">
        <v>732</v>
      </c>
      <c r="B15" s="8" t="s">
        <v>544</v>
      </c>
      <c r="C15" s="8" t="s">
        <v>325</v>
      </c>
      <c r="D15" s="8" t="s">
        <v>325</v>
      </c>
      <c r="E15" s="5">
        <v>278.3</v>
      </c>
      <c r="F15" s="4">
        <f>SUMIF(BASE_DE_NOMES[Nome],PG[[#This Row],[Nome]],BASE_DE_NOMES[PAGAMENTOS])-PG[[#This Row],[Valor Pago]]</f>
        <v>-278.3</v>
      </c>
      <c r="J15" s="4"/>
      <c r="K15"/>
      <c r="L15"/>
      <c r="M15"/>
      <c r="N15"/>
      <c r="O15"/>
      <c r="P15"/>
      <c r="Q15"/>
      <c r="R15"/>
      <c r="S15"/>
      <c r="T15"/>
      <c r="U15"/>
      <c r="V15"/>
      <c r="AH15"/>
    </row>
    <row r="16" spans="1:34" hidden="1" x14ac:dyDescent="0.25">
      <c r="A16" s="10" t="s">
        <v>677</v>
      </c>
      <c r="B16" s="8" t="s">
        <v>733</v>
      </c>
      <c r="C16" s="8" t="s">
        <v>427</v>
      </c>
      <c r="D16" s="8" t="s">
        <v>556</v>
      </c>
      <c r="E16" s="5">
        <v>1750</v>
      </c>
      <c r="F16" s="4">
        <f>SUMIF(BASE_DE_NOMES[Nome],PG[[#This Row],[Nome]],BASE_DE_NOMES[PAGAMENTOS])-PG[[#This Row],[Valor Pago]]</f>
        <v>0</v>
      </c>
      <c r="J16" s="4"/>
      <c r="K16"/>
      <c r="L16"/>
      <c r="M16"/>
      <c r="N16"/>
      <c r="O16"/>
      <c r="P16"/>
      <c r="Q16"/>
      <c r="R16"/>
      <c r="S16"/>
      <c r="T16"/>
      <c r="U16"/>
      <c r="V16"/>
      <c r="AH16"/>
    </row>
    <row r="17" spans="1:34" hidden="1" x14ac:dyDescent="0.25">
      <c r="A17" s="10" t="s">
        <v>640</v>
      </c>
      <c r="B17" s="8" t="s">
        <v>558</v>
      </c>
      <c r="C17" s="8" t="s">
        <v>229</v>
      </c>
      <c r="D17" s="8" t="s">
        <v>229</v>
      </c>
      <c r="E17" s="5">
        <v>1062.5999999999999</v>
      </c>
      <c r="F17" s="4">
        <f>SUMIF(BASE_DE_NOMES[Nome],PG[[#This Row],[Nome]],BASE_DE_NOMES[PAGAMENTOS])-PG[[#This Row],[Valor Pago]]</f>
        <v>0</v>
      </c>
      <c r="K17" s="4"/>
      <c r="L17"/>
      <c r="M17"/>
      <c r="N17"/>
      <c r="O17"/>
      <c r="P17"/>
      <c r="Q17"/>
      <c r="R17"/>
      <c r="S17"/>
      <c r="T17"/>
      <c r="U17"/>
      <c r="V17"/>
      <c r="AH17"/>
    </row>
    <row r="18" spans="1:34" hidden="1" x14ac:dyDescent="0.25">
      <c r="A18" s="10" t="s">
        <v>552</v>
      </c>
      <c r="B18" s="8" t="s">
        <v>543</v>
      </c>
      <c r="C18" s="8" t="s">
        <v>325</v>
      </c>
      <c r="D18" s="8" t="s">
        <v>325</v>
      </c>
      <c r="E18" s="5">
        <v>850</v>
      </c>
      <c r="F18" s="4">
        <f>SUMIF(BASE_DE_NOMES[Nome],PG[[#This Row],[Nome]],BASE_DE_NOMES[PAGAMENTOS])-PG[[#This Row],[Valor Pago]]</f>
        <v>-850</v>
      </c>
      <c r="K18" s="4"/>
      <c r="L18"/>
      <c r="M18"/>
      <c r="N18"/>
      <c r="O18"/>
      <c r="P18"/>
      <c r="Q18"/>
      <c r="R18"/>
      <c r="S18"/>
      <c r="T18"/>
      <c r="U18"/>
      <c r="V18"/>
      <c r="AH18"/>
    </row>
    <row r="19" spans="1:34" hidden="1" x14ac:dyDescent="0.25">
      <c r="A19" s="10" t="s">
        <v>639</v>
      </c>
      <c r="B19" s="8" t="s">
        <v>558</v>
      </c>
      <c r="C19" s="8" t="s">
        <v>427</v>
      </c>
      <c r="D19" s="8" t="s">
        <v>508</v>
      </c>
      <c r="E19" s="5">
        <v>1660</v>
      </c>
      <c r="F19" s="4">
        <f>SUMIF(BASE_DE_NOMES[Nome],PG[[#This Row],[Nome]],BASE_DE_NOMES[PAGAMENTOS])-PG[[#This Row],[Valor Pago]]</f>
        <v>-1660</v>
      </c>
      <c r="K19" s="4"/>
      <c r="L19"/>
      <c r="M19"/>
      <c r="N19"/>
      <c r="O19"/>
      <c r="P19"/>
      <c r="Q19"/>
      <c r="R19"/>
      <c r="S19"/>
      <c r="T19"/>
      <c r="U19"/>
      <c r="V19"/>
      <c r="AH19"/>
    </row>
    <row r="20" spans="1:34" hidden="1" x14ac:dyDescent="0.25">
      <c r="A20" s="10" t="s">
        <v>690</v>
      </c>
      <c r="B20" s="8" t="s">
        <v>544</v>
      </c>
      <c r="C20" s="8" t="s">
        <v>325</v>
      </c>
      <c r="D20" s="8" t="s">
        <v>325</v>
      </c>
      <c r="E20" s="5">
        <v>278.3</v>
      </c>
      <c r="F20" s="4">
        <f>SUMIF(BASE_DE_NOMES[Nome],PG[[#This Row],[Nome]],BASE_DE_NOMES[PAGAMENTOS])-PG[[#This Row],[Valor Pago]]</f>
        <v>0</v>
      </c>
      <c r="K20" s="4"/>
      <c r="L20"/>
      <c r="M20"/>
      <c r="N20"/>
      <c r="O20"/>
      <c r="P20"/>
      <c r="Q20"/>
      <c r="R20"/>
      <c r="S20"/>
      <c r="T20"/>
      <c r="U20"/>
      <c r="V20"/>
      <c r="AH20"/>
    </row>
    <row r="21" spans="1:34" hidden="1" x14ac:dyDescent="0.25">
      <c r="A21" s="10" t="s">
        <v>691</v>
      </c>
      <c r="B21" s="8" t="s">
        <v>544</v>
      </c>
      <c r="C21" s="8" t="s">
        <v>325</v>
      </c>
      <c r="D21" s="8" t="s">
        <v>325</v>
      </c>
      <c r="E21" s="5">
        <v>759</v>
      </c>
      <c r="F21" s="4">
        <f>SUMIF(BASE_DE_NOMES[Nome],PG[[#This Row],[Nome]],BASE_DE_NOMES[PAGAMENTOS])-PG[[#This Row],[Valor Pago]]</f>
        <v>0</v>
      </c>
      <c r="K21" s="4"/>
      <c r="L21"/>
      <c r="M21"/>
      <c r="N21"/>
      <c r="O21"/>
      <c r="P21"/>
      <c r="Q21"/>
      <c r="R21"/>
      <c r="S21"/>
      <c r="T21"/>
      <c r="U21"/>
      <c r="V21"/>
      <c r="AH21"/>
    </row>
    <row r="22" spans="1:34" hidden="1" x14ac:dyDescent="0.25">
      <c r="A22" s="10" t="s">
        <v>693</v>
      </c>
      <c r="B22" s="8" t="s">
        <v>544</v>
      </c>
      <c r="C22" s="8" t="s">
        <v>325</v>
      </c>
      <c r="D22" s="8" t="s">
        <v>325</v>
      </c>
      <c r="E22" s="5">
        <v>759</v>
      </c>
      <c r="F22" s="4">
        <f>SUMIF(BASE_DE_NOMES[Nome],PG[[#This Row],[Nome]],BASE_DE_NOMES[PAGAMENTOS])-PG[[#This Row],[Valor Pago]]</f>
        <v>0</v>
      </c>
      <c r="K22" s="4"/>
      <c r="L22"/>
      <c r="M22"/>
      <c r="N22"/>
      <c r="O22"/>
      <c r="P22"/>
      <c r="Q22"/>
      <c r="R22"/>
      <c r="S22"/>
      <c r="T22"/>
      <c r="U22"/>
      <c r="V22"/>
      <c r="AH22"/>
    </row>
    <row r="23" spans="1:34" x14ac:dyDescent="0.25">
      <c r="A23" s="10" t="s">
        <v>641</v>
      </c>
      <c r="B23" s="8" t="s">
        <v>251</v>
      </c>
      <c r="C23" s="8" t="s">
        <v>427</v>
      </c>
      <c r="D23" s="8" t="s">
        <v>325</v>
      </c>
      <c r="E23" s="5">
        <v>1518</v>
      </c>
      <c r="F23" s="4">
        <f>SUMIF(BASE_DE_NOMES[Nome],PG[[#This Row],[Nome]],BASE_DE_NOMES[PAGAMENTOS])-PG[[#This Row],[Valor Pago]]</f>
        <v>-1518</v>
      </c>
      <c r="J23"/>
      <c r="L23" s="4"/>
      <c r="M23"/>
      <c r="N23"/>
      <c r="O23"/>
      <c r="P23"/>
      <c r="Q23"/>
      <c r="R23"/>
      <c r="S23"/>
      <c r="T23"/>
      <c r="U23"/>
      <c r="V23"/>
      <c r="AH23"/>
    </row>
    <row r="24" spans="1:34" hidden="1" x14ac:dyDescent="0.25">
      <c r="A24" s="10" t="s">
        <v>734</v>
      </c>
      <c r="B24" s="8" t="s">
        <v>544</v>
      </c>
      <c r="C24" s="8" t="s">
        <v>325</v>
      </c>
      <c r="D24" s="8" t="s">
        <v>325</v>
      </c>
      <c r="E24" s="5">
        <v>354.2</v>
      </c>
      <c r="F24" s="4">
        <f>SUMIF(BASE_DE_NOMES[Nome],PG[[#This Row],[Nome]],BASE_DE_NOMES[PAGAMENTOS])-PG[[#This Row],[Valor Pago]]</f>
        <v>-354.2</v>
      </c>
      <c r="J24"/>
      <c r="L24" s="4"/>
      <c r="M24"/>
      <c r="N24"/>
      <c r="O24"/>
      <c r="P24"/>
      <c r="Q24"/>
      <c r="R24"/>
      <c r="S24"/>
      <c r="T24"/>
      <c r="U24"/>
      <c r="V24"/>
      <c r="AH24"/>
    </row>
    <row r="25" spans="1:34" hidden="1" x14ac:dyDescent="0.25">
      <c r="A25" s="10" t="s">
        <v>642</v>
      </c>
      <c r="B25" s="8"/>
      <c r="C25" s="8" t="s">
        <v>427</v>
      </c>
      <c r="D25" s="8" t="s">
        <v>225</v>
      </c>
      <c r="E25" s="5">
        <v>3666.66</v>
      </c>
      <c r="F25" s="4">
        <f>SUMIF(BASE_DE_NOMES[Nome],PG[[#This Row],[Nome]],BASE_DE_NOMES[PAGAMENTOS])-PG[[#This Row],[Valor Pago]]</f>
        <v>0</v>
      </c>
      <c r="J25"/>
      <c r="L25" s="4"/>
      <c r="M25"/>
      <c r="N25"/>
      <c r="O25"/>
      <c r="P25"/>
      <c r="Q25"/>
      <c r="R25"/>
      <c r="S25"/>
      <c r="T25"/>
      <c r="U25"/>
      <c r="V25"/>
      <c r="AH25"/>
    </row>
    <row r="26" spans="1:34" hidden="1" x14ac:dyDescent="0.25">
      <c r="A26" s="10" t="s">
        <v>735</v>
      </c>
      <c r="B26" s="8" t="s">
        <v>544</v>
      </c>
      <c r="C26" s="8" t="s">
        <v>325</v>
      </c>
      <c r="D26" s="8" t="s">
        <v>325</v>
      </c>
      <c r="E26" s="5">
        <v>50.6</v>
      </c>
      <c r="F26" s="4">
        <f>SUMIF(BASE_DE_NOMES[Nome],PG[[#This Row],[Nome]],BASE_DE_NOMES[PAGAMENTOS])-PG[[#This Row],[Valor Pago]]</f>
        <v>-50.6</v>
      </c>
      <c r="J26"/>
      <c r="L26" s="4"/>
      <c r="M26"/>
      <c r="N26"/>
      <c r="O26"/>
      <c r="P26"/>
      <c r="Q26"/>
      <c r="R26"/>
      <c r="S26"/>
      <c r="T26"/>
      <c r="U26"/>
      <c r="V26"/>
      <c r="AH26"/>
    </row>
    <row r="27" spans="1:34" hidden="1" x14ac:dyDescent="0.25">
      <c r="A27" s="10" t="s">
        <v>736</v>
      </c>
      <c r="B27" s="8" t="s">
        <v>544</v>
      </c>
      <c r="C27" s="8" t="s">
        <v>325</v>
      </c>
      <c r="D27" s="8" t="s">
        <v>325</v>
      </c>
      <c r="E27" s="5">
        <v>354.2</v>
      </c>
      <c r="F27" s="4">
        <f>SUMIF(BASE_DE_NOMES[Nome],PG[[#This Row],[Nome]],BASE_DE_NOMES[PAGAMENTOS])-PG[[#This Row],[Valor Pago]]</f>
        <v>-354.2</v>
      </c>
      <c r="J27"/>
      <c r="K27"/>
      <c r="L27"/>
      <c r="M27"/>
      <c r="N27"/>
      <c r="O27"/>
      <c r="P27"/>
      <c r="R27" s="4"/>
      <c r="S27"/>
      <c r="T27"/>
      <c r="U27"/>
      <c r="V27"/>
      <c r="AH27"/>
    </row>
    <row r="28" spans="1:34" x14ac:dyDescent="0.25">
      <c r="A28" s="10" t="s">
        <v>643</v>
      </c>
      <c r="B28" s="8" t="s">
        <v>526</v>
      </c>
      <c r="C28" s="8" t="s">
        <v>427</v>
      </c>
      <c r="D28" s="8" t="s">
        <v>325</v>
      </c>
      <c r="E28" s="5">
        <v>1518</v>
      </c>
      <c r="F28" s="4">
        <f>SUMIF(BASE_DE_NOMES[Nome],PG[[#This Row],[Nome]],BASE_DE_NOMES[PAGAMENTOS])-PG[[#This Row],[Valor Pago]]</f>
        <v>-1518</v>
      </c>
      <c r="J28"/>
      <c r="K28"/>
      <c r="L28"/>
      <c r="M28"/>
      <c r="N28"/>
      <c r="O28"/>
      <c r="P28"/>
      <c r="R28" s="4"/>
      <c r="S28"/>
      <c r="T28"/>
      <c r="U28"/>
      <c r="V28"/>
      <c r="AH28"/>
    </row>
    <row r="29" spans="1:34" x14ac:dyDescent="0.25">
      <c r="B29"/>
      <c r="C29"/>
      <c r="D29"/>
      <c r="E29" s="4">
        <f>SUBTOTAL(109,PG[Valor Pago])</f>
        <v>7590</v>
      </c>
      <c r="F29" s="4">
        <f>SUBTOTAL(109,PG[Coluna1])</f>
        <v>-7590</v>
      </c>
      <c r="J29"/>
      <c r="K29"/>
      <c r="L29"/>
      <c r="M29"/>
      <c r="N29"/>
      <c r="O29"/>
      <c r="P29"/>
      <c r="R29"/>
      <c r="S29"/>
      <c r="T29"/>
      <c r="U29"/>
      <c r="V29"/>
      <c r="AH29"/>
    </row>
    <row r="30" spans="1:34" x14ac:dyDescent="0.25">
      <c r="J30"/>
      <c r="K30"/>
      <c r="L30"/>
      <c r="M30"/>
      <c r="N30"/>
      <c r="O30"/>
      <c r="P30"/>
      <c r="Q30"/>
      <c r="R30"/>
      <c r="S30"/>
      <c r="T30"/>
      <c r="V30"/>
      <c r="AH30"/>
    </row>
    <row r="31" spans="1:34" x14ac:dyDescent="0.25">
      <c r="J31"/>
      <c r="K31"/>
      <c r="L31"/>
      <c r="M31"/>
      <c r="N31"/>
      <c r="O31"/>
      <c r="P31"/>
      <c r="Q31"/>
      <c r="R31"/>
      <c r="S31"/>
      <c r="T31"/>
      <c r="V31"/>
      <c r="AH31"/>
    </row>
    <row r="32" spans="1:34" x14ac:dyDescent="0.25">
      <c r="J32"/>
      <c r="K32"/>
      <c r="L32"/>
      <c r="M32"/>
      <c r="N32"/>
      <c r="O32"/>
      <c r="P32"/>
      <c r="Q32"/>
      <c r="R32"/>
      <c r="S32"/>
      <c r="T32"/>
      <c r="V32"/>
      <c r="AH32"/>
    </row>
    <row r="33" spans="8:34" x14ac:dyDescent="0.25">
      <c r="J33"/>
      <c r="K33"/>
      <c r="L33"/>
      <c r="M33"/>
      <c r="N33"/>
      <c r="O33"/>
      <c r="P33"/>
      <c r="Q33"/>
      <c r="R33"/>
      <c r="S33"/>
      <c r="T33"/>
      <c r="V33"/>
      <c r="AH33"/>
    </row>
    <row r="34" spans="8:34" x14ac:dyDescent="0.25">
      <c r="J34"/>
      <c r="K34"/>
      <c r="L34"/>
      <c r="M34"/>
      <c r="N34"/>
      <c r="O34"/>
      <c r="P34"/>
      <c r="Q34"/>
      <c r="R34"/>
      <c r="S34"/>
      <c r="T34"/>
      <c r="V34"/>
      <c r="AH34"/>
    </row>
    <row r="35" spans="8:34" x14ac:dyDescent="0.25">
      <c r="J35"/>
      <c r="K35"/>
      <c r="L35"/>
      <c r="M35"/>
      <c r="N35"/>
      <c r="O35"/>
      <c r="P35"/>
      <c r="Q35"/>
      <c r="R35"/>
      <c r="S35"/>
      <c r="T35"/>
      <c r="V35"/>
      <c r="AH35"/>
    </row>
    <row r="36" spans="8:34" x14ac:dyDescent="0.25">
      <c r="J36"/>
      <c r="K36"/>
      <c r="L36"/>
      <c r="M36"/>
      <c r="N36"/>
      <c r="O36"/>
      <c r="P36"/>
      <c r="Q36"/>
      <c r="R36"/>
      <c r="S36"/>
      <c r="T36"/>
      <c r="V36"/>
      <c r="AH36"/>
    </row>
    <row r="37" spans="8:34" x14ac:dyDescent="0.25">
      <c r="K37"/>
      <c r="L37"/>
      <c r="M37"/>
      <c r="N37"/>
      <c r="O37"/>
      <c r="P37"/>
      <c r="Q37"/>
      <c r="R37"/>
      <c r="S37"/>
      <c r="T37"/>
      <c r="U37"/>
      <c r="AH37"/>
    </row>
    <row r="38" spans="8:34" x14ac:dyDescent="0.25">
      <c r="K38"/>
      <c r="L38"/>
      <c r="M38"/>
      <c r="N38"/>
      <c r="O38"/>
      <c r="P38"/>
      <c r="Q38"/>
      <c r="R38"/>
      <c r="S38"/>
      <c r="T38"/>
      <c r="U38"/>
      <c r="AH38"/>
    </row>
    <row r="39" spans="8:34" x14ac:dyDescent="0.25">
      <c r="K39"/>
      <c r="L39"/>
      <c r="M39"/>
      <c r="N39"/>
      <c r="O39"/>
      <c r="P39"/>
      <c r="Q39"/>
      <c r="R39"/>
      <c r="S39"/>
      <c r="T39"/>
      <c r="U39"/>
      <c r="AH39"/>
    </row>
    <row r="40" spans="8:34" x14ac:dyDescent="0.25">
      <c r="K40"/>
      <c r="L40"/>
      <c r="M40"/>
      <c r="N40"/>
      <c r="O40"/>
      <c r="P40"/>
      <c r="Q40"/>
      <c r="R40"/>
      <c r="S40"/>
      <c r="T40"/>
      <c r="U40"/>
      <c r="AH40"/>
    </row>
    <row r="41" spans="8:34" x14ac:dyDescent="0.25">
      <c r="S41"/>
      <c r="T41"/>
      <c r="U41"/>
      <c r="V41"/>
      <c r="AD41" s="5"/>
      <c r="AH41"/>
    </row>
    <row r="42" spans="8:34" x14ac:dyDescent="0.25">
      <c r="S42"/>
      <c r="T42"/>
      <c r="U42"/>
      <c r="V42"/>
      <c r="AD42" s="5"/>
      <c r="AH42"/>
    </row>
    <row r="43" spans="8:34" x14ac:dyDescent="0.25">
      <c r="S43"/>
      <c r="T43"/>
      <c r="U43"/>
      <c r="V43"/>
      <c r="AD43" s="5"/>
      <c r="AH43"/>
    </row>
    <row r="44" spans="8:34" x14ac:dyDescent="0.25">
      <c r="S44"/>
      <c r="T44"/>
      <c r="U44"/>
      <c r="V44"/>
      <c r="AD44" s="5"/>
      <c r="AH44"/>
    </row>
    <row r="45" spans="8:34" x14ac:dyDescent="0.25">
      <c r="S45"/>
      <c r="T45"/>
      <c r="U45"/>
      <c r="V45"/>
      <c r="AD45" s="5"/>
      <c r="AH45"/>
    </row>
    <row r="46" spans="8:34" x14ac:dyDescent="0.25">
      <c r="V46"/>
      <c r="AG46" s="5"/>
      <c r="AH46"/>
    </row>
    <row r="47" spans="8:34" x14ac:dyDescent="0.25">
      <c r="H47" s="5">
        <v>0</v>
      </c>
      <c r="V47"/>
      <c r="AG47" s="5"/>
      <c r="AH47"/>
    </row>
    <row r="48" spans="8:34" x14ac:dyDescent="0.25">
      <c r="V48"/>
      <c r="AG48" s="5"/>
      <c r="AH48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0462-8943-4913-853F-2EEBEACAB99C}">
  <dimension ref="A1:C9"/>
  <sheetViews>
    <sheetView workbookViewId="0">
      <selection activeCell="B7" sqref="B7"/>
    </sheetView>
  </sheetViews>
  <sheetFormatPr defaultRowHeight="15" x14ac:dyDescent="0.25"/>
  <cols>
    <col min="1" max="1" width="8.28515625" bestFit="1" customWidth="1"/>
    <col min="2" max="2" width="28.42578125" bestFit="1" customWidth="1"/>
    <col min="3" max="3" width="11.140625" bestFit="1" customWidth="1"/>
  </cols>
  <sheetData>
    <row r="1" spans="1:3" x14ac:dyDescent="0.25">
      <c r="A1" t="s">
        <v>578</v>
      </c>
      <c r="B1" t="s">
        <v>579</v>
      </c>
      <c r="C1" t="s">
        <v>580</v>
      </c>
    </row>
    <row r="2" spans="1:3" x14ac:dyDescent="0.25">
      <c r="A2">
        <v>622</v>
      </c>
      <c r="B2" t="s">
        <v>628</v>
      </c>
      <c r="C2" s="1">
        <v>45746</v>
      </c>
    </row>
    <row r="3" spans="1:3" x14ac:dyDescent="0.25">
      <c r="A3">
        <v>655</v>
      </c>
      <c r="B3" t="s">
        <v>629</v>
      </c>
      <c r="C3" s="1">
        <v>45718</v>
      </c>
    </row>
    <row r="4" spans="1:3" x14ac:dyDescent="0.25">
      <c r="A4">
        <v>1393</v>
      </c>
      <c r="B4" t="s">
        <v>359</v>
      </c>
      <c r="C4" s="1">
        <v>45718</v>
      </c>
    </row>
    <row r="5" spans="1:3" x14ac:dyDescent="0.25">
      <c r="A5">
        <v>1565</v>
      </c>
      <c r="B5" t="s">
        <v>384</v>
      </c>
      <c r="C5" s="1">
        <v>45718</v>
      </c>
    </row>
    <row r="6" spans="1:3" x14ac:dyDescent="0.25">
      <c r="A6">
        <v>1579</v>
      </c>
      <c r="B6" t="s">
        <v>165</v>
      </c>
      <c r="C6" s="1">
        <v>45718</v>
      </c>
    </row>
    <row r="7" spans="1:3" x14ac:dyDescent="0.25">
      <c r="A7">
        <v>1593</v>
      </c>
      <c r="B7" t="s">
        <v>475</v>
      </c>
      <c r="C7" s="1">
        <v>45718</v>
      </c>
    </row>
    <row r="8" spans="1:3" x14ac:dyDescent="0.25">
      <c r="A8">
        <v>1612</v>
      </c>
      <c r="B8" t="s">
        <v>85</v>
      </c>
      <c r="C8" s="1">
        <v>45718</v>
      </c>
    </row>
    <row r="9" spans="1:3" x14ac:dyDescent="0.25">
      <c r="A9">
        <v>1628</v>
      </c>
      <c r="B9" t="s">
        <v>630</v>
      </c>
      <c r="C9" s="1">
        <v>45718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26D6-1794-41C0-9D78-BFDF8051762D}">
  <dimension ref="A1:AD206"/>
  <sheetViews>
    <sheetView workbookViewId="0">
      <selection activeCell="G9" sqref="G9"/>
    </sheetView>
  </sheetViews>
  <sheetFormatPr defaultRowHeight="15" x14ac:dyDescent="0.25"/>
  <cols>
    <col min="1" max="1" width="37" bestFit="1" customWidth="1"/>
    <col min="2" max="2" width="23.140625" bestFit="1" customWidth="1"/>
    <col min="3" max="3" width="16" bestFit="1" customWidth="1"/>
    <col min="4" max="4" width="16.42578125" bestFit="1" customWidth="1"/>
    <col min="5" max="5" width="11.85546875" style="1" bestFit="1" customWidth="1"/>
    <col min="6" max="6" width="12.42578125" style="5" bestFit="1" customWidth="1"/>
    <col min="7" max="7" width="12.28515625" bestFit="1" customWidth="1"/>
    <col min="8" max="8" width="9.7109375" bestFit="1" customWidth="1"/>
    <col min="9" max="9" width="13.42578125" bestFit="1" customWidth="1"/>
    <col min="10" max="10" width="21.28515625" bestFit="1" customWidth="1"/>
    <col min="11" max="11" width="16.7109375" bestFit="1" customWidth="1"/>
    <col min="12" max="12" width="17.7109375" bestFit="1" customWidth="1"/>
    <col min="13" max="13" width="19.7109375" bestFit="1" customWidth="1"/>
    <col min="14" max="14" width="20.85546875" bestFit="1" customWidth="1"/>
    <col min="15" max="15" width="19.28515625" bestFit="1" customWidth="1"/>
    <col min="16" max="16" width="17.42578125" bestFit="1" customWidth="1"/>
    <col min="17" max="17" width="10.7109375" bestFit="1" customWidth="1"/>
    <col min="18" max="18" width="19.7109375" bestFit="1" customWidth="1"/>
    <col min="19" max="19" width="15.140625" bestFit="1" customWidth="1"/>
    <col min="20" max="20" width="18.7109375" bestFit="1" customWidth="1"/>
    <col min="21" max="21" width="14" bestFit="1" customWidth="1"/>
    <col min="22" max="22" width="13.5703125" bestFit="1" customWidth="1"/>
    <col min="23" max="23" width="24.28515625" bestFit="1" customWidth="1"/>
    <col min="24" max="24" width="9.5703125" bestFit="1" customWidth="1"/>
    <col min="25" max="25" width="15.85546875" bestFit="1" customWidth="1"/>
    <col min="26" max="26" width="17.28515625" bestFit="1" customWidth="1"/>
    <col min="27" max="27" width="14.140625" bestFit="1" customWidth="1"/>
    <col min="28" max="28" width="28" bestFit="1" customWidth="1"/>
    <col min="29" max="30" width="16.42578125" bestFit="1" customWidth="1"/>
  </cols>
  <sheetData>
    <row r="1" spans="1:30" x14ac:dyDescent="0.25">
      <c r="A1" t="s">
        <v>342</v>
      </c>
      <c r="B1" t="s">
        <v>343</v>
      </c>
      <c r="C1" t="s">
        <v>344</v>
      </c>
      <c r="D1" t="s">
        <v>510</v>
      </c>
      <c r="E1" s="1" t="s">
        <v>424</v>
      </c>
      <c r="F1" t="s">
        <v>0</v>
      </c>
      <c r="G1" t="s">
        <v>214</v>
      </c>
      <c r="H1" t="s">
        <v>215</v>
      </c>
      <c r="I1" t="s">
        <v>432</v>
      </c>
      <c r="J1" t="s">
        <v>337</v>
      </c>
      <c r="K1" t="s">
        <v>255</v>
      </c>
      <c r="L1" s="5" t="s">
        <v>335</v>
      </c>
      <c r="M1" t="s">
        <v>329</v>
      </c>
      <c r="N1" t="s">
        <v>28</v>
      </c>
      <c r="O1" t="s">
        <v>330</v>
      </c>
      <c r="P1" t="s">
        <v>332</v>
      </c>
      <c r="Q1" t="s">
        <v>333</v>
      </c>
      <c r="R1" t="s">
        <v>433</v>
      </c>
      <c r="S1" t="s">
        <v>434</v>
      </c>
      <c r="T1" t="s">
        <v>435</v>
      </c>
      <c r="U1" t="s">
        <v>436</v>
      </c>
      <c r="V1" t="s">
        <v>334</v>
      </c>
      <c r="W1" t="s">
        <v>331</v>
      </c>
      <c r="X1" t="s">
        <v>614</v>
      </c>
      <c r="Y1" t="s">
        <v>338</v>
      </c>
      <c r="Z1" t="s">
        <v>339</v>
      </c>
      <c r="AA1" s="5" t="s">
        <v>346</v>
      </c>
      <c r="AB1" s="5" t="s">
        <v>347</v>
      </c>
      <c r="AC1" t="s">
        <v>429</v>
      </c>
      <c r="AD1" t="s">
        <v>504</v>
      </c>
    </row>
    <row r="2" spans="1:30" x14ac:dyDescent="0.25">
      <c r="A2" t="s">
        <v>644</v>
      </c>
      <c r="B2" t="s">
        <v>56</v>
      </c>
      <c r="C2" t="s">
        <v>511</v>
      </c>
      <c r="D2" t="s">
        <v>511</v>
      </c>
      <c r="E2" s="1">
        <f>IFERROR(_xlfn.XLOOKUP(BASE_DE_NOMES[[#This Row],[Nome]],'Folha Rainha'!B:B,'Folha Rainha'!D:D),0)</f>
        <v>0</v>
      </c>
      <c r="F2" t="str">
        <f>IFERROR(_xlfn.XLOOKUP(BASE_DE_NOMES[[#This Row],[Nome]],'Folha Rainha'!B:B,'Folha Rainha'!E:E)," ")</f>
        <v xml:space="preserve"> </v>
      </c>
      <c r="G2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2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2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2" s="4">
        <f>BASE_DE_NOMES[[#This Row],[C.CHEQUE]]-BASE_DE_NOMES[[#This Row],[FALTAS]]-BASE_DE_NOMES[[#This Row],[DESCONTO ]]</f>
        <v>0</v>
      </c>
      <c r="K2">
        <f>SUMIF(GRATIFICAÇÃO!A:A,BASE_DE_NOMES[[#This Row],[Nome]],GRATIFICAÇÃO!F:F)</f>
        <v>0</v>
      </c>
      <c r="L2">
        <f>SUMIF(PG!A:A,BASE_DE_NOMES[[#This Row],[Nome]],PG!E:E)</f>
        <v>0</v>
      </c>
      <c r="M2">
        <f>SUMIFS('Folha Rainha'!G:G,'Folha Rainha'!B:B,BASE_DE_NOMES[[#This Row],[Nome]],'Folha Rainha'!F:F,"*Quebra*",'Folha Rainha'!F:F,"*QUEBRA*")</f>
        <v>0</v>
      </c>
      <c r="N2">
        <f>SUMIFS('Folha Rainha'!G:G,'Folha Rainha'!B:B,BASE_DE_NOMES[[#This Row],[Nome]],'Folha Rainha'!F:F,"ADC. ANTIGUIDADE")</f>
        <v>0</v>
      </c>
      <c r="O2">
        <f>SUMIFS('Folha Rainha'!G:G,'Folha Rainha'!B:B,BASE_DE_NOMES[[#This Row],[Nome]],'Folha Rainha'!F:F,"*Trienio*")</f>
        <v>0</v>
      </c>
      <c r="P2">
        <f>SUMIFS('Folha Rainha'!G:G,'Folha Rainha'!B:B,BASE_DE_NOMES[[#This Row],[Nome]],'Folha Rainha'!F:F,"*TAXA*")</f>
        <v>0</v>
      </c>
      <c r="Q2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2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2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2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2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2">
        <f>BASE_DE_NOMES[[#This Row],[BOLSA DE AUXILIO]]+BASE_DE_NOMES[[#This Row],[VALE TRANSP]]+BASE_DE_NOMES[[#This Row],[PLANO DE SAUDE]]-BASE_DE_NOMES[[#This Row],[DESCONTOS]]</f>
        <v>0</v>
      </c>
      <c r="W2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2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2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2">
        <f>BASE_DE_NOMES[[#This Row],[PAGAMENTOS]]+BASE_DE_NOMES[[#This Row],[GRATIFICAÇÃO]]</f>
        <v>0</v>
      </c>
      <c r="AA2" s="4">
        <f>_xlfn.XLOOKUP(BASE_DE_NOMES[[#This Row],[NOME2]],Planilha1!C:C,Planilha1!D:D)*Y2</f>
        <v>0</v>
      </c>
      <c r="AB2" s="4">
        <f>BASE_DE_NOMES[[#This Row],[IMPOSTOS]]+BASE_DE_NOMES[[#This Row],[SALARIO BASE]]+BASE_DE_NOMES[[#This Row],[FAMILIA]]</f>
        <v>0</v>
      </c>
      <c r="AC2" t="str">
        <f>_xlfn.XLOOKUP(BASE_DE_NOMES[[#This Row],[Razão Social]],Planilha1!B:B,Planilha1!C:C)</f>
        <v>10k DECORAÇÕES</v>
      </c>
      <c r="AD2" t="str">
        <f>_xlfn.XLOOKUP(BASE_DE_NOMES[[#This Row],[Alocações]],Planilha1!B:B,Planilha1!C:C)</f>
        <v>10k DECORAÇÕES</v>
      </c>
    </row>
    <row r="3" spans="1:30" x14ac:dyDescent="0.25">
      <c r="A3" t="s">
        <v>645</v>
      </c>
      <c r="B3" t="s">
        <v>258</v>
      </c>
      <c r="C3" t="s">
        <v>228</v>
      </c>
      <c r="D3" t="s">
        <v>556</v>
      </c>
      <c r="E3" s="1">
        <f>IFERROR(_xlfn.XLOOKUP(BASE_DE_NOMES[[#This Row],[Nome]],'Folha Rainha'!B:B,'Folha Rainha'!D:D),0)</f>
        <v>0</v>
      </c>
      <c r="F3" t="str">
        <f>IFERROR(_xlfn.XLOOKUP(BASE_DE_NOMES[[#This Row],[Nome]],'Folha Rainha'!B:B,'Folha Rainha'!E:E)," ")</f>
        <v xml:space="preserve"> </v>
      </c>
      <c r="G3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3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3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3" s="4">
        <f>BASE_DE_NOMES[[#This Row],[C.CHEQUE]]-BASE_DE_NOMES[[#This Row],[FALTAS]]-BASE_DE_NOMES[[#This Row],[DESCONTO ]]</f>
        <v>0</v>
      </c>
      <c r="K3">
        <f>SUMIF(GRATIFICAÇÃO!A:A,BASE_DE_NOMES[[#This Row],[Nome]],GRATIFICAÇÃO!F:F)</f>
        <v>0</v>
      </c>
      <c r="L3">
        <f>SUMIF(PG!A:A,BASE_DE_NOMES[[#This Row],[Nome]],PG!E:E)</f>
        <v>0</v>
      </c>
      <c r="M3">
        <f>SUMIFS('Folha Rainha'!G:G,'Folha Rainha'!B:B,BASE_DE_NOMES[[#This Row],[Nome]],'Folha Rainha'!F:F,"*Quebra*",'Folha Rainha'!F:F,"*QUEBRA*")</f>
        <v>0</v>
      </c>
      <c r="N3">
        <f>SUMIFS('Folha Rainha'!G:G,'Folha Rainha'!B:B,BASE_DE_NOMES[[#This Row],[Nome]],'Folha Rainha'!F:F,"ADC. ANTIGUIDADE")</f>
        <v>0</v>
      </c>
      <c r="O3">
        <f>SUMIFS('Folha Rainha'!G:G,'Folha Rainha'!B:B,BASE_DE_NOMES[[#This Row],[Nome]],'Folha Rainha'!F:F,"*Trienio*")</f>
        <v>0</v>
      </c>
      <c r="P3">
        <f>SUMIFS('Folha Rainha'!G:G,'Folha Rainha'!B:B,BASE_DE_NOMES[[#This Row],[Nome]],'Folha Rainha'!F:F,"*TAXA*")</f>
        <v>0</v>
      </c>
      <c r="Q3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3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3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3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3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3">
        <f>BASE_DE_NOMES[[#This Row],[BOLSA DE AUXILIO]]+BASE_DE_NOMES[[#This Row],[VALE TRANSP]]+BASE_DE_NOMES[[#This Row],[PLANO DE SAUDE]]-BASE_DE_NOMES[[#This Row],[DESCONTOS]]</f>
        <v>0</v>
      </c>
      <c r="W3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3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3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3">
        <f>BASE_DE_NOMES[[#This Row],[PAGAMENTOS]]+BASE_DE_NOMES[[#This Row],[GRATIFICAÇÃO]]</f>
        <v>0</v>
      </c>
      <c r="AA3" s="4">
        <f>_xlfn.XLOOKUP(BASE_DE_NOMES[[#This Row],[NOME2]],Planilha1!C:C,Planilha1!D:D)*Y3</f>
        <v>0</v>
      </c>
      <c r="AB3" s="4">
        <f>BASE_DE_NOMES[[#This Row],[IMPOSTOS]]+BASE_DE_NOMES[[#This Row],[SALARIO BASE]]+BASE_DE_NOMES[[#This Row],[FAMILIA]]</f>
        <v>0</v>
      </c>
      <c r="AC3" t="str">
        <f>_xlfn.XLOOKUP(BASE_DE_NOMES[[#This Row],[Razão Social]],Planilha1!B:B,Planilha1!C:C)</f>
        <v>GENESIS</v>
      </c>
      <c r="AD3" t="str">
        <f>_xlfn.XLOOKUP(BASE_DE_NOMES[[#This Row],[Alocações]],Planilha1!B:B,Planilha1!C:C)</f>
        <v>SR PASSOS</v>
      </c>
    </row>
    <row r="4" spans="1:30" x14ac:dyDescent="0.25">
      <c r="A4" t="s">
        <v>207</v>
      </c>
      <c r="B4" t="s">
        <v>99</v>
      </c>
      <c r="C4" t="s">
        <v>228</v>
      </c>
      <c r="D4" t="s">
        <v>228</v>
      </c>
      <c r="E4" s="1">
        <f>IFERROR(_xlfn.XLOOKUP(BASE_DE_NOMES[[#This Row],[Nome]],'Folha Rainha'!B:B,'Folha Rainha'!D:D),0)</f>
        <v>39052</v>
      </c>
      <c r="F4">
        <f>IFERROR(_xlfn.XLOOKUP(BASE_DE_NOMES[[#This Row],[Nome]],'Folha Rainha'!B:B,'Folha Rainha'!E:E)," ")</f>
        <v>0</v>
      </c>
      <c r="G4" s="4">
        <f>SUMIFS('Folha Rainha'!G:G,'Folha Rainha'!B:B,BASE_DE_NOMES[[#This Row],[Nome]],'Folha Rainha'!F:F,"Salário Base")+SUMIFS('Folha Rainha'!G:G,'Folha Rainha'!B:B,BASE_DE_NOMES[[#This Row],[Nome]],'Folha Rainha'!F:F,"Salário:")</f>
        <v>4296.7700000000004</v>
      </c>
      <c r="H4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4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4" s="4">
        <f>BASE_DE_NOMES[[#This Row],[C.CHEQUE]]-BASE_DE_NOMES[[#This Row],[FALTAS]]-BASE_DE_NOMES[[#This Row],[DESCONTO ]]</f>
        <v>4296.7700000000004</v>
      </c>
      <c r="K4">
        <f>SUMIF(GRATIFICAÇÃO!A:A,BASE_DE_NOMES[[#This Row],[Nome]],GRATIFICAÇÃO!F:F)</f>
        <v>0</v>
      </c>
      <c r="L4">
        <f>SUMIF(PG!A:A,BASE_DE_NOMES[[#This Row],[Nome]],PG!E:E)</f>
        <v>0</v>
      </c>
      <c r="M4">
        <f>SUMIFS('Folha Rainha'!G:G,'Folha Rainha'!B:B,BASE_DE_NOMES[[#This Row],[Nome]],'Folha Rainha'!F:F,"*Quebra*",'Folha Rainha'!F:F,"*QUEBRA*")</f>
        <v>0</v>
      </c>
      <c r="N4">
        <f>SUMIFS('Folha Rainha'!G:G,'Folha Rainha'!B:B,BASE_DE_NOMES[[#This Row],[Nome]],'Folha Rainha'!F:F,"ADC. ANTIGUIDADE")</f>
        <v>0</v>
      </c>
      <c r="O4">
        <f>SUMIFS('Folha Rainha'!G:G,'Folha Rainha'!B:B,BASE_DE_NOMES[[#This Row],[Nome]],'Folha Rainha'!F:F,"*Trienio*")</f>
        <v>644.51</v>
      </c>
      <c r="P4">
        <f>SUMIFS('Folha Rainha'!G:G,'Folha Rainha'!B:B,BASE_DE_NOMES[[#This Row],[Nome]],'Folha Rainha'!F:F,"*TAXA*")</f>
        <v>0</v>
      </c>
      <c r="Q4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4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4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4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4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4">
        <f>BASE_DE_NOMES[[#This Row],[BOLSA DE AUXILIO]]+BASE_DE_NOMES[[#This Row],[VALE TRANSP]]+BASE_DE_NOMES[[#This Row],[PLANO DE SAUDE]]-BASE_DE_NOMES[[#This Row],[DESCONTOS]]</f>
        <v>0</v>
      </c>
      <c r="W4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4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4" s="4">
        <f>BASE_DE_NOMES[[#This Row],[TOTAL DE C.CHEQUE]]+BASE_DE_NOMES[[#This Row],[TOTAL DE QUEBRA]]+BASE_DE_NOMES[[#This Row],[ADC. ANTIGUIDADE]]+BASE_DE_NOMES[[#This Row],[TOTAL DE TRIENIO]]+BASE_DE_NOMES[[#This Row],[CCT]]</f>
        <v>4941.2800000000007</v>
      </c>
      <c r="Z4">
        <f>BASE_DE_NOMES[[#This Row],[PAGAMENTOS]]+BASE_DE_NOMES[[#This Row],[GRATIFICAÇÃO]]</f>
        <v>0</v>
      </c>
      <c r="AA4" s="4">
        <f>_xlfn.XLOOKUP(BASE_DE_NOMES[[#This Row],[NOME2]],Planilha1!C:C,Planilha1!D:D)*Y4</f>
        <v>988.2560000000002</v>
      </c>
      <c r="AB4" s="4">
        <f>BASE_DE_NOMES[[#This Row],[IMPOSTOS]]+BASE_DE_NOMES[[#This Row],[SALARIO BASE]]+BASE_DE_NOMES[[#This Row],[FAMILIA]]</f>
        <v>5929.536000000001</v>
      </c>
      <c r="AC4" t="str">
        <f>_xlfn.XLOOKUP(BASE_DE_NOMES[[#This Row],[Razão Social]],Planilha1!B:B,Planilha1!C:C)</f>
        <v>GENESIS</v>
      </c>
      <c r="AD4" t="str">
        <f>_xlfn.XLOOKUP(BASE_DE_NOMES[[#This Row],[Alocações]],Planilha1!B:B,Planilha1!C:C)</f>
        <v>GENESIS</v>
      </c>
    </row>
    <row r="5" spans="1:30" x14ac:dyDescent="0.25">
      <c r="A5" t="s">
        <v>106</v>
      </c>
      <c r="B5" t="s">
        <v>407</v>
      </c>
      <c r="C5" t="s">
        <v>252</v>
      </c>
      <c r="D5" t="s">
        <v>252</v>
      </c>
      <c r="E5" s="1">
        <f>IFERROR(_xlfn.XLOOKUP(BASE_DE_NOMES[[#This Row],[Nome]],'Folha Rainha'!B:B,'Folha Rainha'!D:D),0)</f>
        <v>43222</v>
      </c>
      <c r="F5" t="str">
        <f>IFERROR(_xlfn.XLOOKUP(BASE_DE_NOMES[[#This Row],[Nome]],'Folha Rainha'!B:B,'Folha Rainha'!E:E)," ")</f>
        <v>Férias</v>
      </c>
      <c r="G5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5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5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5" s="4">
        <f>BASE_DE_NOMES[[#This Row],[C.CHEQUE]]-BASE_DE_NOMES[[#This Row],[FALTAS]]-BASE_DE_NOMES[[#This Row],[DESCONTO ]]</f>
        <v>1518</v>
      </c>
      <c r="K5">
        <f>SUMIF(GRATIFICAÇÃO!A:A,BASE_DE_NOMES[[#This Row],[Nome]],GRATIFICAÇÃO!F:F)</f>
        <v>100</v>
      </c>
      <c r="L5">
        <f>SUMIF(PG!A:A,BASE_DE_NOMES[[#This Row],[Nome]],PG!E:E)</f>
        <v>0</v>
      </c>
      <c r="M5">
        <f>SUMIFS('Folha Rainha'!G:G,'Folha Rainha'!B:B,BASE_DE_NOMES[[#This Row],[Nome]],'Folha Rainha'!F:F,"*Quebra*",'Folha Rainha'!F:F,"*QUEBRA*")</f>
        <v>0</v>
      </c>
      <c r="N5">
        <f>SUMIFS('Folha Rainha'!G:G,'Folha Rainha'!B:B,BASE_DE_NOMES[[#This Row],[Nome]],'Folha Rainha'!F:F,"ADC. ANTIGUIDADE")</f>
        <v>0</v>
      </c>
      <c r="O5">
        <f>SUMIFS('Folha Rainha'!G:G,'Folha Rainha'!B:B,BASE_DE_NOMES[[#This Row],[Nome]],'Folha Rainha'!F:F,"*Trienio*")</f>
        <v>0</v>
      </c>
      <c r="P5">
        <f>SUMIFS('Folha Rainha'!G:G,'Folha Rainha'!B:B,BASE_DE_NOMES[[#This Row],[Nome]],'Folha Rainha'!F:F,"*TAXA*")</f>
        <v>0</v>
      </c>
      <c r="Q5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5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5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5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5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5">
        <f>BASE_DE_NOMES[[#This Row],[BOLSA DE AUXILIO]]+BASE_DE_NOMES[[#This Row],[VALE TRANSP]]+BASE_DE_NOMES[[#This Row],[PLANO DE SAUDE]]-BASE_DE_NOMES[[#This Row],[DESCONTOS]]</f>
        <v>0</v>
      </c>
      <c r="W5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5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5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5">
        <f>BASE_DE_NOMES[[#This Row],[PAGAMENTOS]]+BASE_DE_NOMES[[#This Row],[GRATIFICAÇÃO]]</f>
        <v>100</v>
      </c>
      <c r="AA5" s="4">
        <f>_xlfn.XLOOKUP(BASE_DE_NOMES[[#This Row],[NOME2]],Planilha1!C:C,Planilha1!D:D)*Y5</f>
        <v>764.00939999999991</v>
      </c>
      <c r="AB5" s="4">
        <f>BASE_DE_NOMES[[#This Row],[IMPOSTOS]]+BASE_DE_NOMES[[#This Row],[SALARIO BASE]]+BASE_DE_NOMES[[#This Row],[FAMILIA]]</f>
        <v>2282.0093999999999</v>
      </c>
      <c r="AC5" t="str">
        <f>_xlfn.XLOOKUP(BASE_DE_NOMES[[#This Row],[Razão Social]],Planilha1!B:B,Planilha1!C:C)</f>
        <v>FABRICA</v>
      </c>
      <c r="AD5" t="str">
        <f>_xlfn.XLOOKUP(BASE_DE_NOMES[[#This Row],[Alocações]],Planilha1!B:B,Planilha1!C:C)</f>
        <v>FABRICA</v>
      </c>
    </row>
    <row r="6" spans="1:30" x14ac:dyDescent="0.25">
      <c r="A6" t="s">
        <v>646</v>
      </c>
      <c r="B6" t="s">
        <v>258</v>
      </c>
      <c r="C6" t="s">
        <v>508</v>
      </c>
      <c r="D6" t="s">
        <v>228</v>
      </c>
      <c r="E6" s="1">
        <f>IFERROR(_xlfn.XLOOKUP(BASE_DE_NOMES[[#This Row],[Nome]],'Folha Rainha'!B:B,'Folha Rainha'!D:D),0)</f>
        <v>0</v>
      </c>
      <c r="F6" t="str">
        <f>IFERROR(_xlfn.XLOOKUP(BASE_DE_NOMES[[#This Row],[Nome]],'Folha Rainha'!B:B,'Folha Rainha'!E:E)," ")</f>
        <v xml:space="preserve"> </v>
      </c>
      <c r="G6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6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6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6" s="4">
        <f>BASE_DE_NOMES[[#This Row],[C.CHEQUE]]-BASE_DE_NOMES[[#This Row],[FALTAS]]-BASE_DE_NOMES[[#This Row],[DESCONTO ]]</f>
        <v>0</v>
      </c>
      <c r="K6">
        <f>SUMIF(GRATIFICAÇÃO!A:A,BASE_DE_NOMES[[#This Row],[Nome]],GRATIFICAÇÃO!F:F)</f>
        <v>0</v>
      </c>
      <c r="L6">
        <f>SUMIF(PG!A:A,BASE_DE_NOMES[[#This Row],[Nome]],PG!E:E)</f>
        <v>0</v>
      </c>
      <c r="M6">
        <f>SUMIFS('Folha Rainha'!G:G,'Folha Rainha'!B:B,BASE_DE_NOMES[[#This Row],[Nome]],'Folha Rainha'!F:F,"*Quebra*",'Folha Rainha'!F:F,"*QUEBRA*")</f>
        <v>0</v>
      </c>
      <c r="N6">
        <f>SUMIFS('Folha Rainha'!G:G,'Folha Rainha'!B:B,BASE_DE_NOMES[[#This Row],[Nome]],'Folha Rainha'!F:F,"ADC. ANTIGUIDADE")</f>
        <v>0</v>
      </c>
      <c r="O6">
        <f>SUMIFS('Folha Rainha'!G:G,'Folha Rainha'!B:B,BASE_DE_NOMES[[#This Row],[Nome]],'Folha Rainha'!F:F,"*Trienio*")</f>
        <v>0</v>
      </c>
      <c r="P6">
        <f>SUMIFS('Folha Rainha'!G:G,'Folha Rainha'!B:B,BASE_DE_NOMES[[#This Row],[Nome]],'Folha Rainha'!F:F,"*TAXA*")</f>
        <v>0</v>
      </c>
      <c r="Q6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6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6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6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6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6">
        <f>BASE_DE_NOMES[[#This Row],[BOLSA DE AUXILIO]]+BASE_DE_NOMES[[#This Row],[VALE TRANSP]]+BASE_DE_NOMES[[#This Row],[PLANO DE SAUDE]]-BASE_DE_NOMES[[#This Row],[DESCONTOS]]</f>
        <v>0</v>
      </c>
      <c r="W6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6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6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6">
        <f>BASE_DE_NOMES[[#This Row],[PAGAMENTOS]]+BASE_DE_NOMES[[#This Row],[GRATIFICAÇÃO]]</f>
        <v>0</v>
      </c>
      <c r="AA6" s="4">
        <f>_xlfn.XLOOKUP(BASE_DE_NOMES[[#This Row],[NOME2]],Planilha1!C:C,Planilha1!D:D)*Y6</f>
        <v>0</v>
      </c>
      <c r="AB6" s="4">
        <f>BASE_DE_NOMES[[#This Row],[IMPOSTOS]]+BASE_DE_NOMES[[#This Row],[SALARIO BASE]]+BASE_DE_NOMES[[#This Row],[FAMILIA]]</f>
        <v>0</v>
      </c>
      <c r="AC6" t="str">
        <f>_xlfn.XLOOKUP(BASE_DE_NOMES[[#This Row],[Razão Social]],Planilha1!B:B,Planilha1!C:C)</f>
        <v>5K DECORAÇÕES</v>
      </c>
      <c r="AD6" t="str">
        <f>_xlfn.XLOOKUP(BASE_DE_NOMES[[#This Row],[Alocações]],Planilha1!B:B,Planilha1!C:C)</f>
        <v>GENESIS</v>
      </c>
    </row>
    <row r="7" spans="1:30" x14ac:dyDescent="0.25">
      <c r="A7" s="10" t="s">
        <v>236</v>
      </c>
      <c r="B7" t="s">
        <v>407</v>
      </c>
      <c r="C7" t="s">
        <v>252</v>
      </c>
      <c r="D7" t="s">
        <v>252</v>
      </c>
      <c r="E7" s="1">
        <f>IFERROR(_xlfn.XLOOKUP(BASE_DE_NOMES[[#This Row],[Nome]],'Folha Rainha'!B:B,'Folha Rainha'!D:D),0)</f>
        <v>44637</v>
      </c>
      <c r="F7" t="str">
        <f>IFERROR(_xlfn.XLOOKUP(BASE_DE_NOMES[[#This Row],[Nome]],'Folha Rainha'!B:B,'Folha Rainha'!E:E)," ")</f>
        <v>Trabalhando</v>
      </c>
      <c r="G7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7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7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7" s="4">
        <f>BASE_DE_NOMES[[#This Row],[C.CHEQUE]]-BASE_DE_NOMES[[#This Row],[FALTAS]]-BASE_DE_NOMES[[#This Row],[DESCONTO ]]</f>
        <v>1518</v>
      </c>
      <c r="K7">
        <f>SUMIF(GRATIFICAÇÃO!A:A,BASE_DE_NOMES[[#This Row],[Nome]],GRATIFICAÇÃO!F:F)</f>
        <v>200</v>
      </c>
      <c r="L7">
        <f>SUMIF(PG!A:A,BASE_DE_NOMES[[#This Row],[Nome]],PG!E:E)</f>
        <v>0</v>
      </c>
      <c r="M7">
        <f>SUMIFS('Folha Rainha'!G:G,'Folha Rainha'!B:B,BASE_DE_NOMES[[#This Row],[Nome]],'Folha Rainha'!F:F,"*Quebra*",'Folha Rainha'!F:F,"*QUEBRA*")</f>
        <v>0</v>
      </c>
      <c r="N7">
        <f>SUMIFS('Folha Rainha'!G:G,'Folha Rainha'!B:B,BASE_DE_NOMES[[#This Row],[Nome]],'Folha Rainha'!F:F,"ADC. ANTIGUIDADE")</f>
        <v>0</v>
      </c>
      <c r="O7">
        <f>SUMIFS('Folha Rainha'!G:G,'Folha Rainha'!B:B,BASE_DE_NOMES[[#This Row],[Nome]],'Folha Rainha'!F:F,"*Trienio*")</f>
        <v>0</v>
      </c>
      <c r="P7">
        <f>SUMIFS('Folha Rainha'!G:G,'Folha Rainha'!B:B,BASE_DE_NOMES[[#This Row],[Nome]],'Folha Rainha'!F:F,"*TAXA*")</f>
        <v>0</v>
      </c>
      <c r="Q7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7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7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7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7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7">
        <f>BASE_DE_NOMES[[#This Row],[BOLSA DE AUXILIO]]+BASE_DE_NOMES[[#This Row],[VALE TRANSP]]+BASE_DE_NOMES[[#This Row],[PLANO DE SAUDE]]-BASE_DE_NOMES[[#This Row],[DESCONTOS]]</f>
        <v>0</v>
      </c>
      <c r="W7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7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7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7">
        <f>BASE_DE_NOMES[[#This Row],[PAGAMENTOS]]+BASE_DE_NOMES[[#This Row],[GRATIFICAÇÃO]]</f>
        <v>200</v>
      </c>
      <c r="AA7" s="4">
        <f>_xlfn.XLOOKUP(BASE_DE_NOMES[[#This Row],[NOME2]],Planilha1!C:C,Planilha1!D:D)*Y7</f>
        <v>764.00939999999991</v>
      </c>
      <c r="AB7" s="4">
        <f>BASE_DE_NOMES[[#This Row],[IMPOSTOS]]+BASE_DE_NOMES[[#This Row],[SALARIO BASE]]+BASE_DE_NOMES[[#This Row],[FAMILIA]]</f>
        <v>2282.0093999999999</v>
      </c>
      <c r="AC7" t="str">
        <f>_xlfn.XLOOKUP(BASE_DE_NOMES[[#This Row],[Razão Social]],Planilha1!B:B,Planilha1!C:C)</f>
        <v>FABRICA</v>
      </c>
      <c r="AD7" t="str">
        <f>_xlfn.XLOOKUP(BASE_DE_NOMES[[#This Row],[Alocações]],Planilha1!B:B,Planilha1!C:C)</f>
        <v>FABRICA</v>
      </c>
    </row>
    <row r="8" spans="1:30" x14ac:dyDescent="0.25">
      <c r="A8" s="10" t="s">
        <v>394</v>
      </c>
      <c r="B8" t="s">
        <v>258</v>
      </c>
      <c r="C8" t="s">
        <v>542</v>
      </c>
      <c r="D8" t="s">
        <v>542</v>
      </c>
      <c r="E8" s="1">
        <f>IFERROR(_xlfn.XLOOKUP(BASE_DE_NOMES[[#This Row],[Nome]],'Folha Rainha'!B:B,'Folha Rainha'!D:D),0)</f>
        <v>45056</v>
      </c>
      <c r="F8" t="str">
        <f>IFERROR(_xlfn.XLOOKUP(BASE_DE_NOMES[[#This Row],[Nome]],'Folha Rainha'!B:B,'Folha Rainha'!E:E)," ")</f>
        <v>Trabalhando</v>
      </c>
      <c r="G8" s="4">
        <f>SUMIFS('Folha Rainha'!G:G,'Folha Rainha'!B:B,BASE_DE_NOMES[[#This Row],[Nome]],'Folha Rainha'!F:F,"Salário Base")+SUMIFS('Folha Rainha'!G:G,'Folha Rainha'!B:B,BASE_DE_NOMES[[#This Row],[Nome]],'Folha Rainha'!F:F,"Salário:")</f>
        <v>1607</v>
      </c>
      <c r="H8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8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8" s="4">
        <f>BASE_DE_NOMES[[#This Row],[C.CHEQUE]]-BASE_DE_NOMES[[#This Row],[FALTAS]]-BASE_DE_NOMES[[#This Row],[DESCONTO ]]</f>
        <v>1607</v>
      </c>
      <c r="K8">
        <f>SUMIF(GRATIFICAÇÃO!A:A,BASE_DE_NOMES[[#This Row],[Nome]],GRATIFICAÇÃO!F:F)</f>
        <v>0</v>
      </c>
      <c r="L8">
        <f>SUMIF(PG!A:A,BASE_DE_NOMES[[#This Row],[Nome]],PG!E:E)</f>
        <v>0</v>
      </c>
      <c r="M8">
        <f>SUMIFS('Folha Rainha'!G:G,'Folha Rainha'!B:B,BASE_DE_NOMES[[#This Row],[Nome]],'Folha Rainha'!F:F,"*Quebra*",'Folha Rainha'!F:F,"*QUEBRA*")</f>
        <v>0</v>
      </c>
      <c r="N8">
        <f>SUMIFS('Folha Rainha'!G:G,'Folha Rainha'!B:B,BASE_DE_NOMES[[#This Row],[Nome]],'Folha Rainha'!F:F,"ADC. ANTIGUIDADE")</f>
        <v>0</v>
      </c>
      <c r="O8">
        <f>SUMIFS('Folha Rainha'!G:G,'Folha Rainha'!B:B,BASE_DE_NOMES[[#This Row],[Nome]],'Folha Rainha'!F:F,"*Trienio*")</f>
        <v>0</v>
      </c>
      <c r="P8">
        <f>SUMIFS('Folha Rainha'!G:G,'Folha Rainha'!B:B,BASE_DE_NOMES[[#This Row],[Nome]],'Folha Rainha'!F:F,"*TAXA*")</f>
        <v>0</v>
      </c>
      <c r="Q8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8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8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8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8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8">
        <f>BASE_DE_NOMES[[#This Row],[BOLSA DE AUXILIO]]+BASE_DE_NOMES[[#This Row],[VALE TRANSP]]+BASE_DE_NOMES[[#This Row],[PLANO DE SAUDE]]-BASE_DE_NOMES[[#This Row],[DESCONTOS]]</f>
        <v>0</v>
      </c>
      <c r="W8" s="4">
        <f>SUMIFS('Folha Rainha'!G:G,'Folha Rainha'!B:B,BASE_DE_NOMES[[#This Row],[Nome]],'Folha Rainha'!F:F,"VALE COMPRAS")+SUMIFS('Folha Rainha'!G:G,'Folha Rainha'!B:B,BASE_DE_NOMES[[#This Row],[Nome]],'Folha Rainha'!F:F,"VALES")</f>
        <v>132.65</v>
      </c>
      <c r="X8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8" s="4">
        <f>BASE_DE_NOMES[[#This Row],[TOTAL DE C.CHEQUE]]+BASE_DE_NOMES[[#This Row],[TOTAL DE QUEBRA]]+BASE_DE_NOMES[[#This Row],[ADC. ANTIGUIDADE]]+BASE_DE_NOMES[[#This Row],[TOTAL DE TRIENIO]]+BASE_DE_NOMES[[#This Row],[CCT]]</f>
        <v>1607</v>
      </c>
      <c r="Z8">
        <f>BASE_DE_NOMES[[#This Row],[PAGAMENTOS]]+BASE_DE_NOMES[[#This Row],[GRATIFICAÇÃO]]</f>
        <v>0</v>
      </c>
      <c r="AA8" s="4">
        <f>_xlfn.XLOOKUP(BASE_DE_NOMES[[#This Row],[NOME2]],Planilha1!C:C,Planilha1!D:D)*Y8</f>
        <v>321.40000000000003</v>
      </c>
      <c r="AB8" s="4">
        <f>BASE_DE_NOMES[[#This Row],[IMPOSTOS]]+BASE_DE_NOMES[[#This Row],[SALARIO BASE]]+BASE_DE_NOMES[[#This Row],[FAMILIA]]</f>
        <v>1928.4</v>
      </c>
      <c r="AC8" t="str">
        <f>_xlfn.XLOOKUP(BASE_DE_NOMES[[#This Row],[Razão Social]],Planilha1!B:B,Planilha1!C:C)</f>
        <v xml:space="preserve">30 K </v>
      </c>
      <c r="AD8" t="str">
        <f>_xlfn.XLOOKUP(BASE_DE_NOMES[[#This Row],[Alocações]],Planilha1!B:B,Planilha1!C:C)</f>
        <v xml:space="preserve">30 K </v>
      </c>
    </row>
    <row r="9" spans="1:30" x14ac:dyDescent="0.25">
      <c r="A9" t="s">
        <v>621</v>
      </c>
      <c r="B9" t="s">
        <v>213</v>
      </c>
      <c r="C9" t="s">
        <v>252</v>
      </c>
      <c r="D9" t="s">
        <v>252</v>
      </c>
      <c r="E9" s="1">
        <f>IFERROR(_xlfn.XLOOKUP(BASE_DE_NOMES[[#This Row],[Nome]],'Folha Rainha'!B:B,'Folha Rainha'!D:D),0)</f>
        <v>45731</v>
      </c>
      <c r="F9" t="str">
        <f>IFERROR(_xlfn.XLOOKUP(BASE_DE_NOMES[[#This Row],[Nome]],'Folha Rainha'!B:B,'Folha Rainha'!E:E)," ")</f>
        <v>Trabalhando</v>
      </c>
      <c r="G9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9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9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9" s="4">
        <f>BASE_DE_NOMES[[#This Row],[C.CHEQUE]]-BASE_DE_NOMES[[#This Row],[FALTAS]]-BASE_DE_NOMES[[#This Row],[DESCONTO ]]</f>
        <v>1518</v>
      </c>
      <c r="K9">
        <f>SUMIF(GRATIFICAÇÃO!A:A,BASE_DE_NOMES[[#This Row],[Nome]],GRATIFICAÇÃO!F:F)</f>
        <v>0</v>
      </c>
      <c r="L9">
        <f>SUMIF(PG!A:A,BASE_DE_NOMES[[#This Row],[Nome]],PG!E:E)</f>
        <v>0</v>
      </c>
      <c r="M9">
        <f>SUMIFS('Folha Rainha'!G:G,'Folha Rainha'!B:B,BASE_DE_NOMES[[#This Row],[Nome]],'Folha Rainha'!F:F,"*Quebra*",'Folha Rainha'!F:F,"*QUEBRA*")</f>
        <v>0</v>
      </c>
      <c r="N9">
        <f>SUMIFS('Folha Rainha'!G:G,'Folha Rainha'!B:B,BASE_DE_NOMES[[#This Row],[Nome]],'Folha Rainha'!F:F,"ADC. ANTIGUIDADE")</f>
        <v>0</v>
      </c>
      <c r="O9">
        <f>SUMIFS('Folha Rainha'!G:G,'Folha Rainha'!B:B,BASE_DE_NOMES[[#This Row],[Nome]],'Folha Rainha'!F:F,"*Trienio*")</f>
        <v>0</v>
      </c>
      <c r="P9">
        <f>SUMIFS('Folha Rainha'!G:G,'Folha Rainha'!B:B,BASE_DE_NOMES[[#This Row],[Nome]],'Folha Rainha'!F:F,"*TAXA*")</f>
        <v>0</v>
      </c>
      <c r="Q9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9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9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9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9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9">
        <f>BASE_DE_NOMES[[#This Row],[BOLSA DE AUXILIO]]+BASE_DE_NOMES[[#This Row],[VALE TRANSP]]+BASE_DE_NOMES[[#This Row],[PLANO DE SAUDE]]-BASE_DE_NOMES[[#This Row],[DESCONTOS]]</f>
        <v>0</v>
      </c>
      <c r="W9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9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9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9">
        <f>BASE_DE_NOMES[[#This Row],[PAGAMENTOS]]+BASE_DE_NOMES[[#This Row],[GRATIFICAÇÃO]]</f>
        <v>0</v>
      </c>
      <c r="AA9" s="4">
        <f>_xlfn.XLOOKUP(BASE_DE_NOMES[[#This Row],[NOME2]],Planilha1!C:C,Planilha1!D:D)*Y9</f>
        <v>764.00939999999991</v>
      </c>
      <c r="AB9" s="4">
        <f>BASE_DE_NOMES[[#This Row],[IMPOSTOS]]+BASE_DE_NOMES[[#This Row],[SALARIO BASE]]+BASE_DE_NOMES[[#This Row],[FAMILIA]]</f>
        <v>2282.0093999999999</v>
      </c>
      <c r="AC9" t="str">
        <f>_xlfn.XLOOKUP(BASE_DE_NOMES[[#This Row],[Razão Social]],Planilha1!B:B,Planilha1!C:C)</f>
        <v>FABRICA</v>
      </c>
      <c r="AD9" t="str">
        <f>_xlfn.XLOOKUP(BASE_DE_NOMES[[#This Row],[Alocações]],Planilha1!B:B,Planilha1!C:C)</f>
        <v>FABRICA</v>
      </c>
    </row>
    <row r="10" spans="1:30" x14ac:dyDescent="0.25">
      <c r="A10" t="s">
        <v>44</v>
      </c>
      <c r="B10" t="s">
        <v>258</v>
      </c>
      <c r="C10" t="s">
        <v>280</v>
      </c>
      <c r="D10" t="s">
        <v>556</v>
      </c>
      <c r="E10" s="1">
        <f>IFERROR(_xlfn.XLOOKUP(BASE_DE_NOMES[[#This Row],[Nome]],'Folha Rainha'!B:B,'Folha Rainha'!D:D),0)</f>
        <v>44844</v>
      </c>
      <c r="F10" t="str">
        <f>IFERROR(_xlfn.XLOOKUP(BASE_DE_NOMES[[#This Row],[Nome]],'Folha Rainha'!B:B,'Folha Rainha'!E:E)," ")</f>
        <v>Trabalhando</v>
      </c>
      <c r="G10" s="4">
        <f>SUMIFS('Folha Rainha'!G:G,'Folha Rainha'!B:B,BASE_DE_NOMES[[#This Row],[Nome]],'Folha Rainha'!F:F,"Salário Base")+SUMIFS('Folha Rainha'!G:G,'Folha Rainha'!B:B,BASE_DE_NOMES[[#This Row],[Nome]],'Folha Rainha'!F:F,"Salário:")</f>
        <v>1660</v>
      </c>
      <c r="H10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0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0" s="4">
        <f>BASE_DE_NOMES[[#This Row],[C.CHEQUE]]-BASE_DE_NOMES[[#This Row],[FALTAS]]-BASE_DE_NOMES[[#This Row],[DESCONTO ]]</f>
        <v>1660</v>
      </c>
      <c r="K10">
        <f>SUMIF(GRATIFICAÇÃO!A:A,BASE_DE_NOMES[[#This Row],[Nome]],GRATIFICAÇÃO!F:F)</f>
        <v>0</v>
      </c>
      <c r="L10">
        <f>SUMIF(PG!A:A,BASE_DE_NOMES[[#This Row],[Nome]],PG!E:E)</f>
        <v>0</v>
      </c>
      <c r="M10">
        <f>SUMIFS('Folha Rainha'!G:G,'Folha Rainha'!B:B,BASE_DE_NOMES[[#This Row],[Nome]],'Folha Rainha'!F:F,"*Quebra*",'Folha Rainha'!F:F,"*QUEBRA*")</f>
        <v>0</v>
      </c>
      <c r="N10">
        <f>SUMIFS('Folha Rainha'!G:G,'Folha Rainha'!B:B,BASE_DE_NOMES[[#This Row],[Nome]],'Folha Rainha'!F:F,"ADC. ANTIGUIDADE")</f>
        <v>0</v>
      </c>
      <c r="O10">
        <f>SUMIFS('Folha Rainha'!G:G,'Folha Rainha'!B:B,BASE_DE_NOMES[[#This Row],[Nome]],'Folha Rainha'!F:F,"*Trienio*")</f>
        <v>0</v>
      </c>
      <c r="P10">
        <f>SUMIFS('Folha Rainha'!G:G,'Folha Rainha'!B:B,BASE_DE_NOMES[[#This Row],[Nome]],'Folha Rainha'!F:F,"*TAXA*")</f>
        <v>0</v>
      </c>
      <c r="Q10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0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0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99.6</v>
      </c>
      <c r="T10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0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0">
        <f>BASE_DE_NOMES[[#This Row],[BOLSA DE AUXILIO]]+BASE_DE_NOMES[[#This Row],[VALE TRANSP]]+BASE_DE_NOMES[[#This Row],[PLANO DE SAUDE]]-BASE_DE_NOMES[[#This Row],[DESCONTOS]]</f>
        <v>99.6</v>
      </c>
      <c r="W10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0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0" s="4">
        <f>BASE_DE_NOMES[[#This Row],[TOTAL DE C.CHEQUE]]+BASE_DE_NOMES[[#This Row],[TOTAL DE QUEBRA]]+BASE_DE_NOMES[[#This Row],[ADC. ANTIGUIDADE]]+BASE_DE_NOMES[[#This Row],[TOTAL DE TRIENIO]]+BASE_DE_NOMES[[#This Row],[CCT]]</f>
        <v>1660</v>
      </c>
      <c r="Z10">
        <f>BASE_DE_NOMES[[#This Row],[PAGAMENTOS]]+BASE_DE_NOMES[[#This Row],[GRATIFICAÇÃO]]</f>
        <v>0</v>
      </c>
      <c r="AA10" s="4">
        <f>_xlfn.XLOOKUP(BASE_DE_NOMES[[#This Row],[NOME2]],Planilha1!C:C,Planilha1!D:D)*Y10</f>
        <v>332</v>
      </c>
      <c r="AB10" s="4">
        <f>BASE_DE_NOMES[[#This Row],[IMPOSTOS]]+BASE_DE_NOMES[[#This Row],[SALARIO BASE]]+BASE_DE_NOMES[[#This Row],[FAMILIA]]</f>
        <v>1992</v>
      </c>
      <c r="AC10" t="str">
        <f>_xlfn.XLOOKUP(BASE_DE_NOMES[[#This Row],[Razão Social]],Planilha1!B:B,Planilha1!C:C)</f>
        <v>MAISON</v>
      </c>
      <c r="AD10" t="str">
        <f>_xlfn.XLOOKUP(BASE_DE_NOMES[[#This Row],[Alocações]],Planilha1!B:B,Planilha1!C:C)</f>
        <v>SR PASSOS</v>
      </c>
    </row>
    <row r="11" spans="1:30" x14ac:dyDescent="0.25">
      <c r="A11" t="s">
        <v>538</v>
      </c>
      <c r="B11" t="s">
        <v>647</v>
      </c>
      <c r="C11" t="s">
        <v>508</v>
      </c>
      <c r="D11" t="s">
        <v>225</v>
      </c>
      <c r="E11" s="1">
        <f>IFERROR(_xlfn.XLOOKUP(BASE_DE_NOMES[[#This Row],[Nome]],'Folha Rainha'!B:B,'Folha Rainha'!D:D),0)</f>
        <v>45458</v>
      </c>
      <c r="F11" t="str">
        <f>IFERROR(_xlfn.XLOOKUP(BASE_DE_NOMES[[#This Row],[Nome]],'Folha Rainha'!B:B,'Folha Rainha'!E:E)," ")</f>
        <v>Trabalhando</v>
      </c>
      <c r="G11" s="4">
        <f>SUMIFS('Folha Rainha'!G:G,'Folha Rainha'!B:B,BASE_DE_NOMES[[#This Row],[Nome]],'Folha Rainha'!F:F,"Salário Base")+SUMIFS('Folha Rainha'!G:G,'Folha Rainha'!B:B,BASE_DE_NOMES[[#This Row],[Nome]],'Folha Rainha'!F:F,"Salário:")</f>
        <v>3068.7</v>
      </c>
      <c r="H11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1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1" s="4">
        <f>BASE_DE_NOMES[[#This Row],[C.CHEQUE]]-BASE_DE_NOMES[[#This Row],[FALTAS]]-BASE_DE_NOMES[[#This Row],[DESCONTO ]]</f>
        <v>3068.7</v>
      </c>
      <c r="K11">
        <f>SUMIF(GRATIFICAÇÃO!A:A,BASE_DE_NOMES[[#This Row],[Nome]],GRATIFICAÇÃO!F:F)</f>
        <v>0</v>
      </c>
      <c r="L11">
        <f>SUMIF(PG!A:A,BASE_DE_NOMES[[#This Row],[Nome]],PG!E:E)</f>
        <v>0</v>
      </c>
      <c r="M11">
        <f>SUMIFS('Folha Rainha'!G:G,'Folha Rainha'!B:B,BASE_DE_NOMES[[#This Row],[Nome]],'Folha Rainha'!F:F,"*Quebra*",'Folha Rainha'!F:F,"*QUEBRA*")</f>
        <v>0</v>
      </c>
      <c r="N11">
        <f>SUMIFS('Folha Rainha'!G:G,'Folha Rainha'!B:B,BASE_DE_NOMES[[#This Row],[Nome]],'Folha Rainha'!F:F,"ADC. ANTIGUIDADE")</f>
        <v>0</v>
      </c>
      <c r="O11">
        <f>SUMIFS('Folha Rainha'!G:G,'Folha Rainha'!B:B,BASE_DE_NOMES[[#This Row],[Nome]],'Folha Rainha'!F:F,"*Trienio*")</f>
        <v>0</v>
      </c>
      <c r="P11">
        <f>SUMIFS('Folha Rainha'!G:G,'Folha Rainha'!B:B,BASE_DE_NOMES[[#This Row],[Nome]],'Folha Rainha'!F:F,"*TAXA*")</f>
        <v>0</v>
      </c>
      <c r="Q11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1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1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1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1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1">
        <f>BASE_DE_NOMES[[#This Row],[BOLSA DE AUXILIO]]+BASE_DE_NOMES[[#This Row],[VALE TRANSP]]+BASE_DE_NOMES[[#This Row],[PLANO DE SAUDE]]-BASE_DE_NOMES[[#This Row],[DESCONTOS]]</f>
        <v>0</v>
      </c>
      <c r="W11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1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1" s="4">
        <f>BASE_DE_NOMES[[#This Row],[TOTAL DE C.CHEQUE]]+BASE_DE_NOMES[[#This Row],[TOTAL DE QUEBRA]]+BASE_DE_NOMES[[#This Row],[ADC. ANTIGUIDADE]]+BASE_DE_NOMES[[#This Row],[TOTAL DE TRIENIO]]+BASE_DE_NOMES[[#This Row],[CCT]]</f>
        <v>3068.7</v>
      </c>
      <c r="Z11">
        <f>BASE_DE_NOMES[[#This Row],[PAGAMENTOS]]+BASE_DE_NOMES[[#This Row],[GRATIFICAÇÃO]]</f>
        <v>0</v>
      </c>
      <c r="AA11" s="4">
        <f>_xlfn.XLOOKUP(BASE_DE_NOMES[[#This Row],[NOME2]],Planilha1!C:C,Planilha1!D:D)*Y11</f>
        <v>613.74</v>
      </c>
      <c r="AB11" s="4">
        <f>BASE_DE_NOMES[[#This Row],[IMPOSTOS]]+BASE_DE_NOMES[[#This Row],[SALARIO BASE]]+BASE_DE_NOMES[[#This Row],[FAMILIA]]</f>
        <v>3682.4399999999996</v>
      </c>
      <c r="AC11" t="str">
        <f>_xlfn.XLOOKUP(BASE_DE_NOMES[[#This Row],[Razão Social]],Planilha1!B:B,Planilha1!C:C)</f>
        <v>5K DECORAÇÕES</v>
      </c>
      <c r="AD11" t="str">
        <f>_xlfn.XLOOKUP(BASE_DE_NOMES[[#This Row],[Alocações]],Planilha1!B:B,Planilha1!C:C)</f>
        <v>ESCRITORIO</v>
      </c>
    </row>
    <row r="12" spans="1:30" x14ac:dyDescent="0.25">
      <c r="A12" t="s">
        <v>161</v>
      </c>
      <c r="B12" t="s">
        <v>39</v>
      </c>
      <c r="C12" t="s">
        <v>584</v>
      </c>
      <c r="D12" t="s">
        <v>584</v>
      </c>
      <c r="E12" s="1">
        <f>IFERROR(_xlfn.XLOOKUP(BASE_DE_NOMES[[#This Row],[Nome]],'Folha Rainha'!B:B,'Folha Rainha'!D:D),0)</f>
        <v>43437</v>
      </c>
      <c r="F12" t="str">
        <f>IFERROR(_xlfn.XLOOKUP(BASE_DE_NOMES[[#This Row],[Nome]],'Folha Rainha'!B:B,'Folha Rainha'!E:E)," ")</f>
        <v>Trabalhando</v>
      </c>
      <c r="G12" s="4">
        <f>SUMIFS('Folha Rainha'!G:G,'Folha Rainha'!B:B,BASE_DE_NOMES[[#This Row],[Nome]],'Folha Rainha'!F:F,"Salário Base")+SUMIFS('Folha Rainha'!G:G,'Folha Rainha'!B:B,BASE_DE_NOMES[[#This Row],[Nome]],'Folha Rainha'!F:F,"Salário:")</f>
        <v>2896.58</v>
      </c>
      <c r="H12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2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2" s="4">
        <f>BASE_DE_NOMES[[#This Row],[C.CHEQUE]]-BASE_DE_NOMES[[#This Row],[FALTAS]]-BASE_DE_NOMES[[#This Row],[DESCONTO ]]</f>
        <v>2896.58</v>
      </c>
      <c r="K12">
        <f>SUMIF(GRATIFICAÇÃO!A:A,BASE_DE_NOMES[[#This Row],[Nome]],GRATIFICAÇÃO!F:F)</f>
        <v>0</v>
      </c>
      <c r="L12">
        <f>SUMIF(PG!A:A,BASE_DE_NOMES[[#This Row],[Nome]],PG!E:E)</f>
        <v>0</v>
      </c>
      <c r="M12">
        <f>SUMIFS('Folha Rainha'!G:G,'Folha Rainha'!B:B,BASE_DE_NOMES[[#This Row],[Nome]],'Folha Rainha'!F:F,"*Quebra*",'Folha Rainha'!F:F,"*QUEBRA*")</f>
        <v>0</v>
      </c>
      <c r="N12">
        <f>SUMIFS('Folha Rainha'!G:G,'Folha Rainha'!B:B,BASE_DE_NOMES[[#This Row],[Nome]],'Folha Rainha'!F:F,"ADC. ANTIGUIDADE")</f>
        <v>0</v>
      </c>
      <c r="O12">
        <f>SUMIFS('Folha Rainha'!G:G,'Folha Rainha'!B:B,BASE_DE_NOMES[[#This Row],[Nome]],'Folha Rainha'!F:F,"*Trienio*")</f>
        <v>173.79</v>
      </c>
      <c r="P12">
        <f>SUMIFS('Folha Rainha'!G:G,'Folha Rainha'!B:B,BASE_DE_NOMES[[#This Row],[Nome]],'Folha Rainha'!F:F,"*TAXA*")</f>
        <v>20</v>
      </c>
      <c r="Q12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2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2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2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2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20</v>
      </c>
      <c r="V12">
        <f>BASE_DE_NOMES[[#This Row],[BOLSA DE AUXILIO]]+BASE_DE_NOMES[[#This Row],[VALE TRANSP]]+BASE_DE_NOMES[[#This Row],[PLANO DE SAUDE]]-BASE_DE_NOMES[[#This Row],[DESCONTOS]]</f>
        <v>-20</v>
      </c>
      <c r="W12" s="4">
        <f>SUMIFS('Folha Rainha'!G:G,'Folha Rainha'!B:B,BASE_DE_NOMES[[#This Row],[Nome]],'Folha Rainha'!F:F,"VALE COMPRAS")+SUMIFS('Folha Rainha'!G:G,'Folha Rainha'!B:B,BASE_DE_NOMES[[#This Row],[Nome]],'Folha Rainha'!F:F,"VALES")</f>
        <v>45.15</v>
      </c>
      <c r="X12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2" s="4">
        <f>BASE_DE_NOMES[[#This Row],[TOTAL DE C.CHEQUE]]+BASE_DE_NOMES[[#This Row],[TOTAL DE QUEBRA]]+BASE_DE_NOMES[[#This Row],[ADC. ANTIGUIDADE]]+BASE_DE_NOMES[[#This Row],[TOTAL DE TRIENIO]]+BASE_DE_NOMES[[#This Row],[CCT]]</f>
        <v>3070.37</v>
      </c>
      <c r="Z12">
        <f>BASE_DE_NOMES[[#This Row],[PAGAMENTOS]]+BASE_DE_NOMES[[#This Row],[GRATIFICAÇÃO]]</f>
        <v>0</v>
      </c>
      <c r="AA12" s="4">
        <f>_xlfn.XLOOKUP(BASE_DE_NOMES[[#This Row],[NOME2]],Planilha1!C:C,Planilha1!D:D)*Y12</f>
        <v>614.07400000000007</v>
      </c>
      <c r="AB12" s="4">
        <f>BASE_DE_NOMES[[#This Row],[IMPOSTOS]]+BASE_DE_NOMES[[#This Row],[SALARIO BASE]]+BASE_DE_NOMES[[#This Row],[FAMILIA]]</f>
        <v>3684.444</v>
      </c>
      <c r="AC12" t="str">
        <f>_xlfn.XLOOKUP(BASE_DE_NOMES[[#This Row],[Razão Social]],Planilha1!B:B,Planilha1!C:C)</f>
        <v>15 K COMERCIAL</v>
      </c>
      <c r="AD12" t="str">
        <f>_xlfn.XLOOKUP(BASE_DE_NOMES[[#This Row],[Alocações]],Planilha1!B:B,Planilha1!C:C)</f>
        <v>15 K COMERCIAL</v>
      </c>
    </row>
    <row r="13" spans="1:30" x14ac:dyDescent="0.25">
      <c r="A13" t="s">
        <v>648</v>
      </c>
      <c r="B13" t="s">
        <v>258</v>
      </c>
      <c r="C13" t="s">
        <v>229</v>
      </c>
      <c r="D13" t="s">
        <v>229</v>
      </c>
      <c r="E13" s="1">
        <f>IFERROR(_xlfn.XLOOKUP(BASE_DE_NOMES[[#This Row],[Nome]],'Folha Rainha'!B:B,'Folha Rainha'!D:D),0)</f>
        <v>0</v>
      </c>
      <c r="F13" t="str">
        <f>IFERROR(_xlfn.XLOOKUP(BASE_DE_NOMES[[#This Row],[Nome]],'Folha Rainha'!B:B,'Folha Rainha'!E:E)," ")</f>
        <v xml:space="preserve"> </v>
      </c>
      <c r="G13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3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3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3" s="4">
        <f>BASE_DE_NOMES[[#This Row],[C.CHEQUE]]-BASE_DE_NOMES[[#This Row],[FALTAS]]-BASE_DE_NOMES[[#This Row],[DESCONTO ]]</f>
        <v>0</v>
      </c>
      <c r="K13">
        <f>SUMIF(GRATIFICAÇÃO!A:A,BASE_DE_NOMES[[#This Row],[Nome]],GRATIFICAÇÃO!F:F)</f>
        <v>0</v>
      </c>
      <c r="L13">
        <f>SUMIF(PG!A:A,BASE_DE_NOMES[[#This Row],[Nome]],PG!E:E)</f>
        <v>0</v>
      </c>
      <c r="M13">
        <f>SUMIFS('Folha Rainha'!G:G,'Folha Rainha'!B:B,BASE_DE_NOMES[[#This Row],[Nome]],'Folha Rainha'!F:F,"*Quebra*",'Folha Rainha'!F:F,"*QUEBRA*")</f>
        <v>0</v>
      </c>
      <c r="N13">
        <f>SUMIFS('Folha Rainha'!G:G,'Folha Rainha'!B:B,BASE_DE_NOMES[[#This Row],[Nome]],'Folha Rainha'!F:F,"ADC. ANTIGUIDADE")</f>
        <v>0</v>
      </c>
      <c r="O13">
        <f>SUMIFS('Folha Rainha'!G:G,'Folha Rainha'!B:B,BASE_DE_NOMES[[#This Row],[Nome]],'Folha Rainha'!F:F,"*Trienio*")</f>
        <v>0</v>
      </c>
      <c r="P13">
        <f>SUMIFS('Folha Rainha'!G:G,'Folha Rainha'!B:B,BASE_DE_NOMES[[#This Row],[Nome]],'Folha Rainha'!F:F,"*TAXA*")</f>
        <v>0</v>
      </c>
      <c r="Q13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3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3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3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3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3">
        <f>BASE_DE_NOMES[[#This Row],[BOLSA DE AUXILIO]]+BASE_DE_NOMES[[#This Row],[VALE TRANSP]]+BASE_DE_NOMES[[#This Row],[PLANO DE SAUDE]]-BASE_DE_NOMES[[#This Row],[DESCONTOS]]</f>
        <v>0</v>
      </c>
      <c r="W13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3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3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3">
        <f>BASE_DE_NOMES[[#This Row],[PAGAMENTOS]]+BASE_DE_NOMES[[#This Row],[GRATIFICAÇÃO]]</f>
        <v>0</v>
      </c>
      <c r="AA13" s="4">
        <f>_xlfn.XLOOKUP(BASE_DE_NOMES[[#This Row],[NOME2]],Planilha1!C:C,Planilha1!D:D)*Y13</f>
        <v>0</v>
      </c>
      <c r="AB13" s="4">
        <f>BASE_DE_NOMES[[#This Row],[IMPOSTOS]]+BASE_DE_NOMES[[#This Row],[SALARIO BASE]]+BASE_DE_NOMES[[#This Row],[FAMILIA]]</f>
        <v>0</v>
      </c>
      <c r="AC13" t="str">
        <f>_xlfn.XLOOKUP(BASE_DE_NOMES[[#This Row],[Razão Social]],Planilha1!B:B,Planilha1!C:C)</f>
        <v>GRAND CANYON</v>
      </c>
      <c r="AD13" t="str">
        <f>_xlfn.XLOOKUP(BASE_DE_NOMES[[#This Row],[Alocações]],Planilha1!B:B,Planilha1!C:C)</f>
        <v>GRAND CANYON</v>
      </c>
    </row>
    <row r="14" spans="1:30" x14ac:dyDescent="0.25">
      <c r="A14" t="s">
        <v>604</v>
      </c>
      <c r="B14" t="s">
        <v>258</v>
      </c>
      <c r="C14" t="s">
        <v>224</v>
      </c>
      <c r="D14" t="s">
        <v>224</v>
      </c>
      <c r="E14" s="1">
        <f>IFERROR(_xlfn.XLOOKUP(BASE_DE_NOMES[[#This Row],[Nome]],'Folha Rainha'!B:B,'Folha Rainha'!D:D),0)</f>
        <v>45633</v>
      </c>
      <c r="F14" t="str">
        <f>IFERROR(_xlfn.XLOOKUP(BASE_DE_NOMES[[#This Row],[Nome]],'Folha Rainha'!B:B,'Folha Rainha'!E:E)," ")</f>
        <v>Trabalhando</v>
      </c>
      <c r="G14" s="4">
        <f>SUMIFS('Folha Rainha'!G:G,'Folha Rainha'!B:B,BASE_DE_NOMES[[#This Row],[Nome]],'Folha Rainha'!F:F,"Salário Base")+SUMIFS('Folha Rainha'!G:G,'Folha Rainha'!B:B,BASE_DE_NOMES[[#This Row],[Nome]],'Folha Rainha'!F:F,"Salário:")</f>
        <v>1528</v>
      </c>
      <c r="H14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101.82</v>
      </c>
      <c r="I14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4" s="4">
        <f>BASE_DE_NOMES[[#This Row],[C.CHEQUE]]-BASE_DE_NOMES[[#This Row],[FALTAS]]-BASE_DE_NOMES[[#This Row],[DESCONTO ]]</f>
        <v>1426.18</v>
      </c>
      <c r="K14">
        <f>SUMIF(GRATIFICAÇÃO!A:A,BASE_DE_NOMES[[#This Row],[Nome]],GRATIFICAÇÃO!F:F)</f>
        <v>0</v>
      </c>
      <c r="L14">
        <f>SUMIF(PG!A:A,BASE_DE_NOMES[[#This Row],[Nome]],PG!E:E)</f>
        <v>0</v>
      </c>
      <c r="M14">
        <f>SUMIFS('Folha Rainha'!G:G,'Folha Rainha'!B:B,BASE_DE_NOMES[[#This Row],[Nome]],'Folha Rainha'!F:F,"*Quebra*",'Folha Rainha'!F:F,"*QUEBRA*")</f>
        <v>0</v>
      </c>
      <c r="N14">
        <f>SUMIFS('Folha Rainha'!G:G,'Folha Rainha'!B:B,BASE_DE_NOMES[[#This Row],[Nome]],'Folha Rainha'!F:F,"ADC. ANTIGUIDADE")</f>
        <v>0</v>
      </c>
      <c r="O14">
        <f>SUMIFS('Folha Rainha'!G:G,'Folha Rainha'!B:B,BASE_DE_NOMES[[#This Row],[Nome]],'Folha Rainha'!F:F,"*Trienio*")</f>
        <v>0</v>
      </c>
      <c r="P14">
        <f>SUMIFS('Folha Rainha'!G:G,'Folha Rainha'!B:B,BASE_DE_NOMES[[#This Row],[Nome]],'Folha Rainha'!F:F,"*TAXA*")</f>
        <v>23</v>
      </c>
      <c r="Q14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4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4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4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4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23</v>
      </c>
      <c r="V14">
        <f>BASE_DE_NOMES[[#This Row],[BOLSA DE AUXILIO]]+BASE_DE_NOMES[[#This Row],[VALE TRANSP]]+BASE_DE_NOMES[[#This Row],[PLANO DE SAUDE]]-BASE_DE_NOMES[[#This Row],[DESCONTOS]]</f>
        <v>-23</v>
      </c>
      <c r="W14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4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4" s="4">
        <f>BASE_DE_NOMES[[#This Row],[TOTAL DE C.CHEQUE]]+BASE_DE_NOMES[[#This Row],[TOTAL DE QUEBRA]]+BASE_DE_NOMES[[#This Row],[ADC. ANTIGUIDADE]]+BASE_DE_NOMES[[#This Row],[TOTAL DE TRIENIO]]+BASE_DE_NOMES[[#This Row],[CCT]]</f>
        <v>1426.18</v>
      </c>
      <c r="Z14">
        <f>BASE_DE_NOMES[[#This Row],[PAGAMENTOS]]+BASE_DE_NOMES[[#This Row],[GRATIFICAÇÃO]]</f>
        <v>0</v>
      </c>
      <c r="AA14" s="4">
        <f>_xlfn.XLOOKUP(BASE_DE_NOMES[[#This Row],[NOME2]],Planilha1!C:C,Planilha1!D:D)*Y14</f>
        <v>285.23600000000005</v>
      </c>
      <c r="AB14" s="4">
        <f>BASE_DE_NOMES[[#This Row],[IMPOSTOS]]+BASE_DE_NOMES[[#This Row],[SALARIO BASE]]+BASE_DE_NOMES[[#This Row],[FAMILIA]]</f>
        <v>1711.4160000000002</v>
      </c>
      <c r="AC14" t="str">
        <f>_xlfn.XLOOKUP(BASE_DE_NOMES[[#This Row],[Razão Social]],Planilha1!B:B,Planilha1!C:C)</f>
        <v>AVANTE</v>
      </c>
      <c r="AD14" t="str">
        <f>_xlfn.XLOOKUP(BASE_DE_NOMES[[#This Row],[Alocações]],Planilha1!B:B,Planilha1!C:C)</f>
        <v>AVANTE</v>
      </c>
    </row>
    <row r="15" spans="1:30" x14ac:dyDescent="0.25">
      <c r="A15" t="s">
        <v>465</v>
      </c>
      <c r="B15" t="s">
        <v>258</v>
      </c>
      <c r="C15" t="s">
        <v>556</v>
      </c>
      <c r="D15" t="s">
        <v>556</v>
      </c>
      <c r="E15" s="1">
        <f>IFERROR(_xlfn.XLOOKUP(BASE_DE_NOMES[[#This Row],[Nome]],'Folha Rainha'!B:B,'Folha Rainha'!D:D),0)</f>
        <v>45239</v>
      </c>
      <c r="F15" t="str">
        <f>IFERROR(_xlfn.XLOOKUP(BASE_DE_NOMES[[#This Row],[Nome]],'Folha Rainha'!B:B,'Folha Rainha'!E:E)," ")</f>
        <v>Trabalhando</v>
      </c>
      <c r="G15" s="4">
        <f>SUMIFS('Folha Rainha'!G:G,'Folha Rainha'!B:B,BASE_DE_NOMES[[#This Row],[Nome]],'Folha Rainha'!F:F,"Salário Base")+SUMIFS('Folha Rainha'!G:G,'Folha Rainha'!B:B,BASE_DE_NOMES[[#This Row],[Nome]],'Folha Rainha'!F:F,"Salário:")</f>
        <v>1660</v>
      </c>
      <c r="H15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5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5" s="4">
        <f>BASE_DE_NOMES[[#This Row],[C.CHEQUE]]-BASE_DE_NOMES[[#This Row],[FALTAS]]-BASE_DE_NOMES[[#This Row],[DESCONTO ]]</f>
        <v>1660</v>
      </c>
      <c r="K15">
        <f>SUMIF(GRATIFICAÇÃO!A:A,BASE_DE_NOMES[[#This Row],[Nome]],GRATIFICAÇÃO!F:F)</f>
        <v>0</v>
      </c>
      <c r="L15">
        <f>SUMIF(PG!A:A,BASE_DE_NOMES[[#This Row],[Nome]],PG!E:E)</f>
        <v>0</v>
      </c>
      <c r="M15">
        <f>SUMIFS('Folha Rainha'!G:G,'Folha Rainha'!B:B,BASE_DE_NOMES[[#This Row],[Nome]],'Folha Rainha'!F:F,"*Quebra*",'Folha Rainha'!F:F,"*QUEBRA*")</f>
        <v>0</v>
      </c>
      <c r="N15">
        <f>SUMIFS('Folha Rainha'!G:G,'Folha Rainha'!B:B,BASE_DE_NOMES[[#This Row],[Nome]],'Folha Rainha'!F:F,"ADC. ANTIGUIDADE")</f>
        <v>0</v>
      </c>
      <c r="O15">
        <f>SUMIFS('Folha Rainha'!G:G,'Folha Rainha'!B:B,BASE_DE_NOMES[[#This Row],[Nome]],'Folha Rainha'!F:F,"*Trienio*")</f>
        <v>0</v>
      </c>
      <c r="P15">
        <f>SUMIFS('Folha Rainha'!G:G,'Folha Rainha'!B:B,BASE_DE_NOMES[[#This Row],[Nome]],'Folha Rainha'!F:F,"*TAXA*")</f>
        <v>0</v>
      </c>
      <c r="Q15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5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5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99.6</v>
      </c>
      <c r="T15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5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5">
        <f>BASE_DE_NOMES[[#This Row],[BOLSA DE AUXILIO]]+BASE_DE_NOMES[[#This Row],[VALE TRANSP]]+BASE_DE_NOMES[[#This Row],[PLANO DE SAUDE]]-BASE_DE_NOMES[[#This Row],[DESCONTOS]]</f>
        <v>99.6</v>
      </c>
      <c r="W15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5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5" s="4">
        <f>BASE_DE_NOMES[[#This Row],[TOTAL DE C.CHEQUE]]+BASE_DE_NOMES[[#This Row],[TOTAL DE QUEBRA]]+BASE_DE_NOMES[[#This Row],[ADC. ANTIGUIDADE]]+BASE_DE_NOMES[[#This Row],[TOTAL DE TRIENIO]]+BASE_DE_NOMES[[#This Row],[CCT]]</f>
        <v>1660</v>
      </c>
      <c r="Z15">
        <f>BASE_DE_NOMES[[#This Row],[PAGAMENTOS]]+BASE_DE_NOMES[[#This Row],[GRATIFICAÇÃO]]</f>
        <v>0</v>
      </c>
      <c r="AA15" s="4">
        <f>_xlfn.XLOOKUP(BASE_DE_NOMES[[#This Row],[NOME2]],Planilha1!C:C,Planilha1!D:D)*Y15</f>
        <v>835.47799999999995</v>
      </c>
      <c r="AB15" s="4">
        <f>BASE_DE_NOMES[[#This Row],[IMPOSTOS]]+BASE_DE_NOMES[[#This Row],[SALARIO BASE]]+BASE_DE_NOMES[[#This Row],[FAMILIA]]</f>
        <v>2495.4780000000001</v>
      </c>
      <c r="AC15" t="str">
        <f>_xlfn.XLOOKUP(BASE_DE_NOMES[[#This Row],[Razão Social]],Planilha1!B:B,Planilha1!C:C)</f>
        <v>SR PASSOS</v>
      </c>
      <c r="AD15" t="str">
        <f>_xlfn.XLOOKUP(BASE_DE_NOMES[[#This Row],[Alocações]],Planilha1!B:B,Planilha1!C:C)</f>
        <v>SR PASSOS</v>
      </c>
    </row>
    <row r="16" spans="1:30" x14ac:dyDescent="0.25">
      <c r="A16" t="s">
        <v>585</v>
      </c>
      <c r="B16" t="s">
        <v>213</v>
      </c>
      <c r="C16" t="s">
        <v>252</v>
      </c>
      <c r="D16" t="s">
        <v>252</v>
      </c>
      <c r="E16" s="1">
        <f>IFERROR(_xlfn.XLOOKUP(BASE_DE_NOMES[[#This Row],[Nome]],'Folha Rainha'!B:B,'Folha Rainha'!D:D),0)</f>
        <v>45731</v>
      </c>
      <c r="F16" t="str">
        <f>IFERROR(_xlfn.XLOOKUP(BASE_DE_NOMES[[#This Row],[Nome]],'Folha Rainha'!B:B,'Folha Rainha'!E:E)," ")</f>
        <v>Trabalhando</v>
      </c>
      <c r="G16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16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6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6" s="4">
        <f>BASE_DE_NOMES[[#This Row],[C.CHEQUE]]-BASE_DE_NOMES[[#This Row],[FALTAS]]-BASE_DE_NOMES[[#This Row],[DESCONTO ]]</f>
        <v>1518</v>
      </c>
      <c r="K16">
        <f>SUMIF(GRATIFICAÇÃO!A:A,BASE_DE_NOMES[[#This Row],[Nome]],GRATIFICAÇÃO!F:F)</f>
        <v>0</v>
      </c>
      <c r="L16">
        <f>SUMIF(PG!A:A,BASE_DE_NOMES[[#This Row],[Nome]],PG!E:E)</f>
        <v>0</v>
      </c>
      <c r="M16">
        <f>SUMIFS('Folha Rainha'!G:G,'Folha Rainha'!B:B,BASE_DE_NOMES[[#This Row],[Nome]],'Folha Rainha'!F:F,"*Quebra*",'Folha Rainha'!F:F,"*QUEBRA*")</f>
        <v>0</v>
      </c>
      <c r="N16">
        <f>SUMIFS('Folha Rainha'!G:G,'Folha Rainha'!B:B,BASE_DE_NOMES[[#This Row],[Nome]],'Folha Rainha'!F:F,"ADC. ANTIGUIDADE")</f>
        <v>0</v>
      </c>
      <c r="O16">
        <f>SUMIFS('Folha Rainha'!G:G,'Folha Rainha'!B:B,BASE_DE_NOMES[[#This Row],[Nome]],'Folha Rainha'!F:F,"*Trienio*")</f>
        <v>0</v>
      </c>
      <c r="P16">
        <f>SUMIFS('Folha Rainha'!G:G,'Folha Rainha'!B:B,BASE_DE_NOMES[[#This Row],[Nome]],'Folha Rainha'!F:F,"*TAXA*")</f>
        <v>0</v>
      </c>
      <c r="Q16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6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6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6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6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6">
        <f>BASE_DE_NOMES[[#This Row],[BOLSA DE AUXILIO]]+BASE_DE_NOMES[[#This Row],[VALE TRANSP]]+BASE_DE_NOMES[[#This Row],[PLANO DE SAUDE]]-BASE_DE_NOMES[[#This Row],[DESCONTOS]]</f>
        <v>0</v>
      </c>
      <c r="W16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6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6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16">
        <f>BASE_DE_NOMES[[#This Row],[PAGAMENTOS]]+BASE_DE_NOMES[[#This Row],[GRATIFICAÇÃO]]</f>
        <v>0</v>
      </c>
      <c r="AA16" s="4">
        <f>_xlfn.XLOOKUP(BASE_DE_NOMES[[#This Row],[NOME2]],Planilha1!C:C,Planilha1!D:D)*Y16</f>
        <v>764.00939999999991</v>
      </c>
      <c r="AB16" s="4">
        <f>BASE_DE_NOMES[[#This Row],[IMPOSTOS]]+BASE_DE_NOMES[[#This Row],[SALARIO BASE]]+BASE_DE_NOMES[[#This Row],[FAMILIA]]</f>
        <v>2282.0093999999999</v>
      </c>
      <c r="AC16" t="str">
        <f>_xlfn.XLOOKUP(BASE_DE_NOMES[[#This Row],[Razão Social]],Planilha1!B:B,Planilha1!C:C)</f>
        <v>FABRICA</v>
      </c>
      <c r="AD16" t="str">
        <f>_xlfn.XLOOKUP(BASE_DE_NOMES[[#This Row],[Alocações]],Planilha1!B:B,Planilha1!C:C)</f>
        <v>FABRICA</v>
      </c>
    </row>
    <row r="17" spans="1:30" x14ac:dyDescent="0.25">
      <c r="A17" t="s">
        <v>533</v>
      </c>
      <c r="B17" t="s">
        <v>213</v>
      </c>
      <c r="C17" t="s">
        <v>252</v>
      </c>
      <c r="D17" t="s">
        <v>252</v>
      </c>
      <c r="E17" s="1">
        <f>IFERROR(_xlfn.XLOOKUP(BASE_DE_NOMES[[#This Row],[Nome]],'Folha Rainha'!B:B,'Folha Rainha'!D:D),0)</f>
        <v>45390</v>
      </c>
      <c r="F17" t="str">
        <f>IFERROR(_xlfn.XLOOKUP(BASE_DE_NOMES[[#This Row],[Nome]],'Folha Rainha'!B:B,'Folha Rainha'!E:E)," ")</f>
        <v>Trabalhando</v>
      </c>
      <c r="G17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17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7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7" s="4">
        <f>BASE_DE_NOMES[[#This Row],[C.CHEQUE]]-BASE_DE_NOMES[[#This Row],[FALTAS]]-BASE_DE_NOMES[[#This Row],[DESCONTO ]]</f>
        <v>1518</v>
      </c>
      <c r="K17">
        <f>SUMIF(GRATIFICAÇÃO!A:A,BASE_DE_NOMES[[#This Row],[Nome]],GRATIFICAÇÃO!F:F)</f>
        <v>0</v>
      </c>
      <c r="L17">
        <f>SUMIF(PG!A:A,BASE_DE_NOMES[[#This Row],[Nome]],PG!E:E)</f>
        <v>0</v>
      </c>
      <c r="M17">
        <f>SUMIFS('Folha Rainha'!G:G,'Folha Rainha'!B:B,BASE_DE_NOMES[[#This Row],[Nome]],'Folha Rainha'!F:F,"*Quebra*",'Folha Rainha'!F:F,"*QUEBRA*")</f>
        <v>0</v>
      </c>
      <c r="N17">
        <f>SUMIFS('Folha Rainha'!G:G,'Folha Rainha'!B:B,BASE_DE_NOMES[[#This Row],[Nome]],'Folha Rainha'!F:F,"ADC. ANTIGUIDADE")</f>
        <v>0</v>
      </c>
      <c r="O17">
        <f>SUMIFS('Folha Rainha'!G:G,'Folha Rainha'!B:B,BASE_DE_NOMES[[#This Row],[Nome]],'Folha Rainha'!F:F,"*Trienio*")</f>
        <v>0</v>
      </c>
      <c r="P17">
        <f>SUMIFS('Folha Rainha'!G:G,'Folha Rainha'!B:B,BASE_DE_NOMES[[#This Row],[Nome]],'Folha Rainha'!F:F,"*TAXA*")</f>
        <v>0</v>
      </c>
      <c r="Q17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7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7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7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7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7">
        <f>BASE_DE_NOMES[[#This Row],[BOLSA DE AUXILIO]]+BASE_DE_NOMES[[#This Row],[VALE TRANSP]]+BASE_DE_NOMES[[#This Row],[PLANO DE SAUDE]]-BASE_DE_NOMES[[#This Row],[DESCONTOS]]</f>
        <v>0</v>
      </c>
      <c r="W17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7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7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17">
        <f>BASE_DE_NOMES[[#This Row],[PAGAMENTOS]]+BASE_DE_NOMES[[#This Row],[GRATIFICAÇÃO]]</f>
        <v>0</v>
      </c>
      <c r="AA17" s="4">
        <f>_xlfn.XLOOKUP(BASE_DE_NOMES[[#This Row],[NOME2]],Planilha1!C:C,Planilha1!D:D)*Y17</f>
        <v>764.00939999999991</v>
      </c>
      <c r="AB17" s="4">
        <f>BASE_DE_NOMES[[#This Row],[IMPOSTOS]]+BASE_DE_NOMES[[#This Row],[SALARIO BASE]]+BASE_DE_NOMES[[#This Row],[FAMILIA]]</f>
        <v>2282.0093999999999</v>
      </c>
      <c r="AC17" t="str">
        <f>_xlfn.XLOOKUP(BASE_DE_NOMES[[#This Row],[Razão Social]],Planilha1!B:B,Planilha1!C:C)</f>
        <v>FABRICA</v>
      </c>
      <c r="AD17" t="str">
        <f>_xlfn.XLOOKUP(BASE_DE_NOMES[[#This Row],[Alocações]],Planilha1!B:B,Planilha1!C:C)</f>
        <v>FABRICA</v>
      </c>
    </row>
    <row r="18" spans="1:30" x14ac:dyDescent="0.25">
      <c r="A18" t="s">
        <v>649</v>
      </c>
      <c r="B18" t="s">
        <v>213</v>
      </c>
      <c r="C18" t="s">
        <v>252</v>
      </c>
      <c r="D18" t="s">
        <v>252</v>
      </c>
      <c r="E18" s="1">
        <f>IFERROR(_xlfn.XLOOKUP(BASE_DE_NOMES[[#This Row],[Nome]],'Folha Rainha'!B:B,'Folha Rainha'!D:D),0)</f>
        <v>0</v>
      </c>
      <c r="F18" t="str">
        <f>IFERROR(_xlfn.XLOOKUP(BASE_DE_NOMES[[#This Row],[Nome]],'Folha Rainha'!B:B,'Folha Rainha'!E:E)," ")</f>
        <v xml:space="preserve"> </v>
      </c>
      <c r="G18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8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8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8" s="4">
        <f>BASE_DE_NOMES[[#This Row],[C.CHEQUE]]-BASE_DE_NOMES[[#This Row],[FALTAS]]-BASE_DE_NOMES[[#This Row],[DESCONTO ]]</f>
        <v>0</v>
      </c>
      <c r="K18">
        <f>SUMIF(GRATIFICAÇÃO!A:A,BASE_DE_NOMES[[#This Row],[Nome]],GRATIFICAÇÃO!F:F)</f>
        <v>0</v>
      </c>
      <c r="L18">
        <f>SUMIF(PG!A:A,BASE_DE_NOMES[[#This Row],[Nome]],PG!E:E)</f>
        <v>0</v>
      </c>
      <c r="M18">
        <f>SUMIFS('Folha Rainha'!G:G,'Folha Rainha'!B:B,BASE_DE_NOMES[[#This Row],[Nome]],'Folha Rainha'!F:F,"*Quebra*",'Folha Rainha'!F:F,"*QUEBRA*")</f>
        <v>0</v>
      </c>
      <c r="N18">
        <f>SUMIFS('Folha Rainha'!G:G,'Folha Rainha'!B:B,BASE_DE_NOMES[[#This Row],[Nome]],'Folha Rainha'!F:F,"ADC. ANTIGUIDADE")</f>
        <v>0</v>
      </c>
      <c r="O18">
        <f>SUMIFS('Folha Rainha'!G:G,'Folha Rainha'!B:B,BASE_DE_NOMES[[#This Row],[Nome]],'Folha Rainha'!F:F,"*Trienio*")</f>
        <v>0</v>
      </c>
      <c r="P18">
        <f>SUMIFS('Folha Rainha'!G:G,'Folha Rainha'!B:B,BASE_DE_NOMES[[#This Row],[Nome]],'Folha Rainha'!F:F,"*TAXA*")</f>
        <v>0</v>
      </c>
      <c r="Q18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8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8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8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8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8">
        <f>BASE_DE_NOMES[[#This Row],[BOLSA DE AUXILIO]]+BASE_DE_NOMES[[#This Row],[VALE TRANSP]]+BASE_DE_NOMES[[#This Row],[PLANO DE SAUDE]]-BASE_DE_NOMES[[#This Row],[DESCONTOS]]</f>
        <v>0</v>
      </c>
      <c r="W18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8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8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8">
        <f>BASE_DE_NOMES[[#This Row],[PAGAMENTOS]]+BASE_DE_NOMES[[#This Row],[GRATIFICAÇÃO]]</f>
        <v>0</v>
      </c>
      <c r="AA18" s="4">
        <f>_xlfn.XLOOKUP(BASE_DE_NOMES[[#This Row],[NOME2]],Planilha1!C:C,Planilha1!D:D)*Y18</f>
        <v>0</v>
      </c>
      <c r="AB18" s="4">
        <f>BASE_DE_NOMES[[#This Row],[IMPOSTOS]]+BASE_DE_NOMES[[#This Row],[SALARIO BASE]]+BASE_DE_NOMES[[#This Row],[FAMILIA]]</f>
        <v>0</v>
      </c>
      <c r="AC18" t="str">
        <f>_xlfn.XLOOKUP(BASE_DE_NOMES[[#This Row],[Razão Social]],Planilha1!B:B,Planilha1!C:C)</f>
        <v>FABRICA</v>
      </c>
      <c r="AD18" t="str">
        <f>_xlfn.XLOOKUP(BASE_DE_NOMES[[#This Row],[Alocações]],Planilha1!B:B,Planilha1!C:C)</f>
        <v>FABRICA</v>
      </c>
    </row>
    <row r="19" spans="1:30" x14ac:dyDescent="0.25">
      <c r="A19" t="s">
        <v>650</v>
      </c>
      <c r="B19" t="s">
        <v>651</v>
      </c>
      <c r="C19" t="s">
        <v>542</v>
      </c>
      <c r="D19" t="s">
        <v>542</v>
      </c>
      <c r="E19" s="1">
        <f>IFERROR(_xlfn.XLOOKUP(BASE_DE_NOMES[[#This Row],[Nome]],'Folha Rainha'!B:B,'Folha Rainha'!D:D),0)</f>
        <v>0</v>
      </c>
      <c r="F19" t="str">
        <f>IFERROR(_xlfn.XLOOKUP(BASE_DE_NOMES[[#This Row],[Nome]],'Folha Rainha'!B:B,'Folha Rainha'!E:E)," ")</f>
        <v xml:space="preserve"> </v>
      </c>
      <c r="G19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9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9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9" s="4">
        <f>BASE_DE_NOMES[[#This Row],[C.CHEQUE]]-BASE_DE_NOMES[[#This Row],[FALTAS]]-BASE_DE_NOMES[[#This Row],[DESCONTO ]]</f>
        <v>0</v>
      </c>
      <c r="K19">
        <f>SUMIF(GRATIFICAÇÃO!A:A,BASE_DE_NOMES[[#This Row],[Nome]],GRATIFICAÇÃO!F:F)</f>
        <v>0</v>
      </c>
      <c r="L19">
        <f>SUMIF(PG!A:A,BASE_DE_NOMES[[#This Row],[Nome]],PG!E:E)</f>
        <v>0</v>
      </c>
      <c r="M19">
        <f>SUMIFS('Folha Rainha'!G:G,'Folha Rainha'!B:B,BASE_DE_NOMES[[#This Row],[Nome]],'Folha Rainha'!F:F,"*Quebra*",'Folha Rainha'!F:F,"*QUEBRA*")</f>
        <v>0</v>
      </c>
      <c r="N19">
        <f>SUMIFS('Folha Rainha'!G:G,'Folha Rainha'!B:B,BASE_DE_NOMES[[#This Row],[Nome]],'Folha Rainha'!F:F,"ADC. ANTIGUIDADE")</f>
        <v>0</v>
      </c>
      <c r="O19">
        <f>SUMIFS('Folha Rainha'!G:G,'Folha Rainha'!B:B,BASE_DE_NOMES[[#This Row],[Nome]],'Folha Rainha'!F:F,"*Trienio*")</f>
        <v>0</v>
      </c>
      <c r="P19">
        <f>SUMIFS('Folha Rainha'!G:G,'Folha Rainha'!B:B,BASE_DE_NOMES[[#This Row],[Nome]],'Folha Rainha'!F:F,"*TAXA*")</f>
        <v>0</v>
      </c>
      <c r="Q19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9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9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9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9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9">
        <f>BASE_DE_NOMES[[#This Row],[BOLSA DE AUXILIO]]+BASE_DE_NOMES[[#This Row],[VALE TRANSP]]+BASE_DE_NOMES[[#This Row],[PLANO DE SAUDE]]-BASE_DE_NOMES[[#This Row],[DESCONTOS]]</f>
        <v>0</v>
      </c>
      <c r="W19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9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9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9">
        <f>BASE_DE_NOMES[[#This Row],[PAGAMENTOS]]+BASE_DE_NOMES[[#This Row],[GRATIFICAÇÃO]]</f>
        <v>0</v>
      </c>
      <c r="AA19" s="4">
        <f>_xlfn.XLOOKUP(BASE_DE_NOMES[[#This Row],[NOME2]],Planilha1!C:C,Planilha1!D:D)*Y19</f>
        <v>0</v>
      </c>
      <c r="AB19" s="4">
        <f>BASE_DE_NOMES[[#This Row],[IMPOSTOS]]+BASE_DE_NOMES[[#This Row],[SALARIO BASE]]+BASE_DE_NOMES[[#This Row],[FAMILIA]]</f>
        <v>0</v>
      </c>
      <c r="AC19" t="str">
        <f>_xlfn.XLOOKUP(BASE_DE_NOMES[[#This Row],[Razão Social]],Planilha1!B:B,Planilha1!C:C)</f>
        <v xml:space="preserve">30 K </v>
      </c>
      <c r="AD19" t="str">
        <f>_xlfn.XLOOKUP(BASE_DE_NOMES[[#This Row],[Alocações]],Planilha1!B:B,Planilha1!C:C)</f>
        <v xml:space="preserve">30 K </v>
      </c>
    </row>
    <row r="20" spans="1:30" x14ac:dyDescent="0.25">
      <c r="A20" t="s">
        <v>652</v>
      </c>
      <c r="B20" t="s">
        <v>593</v>
      </c>
      <c r="C20" t="s">
        <v>280</v>
      </c>
      <c r="D20" t="s">
        <v>225</v>
      </c>
      <c r="E20" s="1">
        <f>IFERROR(_xlfn.XLOOKUP(BASE_DE_NOMES[[#This Row],[Nome]],'Folha Rainha'!B:B,'Folha Rainha'!D:D),0)</f>
        <v>0</v>
      </c>
      <c r="F20" t="str">
        <f>IFERROR(_xlfn.XLOOKUP(BASE_DE_NOMES[[#This Row],[Nome]],'Folha Rainha'!B:B,'Folha Rainha'!E:E)," ")</f>
        <v xml:space="preserve"> </v>
      </c>
      <c r="G20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20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20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20" s="4">
        <f>BASE_DE_NOMES[[#This Row],[C.CHEQUE]]-BASE_DE_NOMES[[#This Row],[FALTAS]]-BASE_DE_NOMES[[#This Row],[DESCONTO ]]</f>
        <v>0</v>
      </c>
      <c r="K20">
        <f>SUMIF(GRATIFICAÇÃO!A:A,BASE_DE_NOMES[[#This Row],[Nome]],GRATIFICAÇÃO!F:F)</f>
        <v>0</v>
      </c>
      <c r="L20">
        <f>SUMIF(PG!A:A,BASE_DE_NOMES[[#This Row],[Nome]],PG!E:E)</f>
        <v>0</v>
      </c>
      <c r="M20">
        <f>SUMIFS('Folha Rainha'!G:G,'Folha Rainha'!B:B,BASE_DE_NOMES[[#This Row],[Nome]],'Folha Rainha'!F:F,"*Quebra*",'Folha Rainha'!F:F,"*QUEBRA*")</f>
        <v>0</v>
      </c>
      <c r="N20">
        <f>SUMIFS('Folha Rainha'!G:G,'Folha Rainha'!B:B,BASE_DE_NOMES[[#This Row],[Nome]],'Folha Rainha'!F:F,"ADC. ANTIGUIDADE")</f>
        <v>0</v>
      </c>
      <c r="O20">
        <f>SUMIFS('Folha Rainha'!G:G,'Folha Rainha'!B:B,BASE_DE_NOMES[[#This Row],[Nome]],'Folha Rainha'!F:F,"*Trienio*")</f>
        <v>0</v>
      </c>
      <c r="P20">
        <f>SUMIFS('Folha Rainha'!G:G,'Folha Rainha'!B:B,BASE_DE_NOMES[[#This Row],[Nome]],'Folha Rainha'!F:F,"*TAXA*")</f>
        <v>0</v>
      </c>
      <c r="Q20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20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20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20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20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20">
        <f>BASE_DE_NOMES[[#This Row],[BOLSA DE AUXILIO]]+BASE_DE_NOMES[[#This Row],[VALE TRANSP]]+BASE_DE_NOMES[[#This Row],[PLANO DE SAUDE]]-BASE_DE_NOMES[[#This Row],[DESCONTOS]]</f>
        <v>0</v>
      </c>
      <c r="W20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20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20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20">
        <f>BASE_DE_NOMES[[#This Row],[PAGAMENTOS]]+BASE_DE_NOMES[[#This Row],[GRATIFICAÇÃO]]</f>
        <v>0</v>
      </c>
      <c r="AA20" s="4">
        <f>_xlfn.XLOOKUP(BASE_DE_NOMES[[#This Row],[NOME2]],Planilha1!C:C,Planilha1!D:D)*Y20</f>
        <v>0</v>
      </c>
      <c r="AB20" s="4">
        <f>BASE_DE_NOMES[[#This Row],[IMPOSTOS]]+BASE_DE_NOMES[[#This Row],[SALARIO BASE]]+BASE_DE_NOMES[[#This Row],[FAMILIA]]</f>
        <v>0</v>
      </c>
      <c r="AC20" t="str">
        <f>_xlfn.XLOOKUP(BASE_DE_NOMES[[#This Row],[Razão Social]],Planilha1!B:B,Planilha1!C:C)</f>
        <v>MAISON</v>
      </c>
      <c r="AD20" t="str">
        <f>_xlfn.XLOOKUP(BASE_DE_NOMES[[#This Row],[Alocações]],Planilha1!B:B,Planilha1!C:C)</f>
        <v>ESCRITORIO</v>
      </c>
    </row>
    <row r="21" spans="1:30" x14ac:dyDescent="0.25">
      <c r="A21" t="s">
        <v>653</v>
      </c>
      <c r="B21" t="s">
        <v>212</v>
      </c>
      <c r="C21" t="s">
        <v>224</v>
      </c>
      <c r="D21" t="s">
        <v>224</v>
      </c>
      <c r="E21" s="1">
        <f>IFERROR(_xlfn.XLOOKUP(BASE_DE_NOMES[[#This Row],[Nome]],'Folha Rainha'!B:B,'Folha Rainha'!D:D),0)</f>
        <v>0</v>
      </c>
      <c r="F21" t="str">
        <f>IFERROR(_xlfn.XLOOKUP(BASE_DE_NOMES[[#This Row],[Nome]],'Folha Rainha'!B:B,'Folha Rainha'!E:E)," ")</f>
        <v xml:space="preserve"> </v>
      </c>
      <c r="G21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21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21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21" s="4">
        <f>BASE_DE_NOMES[[#This Row],[C.CHEQUE]]-BASE_DE_NOMES[[#This Row],[FALTAS]]-BASE_DE_NOMES[[#This Row],[DESCONTO ]]</f>
        <v>0</v>
      </c>
      <c r="K21">
        <f>SUMIF(GRATIFICAÇÃO!A:A,BASE_DE_NOMES[[#This Row],[Nome]],GRATIFICAÇÃO!F:F)</f>
        <v>0</v>
      </c>
      <c r="L21">
        <f>SUMIF(PG!A:A,BASE_DE_NOMES[[#This Row],[Nome]],PG!E:E)</f>
        <v>0</v>
      </c>
      <c r="M21">
        <f>SUMIFS('Folha Rainha'!G:G,'Folha Rainha'!B:B,BASE_DE_NOMES[[#This Row],[Nome]],'Folha Rainha'!F:F,"*Quebra*",'Folha Rainha'!F:F,"*QUEBRA*")</f>
        <v>0</v>
      </c>
      <c r="N21">
        <f>SUMIFS('Folha Rainha'!G:G,'Folha Rainha'!B:B,BASE_DE_NOMES[[#This Row],[Nome]],'Folha Rainha'!F:F,"ADC. ANTIGUIDADE")</f>
        <v>0</v>
      </c>
      <c r="O21">
        <f>SUMIFS('Folha Rainha'!G:G,'Folha Rainha'!B:B,BASE_DE_NOMES[[#This Row],[Nome]],'Folha Rainha'!F:F,"*Trienio*")</f>
        <v>0</v>
      </c>
      <c r="P21">
        <f>SUMIFS('Folha Rainha'!G:G,'Folha Rainha'!B:B,BASE_DE_NOMES[[#This Row],[Nome]],'Folha Rainha'!F:F,"*TAXA*")</f>
        <v>0</v>
      </c>
      <c r="Q21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21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21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21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21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21">
        <f>BASE_DE_NOMES[[#This Row],[BOLSA DE AUXILIO]]+BASE_DE_NOMES[[#This Row],[VALE TRANSP]]+BASE_DE_NOMES[[#This Row],[PLANO DE SAUDE]]-BASE_DE_NOMES[[#This Row],[DESCONTOS]]</f>
        <v>0</v>
      </c>
      <c r="W21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21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21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21">
        <f>BASE_DE_NOMES[[#This Row],[PAGAMENTOS]]+BASE_DE_NOMES[[#This Row],[GRATIFICAÇÃO]]</f>
        <v>0</v>
      </c>
      <c r="AA21" s="4">
        <f>_xlfn.XLOOKUP(BASE_DE_NOMES[[#This Row],[NOME2]],Planilha1!C:C,Planilha1!D:D)*Y21</f>
        <v>0</v>
      </c>
      <c r="AB21" s="4">
        <f>BASE_DE_NOMES[[#This Row],[IMPOSTOS]]+BASE_DE_NOMES[[#This Row],[SALARIO BASE]]+BASE_DE_NOMES[[#This Row],[FAMILIA]]</f>
        <v>0</v>
      </c>
      <c r="AC21" t="str">
        <f>_xlfn.XLOOKUP(BASE_DE_NOMES[[#This Row],[Razão Social]],Planilha1!B:B,Planilha1!C:C)</f>
        <v>AVANTE</v>
      </c>
      <c r="AD21" t="str">
        <f>_xlfn.XLOOKUP(BASE_DE_NOMES[[#This Row],[Alocações]],Planilha1!B:B,Planilha1!C:C)</f>
        <v>AVANTE</v>
      </c>
    </row>
    <row r="22" spans="1:30" x14ac:dyDescent="0.25">
      <c r="A22" t="s">
        <v>359</v>
      </c>
      <c r="B22" t="s">
        <v>213</v>
      </c>
      <c r="C22" t="s">
        <v>326</v>
      </c>
      <c r="D22" t="s">
        <v>252</v>
      </c>
      <c r="E22" s="1">
        <f>IFERROR(_xlfn.XLOOKUP(BASE_DE_NOMES[[#This Row],[Nome]],'Folha Rainha'!B:B,'Folha Rainha'!D:D),0)</f>
        <v>45110</v>
      </c>
      <c r="F22" t="str">
        <f>IFERROR(_xlfn.XLOOKUP(BASE_DE_NOMES[[#This Row],[Nome]],'Folha Rainha'!B:B,'Folha Rainha'!E:E)," ")</f>
        <v>Trabalhando</v>
      </c>
      <c r="G22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22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22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22" s="4">
        <f>BASE_DE_NOMES[[#This Row],[C.CHEQUE]]-BASE_DE_NOMES[[#This Row],[FALTAS]]-BASE_DE_NOMES[[#This Row],[DESCONTO ]]</f>
        <v>1518</v>
      </c>
      <c r="K22">
        <f>SUMIF(GRATIFICAÇÃO!A:A,BASE_DE_NOMES[[#This Row],[Nome]],GRATIFICAÇÃO!F:F)</f>
        <v>0</v>
      </c>
      <c r="L22">
        <f>SUMIF(PG!A:A,BASE_DE_NOMES[[#This Row],[Nome]],PG!E:E)</f>
        <v>0</v>
      </c>
      <c r="M22">
        <f>SUMIFS('Folha Rainha'!G:G,'Folha Rainha'!B:B,BASE_DE_NOMES[[#This Row],[Nome]],'Folha Rainha'!F:F,"*Quebra*",'Folha Rainha'!F:F,"*QUEBRA*")</f>
        <v>0</v>
      </c>
      <c r="N22">
        <f>SUMIFS('Folha Rainha'!G:G,'Folha Rainha'!B:B,BASE_DE_NOMES[[#This Row],[Nome]],'Folha Rainha'!F:F,"ADC. ANTIGUIDADE")</f>
        <v>0</v>
      </c>
      <c r="O22">
        <f>SUMIFS('Folha Rainha'!G:G,'Folha Rainha'!B:B,BASE_DE_NOMES[[#This Row],[Nome]],'Folha Rainha'!F:F,"*Trienio*")</f>
        <v>0</v>
      </c>
      <c r="P22">
        <f>SUMIFS('Folha Rainha'!G:G,'Folha Rainha'!B:B,BASE_DE_NOMES[[#This Row],[Nome]],'Folha Rainha'!F:F,"*TAXA*")</f>
        <v>0</v>
      </c>
      <c r="Q22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22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22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22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22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22">
        <f>BASE_DE_NOMES[[#This Row],[BOLSA DE AUXILIO]]+BASE_DE_NOMES[[#This Row],[VALE TRANSP]]+BASE_DE_NOMES[[#This Row],[PLANO DE SAUDE]]-BASE_DE_NOMES[[#This Row],[DESCONTOS]]</f>
        <v>0</v>
      </c>
      <c r="W22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22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22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22">
        <f>BASE_DE_NOMES[[#This Row],[PAGAMENTOS]]+BASE_DE_NOMES[[#This Row],[GRATIFICAÇÃO]]</f>
        <v>0</v>
      </c>
      <c r="AA22" s="4">
        <f>_xlfn.XLOOKUP(BASE_DE_NOMES[[#This Row],[NOME2]],Planilha1!C:C,Planilha1!D:D)*Y22</f>
        <v>303.60000000000002</v>
      </c>
      <c r="AB22" s="4">
        <f>BASE_DE_NOMES[[#This Row],[IMPOSTOS]]+BASE_DE_NOMES[[#This Row],[SALARIO BASE]]+BASE_DE_NOMES[[#This Row],[FAMILIA]]</f>
        <v>1821.6</v>
      </c>
      <c r="AC22" t="str">
        <f>_xlfn.XLOOKUP(BASE_DE_NOMES[[#This Row],[Razão Social]],Planilha1!B:B,Planilha1!C:C)</f>
        <v>VALE XEL</v>
      </c>
      <c r="AD22" t="str">
        <f>_xlfn.XLOOKUP(BASE_DE_NOMES[[#This Row],[Alocações]],Planilha1!B:B,Planilha1!C:C)</f>
        <v>FABRICA</v>
      </c>
    </row>
    <row r="23" spans="1:30" x14ac:dyDescent="0.25">
      <c r="A23" t="s">
        <v>654</v>
      </c>
      <c r="B23" t="s">
        <v>56</v>
      </c>
      <c r="C23" t="s">
        <v>228</v>
      </c>
      <c r="D23" t="s">
        <v>253</v>
      </c>
      <c r="E23" s="1">
        <f>IFERROR(_xlfn.XLOOKUP(BASE_DE_NOMES[[#This Row],[Nome]],'Folha Rainha'!B:B,'Folha Rainha'!D:D),0)</f>
        <v>0</v>
      </c>
      <c r="F23" t="str">
        <f>IFERROR(_xlfn.XLOOKUP(BASE_DE_NOMES[[#This Row],[Nome]],'Folha Rainha'!B:B,'Folha Rainha'!E:E)," ")</f>
        <v xml:space="preserve"> </v>
      </c>
      <c r="G23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23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23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23" s="4">
        <f>BASE_DE_NOMES[[#This Row],[C.CHEQUE]]-BASE_DE_NOMES[[#This Row],[FALTAS]]-BASE_DE_NOMES[[#This Row],[DESCONTO ]]</f>
        <v>0</v>
      </c>
      <c r="K23">
        <f>SUMIF(GRATIFICAÇÃO!A:A,BASE_DE_NOMES[[#This Row],[Nome]],GRATIFICAÇÃO!F:F)</f>
        <v>0</v>
      </c>
      <c r="L23">
        <f>SUMIF(PG!A:A,BASE_DE_NOMES[[#This Row],[Nome]],PG!E:E)</f>
        <v>0</v>
      </c>
      <c r="M23">
        <f>SUMIFS('Folha Rainha'!G:G,'Folha Rainha'!B:B,BASE_DE_NOMES[[#This Row],[Nome]],'Folha Rainha'!F:F,"*Quebra*",'Folha Rainha'!F:F,"*QUEBRA*")</f>
        <v>0</v>
      </c>
      <c r="N23">
        <f>SUMIFS('Folha Rainha'!G:G,'Folha Rainha'!B:B,BASE_DE_NOMES[[#This Row],[Nome]],'Folha Rainha'!F:F,"ADC. ANTIGUIDADE")</f>
        <v>0</v>
      </c>
      <c r="O23">
        <f>SUMIFS('Folha Rainha'!G:G,'Folha Rainha'!B:B,BASE_DE_NOMES[[#This Row],[Nome]],'Folha Rainha'!F:F,"*Trienio*")</f>
        <v>0</v>
      </c>
      <c r="P23">
        <f>SUMIFS('Folha Rainha'!G:G,'Folha Rainha'!B:B,BASE_DE_NOMES[[#This Row],[Nome]],'Folha Rainha'!F:F,"*TAXA*")</f>
        <v>0</v>
      </c>
      <c r="Q23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23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23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23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23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23">
        <f>BASE_DE_NOMES[[#This Row],[BOLSA DE AUXILIO]]+BASE_DE_NOMES[[#This Row],[VALE TRANSP]]+BASE_DE_NOMES[[#This Row],[PLANO DE SAUDE]]-BASE_DE_NOMES[[#This Row],[DESCONTOS]]</f>
        <v>0</v>
      </c>
      <c r="W23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23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23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23">
        <f>BASE_DE_NOMES[[#This Row],[PAGAMENTOS]]+BASE_DE_NOMES[[#This Row],[GRATIFICAÇÃO]]</f>
        <v>0</v>
      </c>
      <c r="AA23" s="4">
        <f>_xlfn.XLOOKUP(BASE_DE_NOMES[[#This Row],[NOME2]],Planilha1!C:C,Planilha1!D:D)*Y23</f>
        <v>0</v>
      </c>
      <c r="AB23" s="4">
        <f>BASE_DE_NOMES[[#This Row],[IMPOSTOS]]+BASE_DE_NOMES[[#This Row],[SALARIO BASE]]+BASE_DE_NOMES[[#This Row],[FAMILIA]]</f>
        <v>0</v>
      </c>
      <c r="AC23" t="str">
        <f>_xlfn.XLOOKUP(BASE_DE_NOMES[[#This Row],[Razão Social]],Planilha1!B:B,Planilha1!C:C)</f>
        <v>GENESIS</v>
      </c>
      <c r="AD23" t="str">
        <f>_xlfn.XLOOKUP(BASE_DE_NOMES[[#This Row],[Alocações]],Planilha1!B:B,Planilha1!C:C)</f>
        <v>HOME CENTER</v>
      </c>
    </row>
    <row r="24" spans="1:30" x14ac:dyDescent="0.25">
      <c r="A24" t="s">
        <v>655</v>
      </c>
      <c r="B24" t="s">
        <v>212</v>
      </c>
      <c r="C24" t="s">
        <v>584</v>
      </c>
      <c r="D24" t="s">
        <v>584</v>
      </c>
      <c r="E24" s="1">
        <f>IFERROR(_xlfn.XLOOKUP(BASE_DE_NOMES[[#This Row],[Nome]],'Folha Rainha'!B:B,'Folha Rainha'!D:D),0)</f>
        <v>0</v>
      </c>
      <c r="F24" t="str">
        <f>IFERROR(_xlfn.XLOOKUP(BASE_DE_NOMES[[#This Row],[Nome]],'Folha Rainha'!B:B,'Folha Rainha'!E:E)," ")</f>
        <v xml:space="preserve"> </v>
      </c>
      <c r="G24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24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24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24" s="4">
        <f>BASE_DE_NOMES[[#This Row],[C.CHEQUE]]-BASE_DE_NOMES[[#This Row],[FALTAS]]-BASE_DE_NOMES[[#This Row],[DESCONTO ]]</f>
        <v>0</v>
      </c>
      <c r="K24">
        <f>SUMIF(GRATIFICAÇÃO!A:A,BASE_DE_NOMES[[#This Row],[Nome]],GRATIFICAÇÃO!F:F)</f>
        <v>0</v>
      </c>
      <c r="L24">
        <f>SUMIF(PG!A:A,BASE_DE_NOMES[[#This Row],[Nome]],PG!E:E)</f>
        <v>0</v>
      </c>
      <c r="M24">
        <f>SUMIFS('Folha Rainha'!G:G,'Folha Rainha'!B:B,BASE_DE_NOMES[[#This Row],[Nome]],'Folha Rainha'!F:F,"*Quebra*",'Folha Rainha'!F:F,"*QUEBRA*")</f>
        <v>0</v>
      </c>
      <c r="N24">
        <f>SUMIFS('Folha Rainha'!G:G,'Folha Rainha'!B:B,BASE_DE_NOMES[[#This Row],[Nome]],'Folha Rainha'!F:F,"ADC. ANTIGUIDADE")</f>
        <v>0</v>
      </c>
      <c r="O24">
        <f>SUMIFS('Folha Rainha'!G:G,'Folha Rainha'!B:B,BASE_DE_NOMES[[#This Row],[Nome]],'Folha Rainha'!F:F,"*Trienio*")</f>
        <v>0</v>
      </c>
      <c r="P24">
        <f>SUMIFS('Folha Rainha'!G:G,'Folha Rainha'!B:B,BASE_DE_NOMES[[#This Row],[Nome]],'Folha Rainha'!F:F,"*TAXA*")</f>
        <v>0</v>
      </c>
      <c r="Q24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24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24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24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24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24">
        <f>BASE_DE_NOMES[[#This Row],[BOLSA DE AUXILIO]]+BASE_DE_NOMES[[#This Row],[VALE TRANSP]]+BASE_DE_NOMES[[#This Row],[PLANO DE SAUDE]]-BASE_DE_NOMES[[#This Row],[DESCONTOS]]</f>
        <v>0</v>
      </c>
      <c r="W24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24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24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24">
        <f>BASE_DE_NOMES[[#This Row],[PAGAMENTOS]]+BASE_DE_NOMES[[#This Row],[GRATIFICAÇÃO]]</f>
        <v>0</v>
      </c>
      <c r="AA24" s="4">
        <f>_xlfn.XLOOKUP(BASE_DE_NOMES[[#This Row],[NOME2]],Planilha1!C:C,Planilha1!D:D)*Y24</f>
        <v>0</v>
      </c>
      <c r="AB24" s="4">
        <f>BASE_DE_NOMES[[#This Row],[IMPOSTOS]]+BASE_DE_NOMES[[#This Row],[SALARIO BASE]]+BASE_DE_NOMES[[#This Row],[FAMILIA]]</f>
        <v>0</v>
      </c>
      <c r="AC24" t="str">
        <f>_xlfn.XLOOKUP(BASE_DE_NOMES[[#This Row],[Razão Social]],Planilha1!B:B,Planilha1!C:C)</f>
        <v>15 K COMERCIAL</v>
      </c>
      <c r="AD24" t="str">
        <f>_xlfn.XLOOKUP(BASE_DE_NOMES[[#This Row],[Alocações]],Planilha1!B:B,Planilha1!C:C)</f>
        <v>15 K COMERCIAL</v>
      </c>
    </row>
    <row r="25" spans="1:30" x14ac:dyDescent="0.25">
      <c r="A25" t="s">
        <v>378</v>
      </c>
      <c r="B25" t="s">
        <v>56</v>
      </c>
      <c r="C25" t="s">
        <v>542</v>
      </c>
      <c r="D25" t="s">
        <v>542</v>
      </c>
      <c r="E25" s="1">
        <f>IFERROR(_xlfn.XLOOKUP(BASE_DE_NOMES[[#This Row],[Nome]],'Folha Rainha'!B:B,'Folha Rainha'!D:D),0)</f>
        <v>44905</v>
      </c>
      <c r="F25" t="str">
        <f>IFERROR(_xlfn.XLOOKUP(BASE_DE_NOMES[[#This Row],[Nome]],'Folha Rainha'!B:B,'Folha Rainha'!E:E)," ")</f>
        <v>Trabalhando</v>
      </c>
      <c r="G25" s="4">
        <f>SUMIFS('Folha Rainha'!G:G,'Folha Rainha'!B:B,BASE_DE_NOMES[[#This Row],[Nome]],'Folha Rainha'!F:F,"Salário Base")+SUMIFS('Folha Rainha'!G:G,'Folha Rainha'!B:B,BASE_DE_NOMES[[#This Row],[Nome]],'Folha Rainha'!F:F,"Salário:")</f>
        <v>1607</v>
      </c>
      <c r="H25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25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25" s="4">
        <f>BASE_DE_NOMES[[#This Row],[C.CHEQUE]]-BASE_DE_NOMES[[#This Row],[FALTAS]]-BASE_DE_NOMES[[#This Row],[DESCONTO ]]</f>
        <v>1607</v>
      </c>
      <c r="K25">
        <f>SUMIF(GRATIFICAÇÃO!A:A,BASE_DE_NOMES[[#This Row],[Nome]],GRATIFICAÇÃO!F:F)</f>
        <v>0</v>
      </c>
      <c r="L25">
        <f>SUMIF(PG!A:A,BASE_DE_NOMES[[#This Row],[Nome]],PG!E:E)</f>
        <v>0</v>
      </c>
      <c r="M25">
        <f>SUMIFS('Folha Rainha'!G:G,'Folha Rainha'!B:B,BASE_DE_NOMES[[#This Row],[Nome]],'Folha Rainha'!F:F,"*Quebra*",'Folha Rainha'!F:F,"*QUEBRA*")</f>
        <v>160.69999999999999</v>
      </c>
      <c r="N25">
        <f>SUMIFS('Folha Rainha'!G:G,'Folha Rainha'!B:B,BASE_DE_NOMES[[#This Row],[Nome]],'Folha Rainha'!F:F,"ADC. ANTIGUIDADE")</f>
        <v>0</v>
      </c>
      <c r="O25">
        <f>SUMIFS('Folha Rainha'!G:G,'Folha Rainha'!B:B,BASE_DE_NOMES[[#This Row],[Nome]],'Folha Rainha'!F:F,"*Trienio*")</f>
        <v>0</v>
      </c>
      <c r="P25">
        <f>SUMIFS('Folha Rainha'!G:G,'Folha Rainha'!B:B,BASE_DE_NOMES[[#This Row],[Nome]],'Folha Rainha'!F:F,"*TAXA*")</f>
        <v>0</v>
      </c>
      <c r="Q25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25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25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25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25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25">
        <f>BASE_DE_NOMES[[#This Row],[BOLSA DE AUXILIO]]+BASE_DE_NOMES[[#This Row],[VALE TRANSP]]+BASE_DE_NOMES[[#This Row],[PLANO DE SAUDE]]-BASE_DE_NOMES[[#This Row],[DESCONTOS]]</f>
        <v>0</v>
      </c>
      <c r="W25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25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25" s="4">
        <f>BASE_DE_NOMES[[#This Row],[TOTAL DE C.CHEQUE]]+BASE_DE_NOMES[[#This Row],[TOTAL DE QUEBRA]]+BASE_DE_NOMES[[#This Row],[ADC. ANTIGUIDADE]]+BASE_DE_NOMES[[#This Row],[TOTAL DE TRIENIO]]+BASE_DE_NOMES[[#This Row],[CCT]]</f>
        <v>1767.7</v>
      </c>
      <c r="Z25">
        <f>BASE_DE_NOMES[[#This Row],[PAGAMENTOS]]+BASE_DE_NOMES[[#This Row],[GRATIFICAÇÃO]]</f>
        <v>0</v>
      </c>
      <c r="AA25" s="4">
        <f>_xlfn.XLOOKUP(BASE_DE_NOMES[[#This Row],[NOME2]],Planilha1!C:C,Planilha1!D:D)*Y25</f>
        <v>353.54</v>
      </c>
      <c r="AB25" s="4">
        <f>BASE_DE_NOMES[[#This Row],[IMPOSTOS]]+BASE_DE_NOMES[[#This Row],[SALARIO BASE]]+BASE_DE_NOMES[[#This Row],[FAMILIA]]</f>
        <v>2121.2400000000002</v>
      </c>
      <c r="AC25" t="str">
        <f>_xlfn.XLOOKUP(BASE_DE_NOMES[[#This Row],[Razão Social]],Planilha1!B:B,Planilha1!C:C)</f>
        <v xml:space="preserve">30 K </v>
      </c>
      <c r="AD25" t="str">
        <f>_xlfn.XLOOKUP(BASE_DE_NOMES[[#This Row],[Alocações]],Planilha1!B:B,Planilha1!C:C)</f>
        <v xml:space="preserve">30 K </v>
      </c>
    </row>
    <row r="26" spans="1:30" x14ac:dyDescent="0.25">
      <c r="A26" t="s">
        <v>382</v>
      </c>
      <c r="B26" t="s">
        <v>212</v>
      </c>
      <c r="C26" t="s">
        <v>556</v>
      </c>
      <c r="D26" t="s">
        <v>228</v>
      </c>
      <c r="E26" s="1">
        <f>IFERROR(_xlfn.XLOOKUP(BASE_DE_NOMES[[#This Row],[Nome]],'Folha Rainha'!B:B,'Folha Rainha'!D:D),0)</f>
        <v>44958</v>
      </c>
      <c r="F26" t="str">
        <f>IFERROR(_xlfn.XLOOKUP(BASE_DE_NOMES[[#This Row],[Nome]],'Folha Rainha'!B:B,'Folha Rainha'!E:E)," ")</f>
        <v>Trabalhando</v>
      </c>
      <c r="G26" s="4">
        <f>SUMIFS('Folha Rainha'!G:G,'Folha Rainha'!B:B,BASE_DE_NOMES[[#This Row],[Nome]],'Folha Rainha'!F:F,"Salário Base")+SUMIFS('Folha Rainha'!G:G,'Folha Rainha'!B:B,BASE_DE_NOMES[[#This Row],[Nome]],'Folha Rainha'!F:F,"Salário:")</f>
        <v>1660</v>
      </c>
      <c r="H26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26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26" s="4">
        <f>BASE_DE_NOMES[[#This Row],[C.CHEQUE]]-BASE_DE_NOMES[[#This Row],[FALTAS]]-BASE_DE_NOMES[[#This Row],[DESCONTO ]]</f>
        <v>1660</v>
      </c>
      <c r="K26">
        <f>SUMIF(GRATIFICAÇÃO!A:A,BASE_DE_NOMES[[#This Row],[Nome]],GRATIFICAÇÃO!F:F)</f>
        <v>200</v>
      </c>
      <c r="L26">
        <f>SUMIF(PG!A:A,BASE_DE_NOMES[[#This Row],[Nome]],PG!E:E)</f>
        <v>0</v>
      </c>
      <c r="M26">
        <f>SUMIFS('Folha Rainha'!G:G,'Folha Rainha'!B:B,BASE_DE_NOMES[[#This Row],[Nome]],'Folha Rainha'!F:F,"*Quebra*",'Folha Rainha'!F:F,"*QUEBRA*")</f>
        <v>0</v>
      </c>
      <c r="N26">
        <f>SUMIFS('Folha Rainha'!G:G,'Folha Rainha'!B:B,BASE_DE_NOMES[[#This Row],[Nome]],'Folha Rainha'!F:F,"ADC. ANTIGUIDADE")</f>
        <v>0</v>
      </c>
      <c r="O26">
        <f>SUMIFS('Folha Rainha'!G:G,'Folha Rainha'!B:B,BASE_DE_NOMES[[#This Row],[Nome]],'Folha Rainha'!F:F,"*Trienio*")</f>
        <v>0</v>
      </c>
      <c r="P26">
        <f>SUMIFS('Folha Rainha'!G:G,'Folha Rainha'!B:B,BASE_DE_NOMES[[#This Row],[Nome]],'Folha Rainha'!F:F,"*TAXA*")</f>
        <v>0</v>
      </c>
      <c r="Q26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26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26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26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26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26">
        <f>BASE_DE_NOMES[[#This Row],[BOLSA DE AUXILIO]]+BASE_DE_NOMES[[#This Row],[VALE TRANSP]]+BASE_DE_NOMES[[#This Row],[PLANO DE SAUDE]]-BASE_DE_NOMES[[#This Row],[DESCONTOS]]</f>
        <v>0</v>
      </c>
      <c r="W26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26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26" s="4">
        <f>BASE_DE_NOMES[[#This Row],[TOTAL DE C.CHEQUE]]+BASE_DE_NOMES[[#This Row],[TOTAL DE QUEBRA]]+BASE_DE_NOMES[[#This Row],[ADC. ANTIGUIDADE]]+BASE_DE_NOMES[[#This Row],[TOTAL DE TRIENIO]]+BASE_DE_NOMES[[#This Row],[CCT]]</f>
        <v>1660</v>
      </c>
      <c r="Z26">
        <f>BASE_DE_NOMES[[#This Row],[PAGAMENTOS]]+BASE_DE_NOMES[[#This Row],[GRATIFICAÇÃO]]</f>
        <v>200</v>
      </c>
      <c r="AA26" s="4">
        <f>_xlfn.XLOOKUP(BASE_DE_NOMES[[#This Row],[NOME2]],Planilha1!C:C,Planilha1!D:D)*Y26</f>
        <v>835.47799999999995</v>
      </c>
      <c r="AB26" s="4">
        <f>BASE_DE_NOMES[[#This Row],[IMPOSTOS]]+BASE_DE_NOMES[[#This Row],[SALARIO BASE]]+BASE_DE_NOMES[[#This Row],[FAMILIA]]</f>
        <v>2495.4780000000001</v>
      </c>
      <c r="AC26" t="str">
        <f>_xlfn.XLOOKUP(BASE_DE_NOMES[[#This Row],[Razão Social]],Planilha1!B:B,Planilha1!C:C)</f>
        <v>SR PASSOS</v>
      </c>
      <c r="AD26" t="str">
        <f>_xlfn.XLOOKUP(BASE_DE_NOMES[[#This Row],[Alocações]],Planilha1!B:B,Planilha1!C:C)</f>
        <v>GENESIS</v>
      </c>
    </row>
    <row r="27" spans="1:30" x14ac:dyDescent="0.25">
      <c r="A27" t="s">
        <v>594</v>
      </c>
      <c r="B27" t="s">
        <v>550</v>
      </c>
      <c r="C27" t="s">
        <v>556</v>
      </c>
      <c r="D27" t="s">
        <v>556</v>
      </c>
      <c r="E27" s="1">
        <f>IFERROR(_xlfn.XLOOKUP(BASE_DE_NOMES[[#This Row],[Nome]],'Folha Rainha'!B:B,'Folha Rainha'!D:D),0)</f>
        <v>45617</v>
      </c>
      <c r="F27" t="str">
        <f>IFERROR(_xlfn.XLOOKUP(BASE_DE_NOMES[[#This Row],[Nome]],'Folha Rainha'!B:B,'Folha Rainha'!E:E)," ")</f>
        <v>Trabalhando</v>
      </c>
      <c r="G27" s="4">
        <f>SUMIFS('Folha Rainha'!G:G,'Folha Rainha'!B:B,BASE_DE_NOMES[[#This Row],[Nome]],'Folha Rainha'!F:F,"Salário Base")+SUMIFS('Folha Rainha'!G:G,'Folha Rainha'!B:B,BASE_DE_NOMES[[#This Row],[Nome]],'Folha Rainha'!F:F,"Salário:")</f>
        <v>600</v>
      </c>
      <c r="H27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27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27" s="4">
        <f>BASE_DE_NOMES[[#This Row],[C.CHEQUE]]-BASE_DE_NOMES[[#This Row],[FALTAS]]-BASE_DE_NOMES[[#This Row],[DESCONTO ]]</f>
        <v>600</v>
      </c>
      <c r="K27">
        <f>SUMIF(GRATIFICAÇÃO!A:A,BASE_DE_NOMES[[#This Row],[Nome]],GRATIFICAÇÃO!F:F)</f>
        <v>0</v>
      </c>
      <c r="L27">
        <f>SUMIF(PG!A:A,BASE_DE_NOMES[[#This Row],[Nome]],PG!E:E)</f>
        <v>0</v>
      </c>
      <c r="M27">
        <f>SUMIFS('Folha Rainha'!G:G,'Folha Rainha'!B:B,BASE_DE_NOMES[[#This Row],[Nome]],'Folha Rainha'!F:F,"*Quebra*",'Folha Rainha'!F:F,"*QUEBRA*")</f>
        <v>0</v>
      </c>
      <c r="N27">
        <f>SUMIFS('Folha Rainha'!G:G,'Folha Rainha'!B:B,BASE_DE_NOMES[[#This Row],[Nome]],'Folha Rainha'!F:F,"ADC. ANTIGUIDADE")</f>
        <v>0</v>
      </c>
      <c r="O27">
        <f>SUMIFS('Folha Rainha'!G:G,'Folha Rainha'!B:B,BASE_DE_NOMES[[#This Row],[Nome]],'Folha Rainha'!F:F,"*Trienio*")</f>
        <v>0</v>
      </c>
      <c r="P27">
        <f>SUMIFS('Folha Rainha'!G:G,'Folha Rainha'!B:B,BASE_DE_NOMES[[#This Row],[Nome]],'Folha Rainha'!F:F,"*TAXA*")</f>
        <v>0</v>
      </c>
      <c r="Q27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27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600</v>
      </c>
      <c r="S27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100</v>
      </c>
      <c r="T27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27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240</v>
      </c>
      <c r="V27">
        <f>BASE_DE_NOMES[[#This Row],[BOLSA DE AUXILIO]]+BASE_DE_NOMES[[#This Row],[VALE TRANSP]]+BASE_DE_NOMES[[#This Row],[PLANO DE SAUDE]]-BASE_DE_NOMES[[#This Row],[DESCONTOS]]</f>
        <v>460</v>
      </c>
      <c r="W27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27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27" s="4">
        <f>BASE_DE_NOMES[[#This Row],[TOTAL DE C.CHEQUE]]+BASE_DE_NOMES[[#This Row],[TOTAL DE QUEBRA]]+BASE_DE_NOMES[[#This Row],[ADC. ANTIGUIDADE]]+BASE_DE_NOMES[[#This Row],[TOTAL DE TRIENIO]]+BASE_DE_NOMES[[#This Row],[CCT]]</f>
        <v>600</v>
      </c>
      <c r="Z27">
        <f>BASE_DE_NOMES[[#This Row],[PAGAMENTOS]]+BASE_DE_NOMES[[#This Row],[GRATIFICAÇÃO]]</f>
        <v>0</v>
      </c>
      <c r="AA27" s="4">
        <f>_xlfn.XLOOKUP(BASE_DE_NOMES[[#This Row],[NOME2]],Planilha1!C:C,Planilha1!D:D)*Y27</f>
        <v>301.97999999999996</v>
      </c>
      <c r="AB27" s="4">
        <f>BASE_DE_NOMES[[#This Row],[IMPOSTOS]]+BASE_DE_NOMES[[#This Row],[SALARIO BASE]]+BASE_DE_NOMES[[#This Row],[FAMILIA]]</f>
        <v>901.98</v>
      </c>
      <c r="AC27" t="str">
        <f>_xlfn.XLOOKUP(BASE_DE_NOMES[[#This Row],[Razão Social]],Planilha1!B:B,Planilha1!C:C)</f>
        <v>SR PASSOS</v>
      </c>
      <c r="AD27" t="str">
        <f>_xlfn.XLOOKUP(BASE_DE_NOMES[[#This Row],[Alocações]],Planilha1!B:B,Planilha1!C:C)</f>
        <v>SR PASSOS</v>
      </c>
    </row>
    <row r="28" spans="1:30" x14ac:dyDescent="0.25">
      <c r="A28" t="s">
        <v>571</v>
      </c>
      <c r="B28" t="s">
        <v>258</v>
      </c>
      <c r="C28" t="s">
        <v>511</v>
      </c>
      <c r="D28" t="s">
        <v>511</v>
      </c>
      <c r="E28" s="1">
        <f>IFERROR(_xlfn.XLOOKUP(BASE_DE_NOMES[[#This Row],[Nome]],'Folha Rainha'!B:B,'Folha Rainha'!D:D),0)</f>
        <v>45570</v>
      </c>
      <c r="F28" t="str">
        <f>IFERROR(_xlfn.XLOOKUP(BASE_DE_NOMES[[#This Row],[Nome]],'Folha Rainha'!B:B,'Folha Rainha'!E:E)," ")</f>
        <v>Trabalhando</v>
      </c>
      <c r="G28" s="4">
        <f>SUMIFS('Folha Rainha'!G:G,'Folha Rainha'!B:B,BASE_DE_NOMES[[#This Row],[Nome]],'Folha Rainha'!F:F,"Salário Base")+SUMIFS('Folha Rainha'!G:G,'Folha Rainha'!B:B,BASE_DE_NOMES[[#This Row],[Nome]],'Folha Rainha'!F:F,"Salário:")</f>
        <v>1605</v>
      </c>
      <c r="H28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28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28" s="4">
        <f>BASE_DE_NOMES[[#This Row],[C.CHEQUE]]-BASE_DE_NOMES[[#This Row],[FALTAS]]-BASE_DE_NOMES[[#This Row],[DESCONTO ]]</f>
        <v>1605</v>
      </c>
      <c r="K28">
        <f>SUMIF(GRATIFICAÇÃO!A:A,BASE_DE_NOMES[[#This Row],[Nome]],GRATIFICAÇÃO!F:F)</f>
        <v>0</v>
      </c>
      <c r="L28">
        <f>SUMIF(PG!A:A,BASE_DE_NOMES[[#This Row],[Nome]],PG!E:E)</f>
        <v>0</v>
      </c>
      <c r="M28">
        <f>SUMIFS('Folha Rainha'!G:G,'Folha Rainha'!B:B,BASE_DE_NOMES[[#This Row],[Nome]],'Folha Rainha'!F:F,"*Quebra*",'Folha Rainha'!F:F,"*QUEBRA*")</f>
        <v>0</v>
      </c>
      <c r="N28">
        <f>SUMIFS('Folha Rainha'!G:G,'Folha Rainha'!B:B,BASE_DE_NOMES[[#This Row],[Nome]],'Folha Rainha'!F:F,"ADC. ANTIGUIDADE")</f>
        <v>0</v>
      </c>
      <c r="O28">
        <f>SUMIFS('Folha Rainha'!G:G,'Folha Rainha'!B:B,BASE_DE_NOMES[[#This Row],[Nome]],'Folha Rainha'!F:F,"*Trienio*")</f>
        <v>0</v>
      </c>
      <c r="P28">
        <f>SUMIFS('Folha Rainha'!G:G,'Folha Rainha'!B:B,BASE_DE_NOMES[[#This Row],[Nome]],'Folha Rainha'!F:F,"*TAXA*")</f>
        <v>0</v>
      </c>
      <c r="Q28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28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28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28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28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28">
        <f>BASE_DE_NOMES[[#This Row],[BOLSA DE AUXILIO]]+BASE_DE_NOMES[[#This Row],[VALE TRANSP]]+BASE_DE_NOMES[[#This Row],[PLANO DE SAUDE]]-BASE_DE_NOMES[[#This Row],[DESCONTOS]]</f>
        <v>0</v>
      </c>
      <c r="W28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28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28" s="4">
        <f>BASE_DE_NOMES[[#This Row],[TOTAL DE C.CHEQUE]]+BASE_DE_NOMES[[#This Row],[TOTAL DE QUEBRA]]+BASE_DE_NOMES[[#This Row],[ADC. ANTIGUIDADE]]+BASE_DE_NOMES[[#This Row],[TOTAL DE TRIENIO]]+BASE_DE_NOMES[[#This Row],[CCT]]</f>
        <v>1605</v>
      </c>
      <c r="Z28">
        <f>BASE_DE_NOMES[[#This Row],[PAGAMENTOS]]+BASE_DE_NOMES[[#This Row],[GRATIFICAÇÃO]]</f>
        <v>0</v>
      </c>
      <c r="AA28" s="4">
        <f>_xlfn.XLOOKUP(BASE_DE_NOMES[[#This Row],[NOME2]],Planilha1!C:C,Planilha1!D:D)*Y28</f>
        <v>321</v>
      </c>
      <c r="AB28" s="4">
        <f>BASE_DE_NOMES[[#This Row],[IMPOSTOS]]+BASE_DE_NOMES[[#This Row],[SALARIO BASE]]+BASE_DE_NOMES[[#This Row],[FAMILIA]]</f>
        <v>1926</v>
      </c>
      <c r="AC28" t="str">
        <f>_xlfn.XLOOKUP(BASE_DE_NOMES[[#This Row],[Razão Social]],Planilha1!B:B,Planilha1!C:C)</f>
        <v>10k DECORAÇÕES</v>
      </c>
      <c r="AD28" t="str">
        <f>_xlfn.XLOOKUP(BASE_DE_NOMES[[#This Row],[Alocações]],Planilha1!B:B,Planilha1!C:C)</f>
        <v>10k DECORAÇÕES</v>
      </c>
    </row>
    <row r="29" spans="1:30" x14ac:dyDescent="0.25">
      <c r="A29" t="s">
        <v>656</v>
      </c>
      <c r="B29" t="s">
        <v>544</v>
      </c>
      <c r="C29" t="s">
        <v>252</v>
      </c>
      <c r="D29" t="s">
        <v>252</v>
      </c>
      <c r="E29" s="1">
        <f>IFERROR(_xlfn.XLOOKUP(BASE_DE_NOMES[[#This Row],[Nome]],'Folha Rainha'!B:B,'Folha Rainha'!D:D),0)</f>
        <v>0</v>
      </c>
      <c r="F29" t="str">
        <f>IFERROR(_xlfn.XLOOKUP(BASE_DE_NOMES[[#This Row],[Nome]],'Folha Rainha'!B:B,'Folha Rainha'!E:E)," ")</f>
        <v xml:space="preserve"> </v>
      </c>
      <c r="G29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29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29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29" s="4">
        <f>BASE_DE_NOMES[[#This Row],[C.CHEQUE]]-BASE_DE_NOMES[[#This Row],[FALTAS]]-BASE_DE_NOMES[[#This Row],[DESCONTO ]]</f>
        <v>0</v>
      </c>
      <c r="K29">
        <f>SUMIF(GRATIFICAÇÃO!A:A,BASE_DE_NOMES[[#This Row],[Nome]],GRATIFICAÇÃO!F:F)</f>
        <v>0</v>
      </c>
      <c r="L29">
        <f>SUMIF(PG!A:A,BASE_DE_NOMES[[#This Row],[Nome]],PG!E:E)</f>
        <v>0</v>
      </c>
      <c r="M29">
        <f>SUMIFS('Folha Rainha'!G:G,'Folha Rainha'!B:B,BASE_DE_NOMES[[#This Row],[Nome]],'Folha Rainha'!F:F,"*Quebra*",'Folha Rainha'!F:F,"*QUEBRA*")</f>
        <v>0</v>
      </c>
      <c r="N29">
        <f>SUMIFS('Folha Rainha'!G:G,'Folha Rainha'!B:B,BASE_DE_NOMES[[#This Row],[Nome]],'Folha Rainha'!F:F,"ADC. ANTIGUIDADE")</f>
        <v>0</v>
      </c>
      <c r="O29">
        <f>SUMIFS('Folha Rainha'!G:G,'Folha Rainha'!B:B,BASE_DE_NOMES[[#This Row],[Nome]],'Folha Rainha'!F:F,"*Trienio*")</f>
        <v>0</v>
      </c>
      <c r="P29">
        <f>SUMIFS('Folha Rainha'!G:G,'Folha Rainha'!B:B,BASE_DE_NOMES[[#This Row],[Nome]],'Folha Rainha'!F:F,"*TAXA*")</f>
        <v>0</v>
      </c>
      <c r="Q29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29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29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29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29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29">
        <f>BASE_DE_NOMES[[#This Row],[BOLSA DE AUXILIO]]+BASE_DE_NOMES[[#This Row],[VALE TRANSP]]+BASE_DE_NOMES[[#This Row],[PLANO DE SAUDE]]-BASE_DE_NOMES[[#This Row],[DESCONTOS]]</f>
        <v>0</v>
      </c>
      <c r="W29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29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29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29">
        <f>BASE_DE_NOMES[[#This Row],[PAGAMENTOS]]+BASE_DE_NOMES[[#This Row],[GRATIFICAÇÃO]]</f>
        <v>0</v>
      </c>
      <c r="AA29" s="4">
        <f>_xlfn.XLOOKUP(BASE_DE_NOMES[[#This Row],[NOME2]],Planilha1!C:C,Planilha1!D:D)*Y29</f>
        <v>0</v>
      </c>
      <c r="AB29" s="4">
        <f>BASE_DE_NOMES[[#This Row],[IMPOSTOS]]+BASE_DE_NOMES[[#This Row],[SALARIO BASE]]+BASE_DE_NOMES[[#This Row],[FAMILIA]]</f>
        <v>0</v>
      </c>
      <c r="AC29" t="str">
        <f>_xlfn.XLOOKUP(BASE_DE_NOMES[[#This Row],[Razão Social]],Planilha1!B:B,Planilha1!C:C)</f>
        <v>FABRICA</v>
      </c>
      <c r="AD29" t="str">
        <f>_xlfn.XLOOKUP(BASE_DE_NOMES[[#This Row],[Alocações]],Planilha1!B:B,Planilha1!C:C)</f>
        <v>FABRICA</v>
      </c>
    </row>
    <row r="30" spans="1:30" x14ac:dyDescent="0.25">
      <c r="A30" t="s">
        <v>169</v>
      </c>
      <c r="B30" t="s">
        <v>258</v>
      </c>
      <c r="C30" t="s">
        <v>224</v>
      </c>
      <c r="D30" t="s">
        <v>224</v>
      </c>
      <c r="E30" s="1">
        <f>IFERROR(_xlfn.XLOOKUP(BASE_DE_NOMES[[#This Row],[Nome]],'Folha Rainha'!B:B,'Folha Rainha'!D:D),0)</f>
        <v>42955</v>
      </c>
      <c r="F30" t="str">
        <f>IFERROR(_xlfn.XLOOKUP(BASE_DE_NOMES[[#This Row],[Nome]],'Folha Rainha'!B:B,'Folha Rainha'!E:E)," ")</f>
        <v>Trabalhando</v>
      </c>
      <c r="G30" s="4">
        <f>SUMIFS('Folha Rainha'!G:G,'Folha Rainha'!B:B,BASE_DE_NOMES[[#This Row],[Nome]],'Folha Rainha'!F:F,"Salário Base")+SUMIFS('Folha Rainha'!G:G,'Folha Rainha'!B:B,BASE_DE_NOMES[[#This Row],[Nome]],'Folha Rainha'!F:F,"Salário:")</f>
        <v>1528</v>
      </c>
      <c r="H30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30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30" s="4">
        <f>BASE_DE_NOMES[[#This Row],[C.CHEQUE]]-BASE_DE_NOMES[[#This Row],[FALTAS]]-BASE_DE_NOMES[[#This Row],[DESCONTO ]]</f>
        <v>1528</v>
      </c>
      <c r="K30">
        <f>SUMIF(GRATIFICAÇÃO!A:A,BASE_DE_NOMES[[#This Row],[Nome]],GRATIFICAÇÃO!F:F)</f>
        <v>0</v>
      </c>
      <c r="L30">
        <f>SUMIF(PG!A:A,BASE_DE_NOMES[[#This Row],[Nome]],PG!E:E)</f>
        <v>0</v>
      </c>
      <c r="M30">
        <f>SUMIFS('Folha Rainha'!G:G,'Folha Rainha'!B:B,BASE_DE_NOMES[[#This Row],[Nome]],'Folha Rainha'!F:F,"*Quebra*",'Folha Rainha'!F:F,"*QUEBRA*")</f>
        <v>0</v>
      </c>
      <c r="N30">
        <f>SUMIFS('Folha Rainha'!G:G,'Folha Rainha'!B:B,BASE_DE_NOMES[[#This Row],[Nome]],'Folha Rainha'!F:F,"ADC. ANTIGUIDADE")</f>
        <v>0</v>
      </c>
      <c r="O30">
        <f>SUMIFS('Folha Rainha'!G:G,'Folha Rainha'!B:B,BASE_DE_NOMES[[#This Row],[Nome]],'Folha Rainha'!F:F,"*Trienio*")</f>
        <v>91.68</v>
      </c>
      <c r="P30">
        <f>SUMIFS('Folha Rainha'!G:G,'Folha Rainha'!B:B,BASE_DE_NOMES[[#This Row],[Nome]],'Folha Rainha'!F:F,"*TAXA*")</f>
        <v>23</v>
      </c>
      <c r="Q30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30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30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30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30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23</v>
      </c>
      <c r="V30">
        <f>BASE_DE_NOMES[[#This Row],[BOLSA DE AUXILIO]]+BASE_DE_NOMES[[#This Row],[VALE TRANSP]]+BASE_DE_NOMES[[#This Row],[PLANO DE SAUDE]]-BASE_DE_NOMES[[#This Row],[DESCONTOS]]</f>
        <v>-23</v>
      </c>
      <c r="W30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30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30" s="4">
        <f>BASE_DE_NOMES[[#This Row],[TOTAL DE C.CHEQUE]]+BASE_DE_NOMES[[#This Row],[TOTAL DE QUEBRA]]+BASE_DE_NOMES[[#This Row],[ADC. ANTIGUIDADE]]+BASE_DE_NOMES[[#This Row],[TOTAL DE TRIENIO]]+BASE_DE_NOMES[[#This Row],[CCT]]</f>
        <v>1619.68</v>
      </c>
      <c r="Z30">
        <f>BASE_DE_NOMES[[#This Row],[PAGAMENTOS]]+BASE_DE_NOMES[[#This Row],[GRATIFICAÇÃO]]</f>
        <v>0</v>
      </c>
      <c r="AA30" s="4">
        <f>_xlfn.XLOOKUP(BASE_DE_NOMES[[#This Row],[NOME2]],Planilha1!C:C,Planilha1!D:D)*Y30</f>
        <v>323.93600000000004</v>
      </c>
      <c r="AB30" s="4">
        <f>BASE_DE_NOMES[[#This Row],[IMPOSTOS]]+BASE_DE_NOMES[[#This Row],[SALARIO BASE]]+BASE_DE_NOMES[[#This Row],[FAMILIA]]</f>
        <v>1943.616</v>
      </c>
      <c r="AC30" t="str">
        <f>_xlfn.XLOOKUP(BASE_DE_NOMES[[#This Row],[Razão Social]],Planilha1!B:B,Planilha1!C:C)</f>
        <v>AVANTE</v>
      </c>
      <c r="AD30" t="str">
        <f>_xlfn.XLOOKUP(BASE_DE_NOMES[[#This Row],[Alocações]],Planilha1!B:B,Planilha1!C:C)</f>
        <v>AVANTE</v>
      </c>
    </row>
    <row r="31" spans="1:30" x14ac:dyDescent="0.25">
      <c r="A31" t="s">
        <v>155</v>
      </c>
      <c r="B31" t="s">
        <v>258</v>
      </c>
      <c r="C31" t="s">
        <v>280</v>
      </c>
      <c r="D31" t="s">
        <v>253</v>
      </c>
      <c r="E31" s="1">
        <f>IFERROR(_xlfn.XLOOKUP(BASE_DE_NOMES[[#This Row],[Nome]],'Folha Rainha'!B:B,'Folha Rainha'!D:D),0)</f>
        <v>41093</v>
      </c>
      <c r="F31" t="str">
        <f>IFERROR(_xlfn.XLOOKUP(BASE_DE_NOMES[[#This Row],[Nome]],'Folha Rainha'!B:B,'Folha Rainha'!E:E)," ")</f>
        <v>Trabalhando</v>
      </c>
      <c r="G31" s="4">
        <f>SUMIFS('Folha Rainha'!G:G,'Folha Rainha'!B:B,BASE_DE_NOMES[[#This Row],[Nome]],'Folha Rainha'!F:F,"Salário Base")+SUMIFS('Folha Rainha'!G:G,'Folha Rainha'!B:B,BASE_DE_NOMES[[#This Row],[Nome]],'Folha Rainha'!F:F,"Salário:")</f>
        <v>1660</v>
      </c>
      <c r="H31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31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31" s="4">
        <f>BASE_DE_NOMES[[#This Row],[C.CHEQUE]]-BASE_DE_NOMES[[#This Row],[FALTAS]]-BASE_DE_NOMES[[#This Row],[DESCONTO ]]</f>
        <v>1660</v>
      </c>
      <c r="K31">
        <f>SUMIF(GRATIFICAÇÃO!A:A,BASE_DE_NOMES[[#This Row],[Nome]],GRATIFICAÇÃO!F:F)</f>
        <v>0</v>
      </c>
      <c r="L31">
        <f>SUMIF(PG!A:A,BASE_DE_NOMES[[#This Row],[Nome]],PG!E:E)</f>
        <v>0</v>
      </c>
      <c r="M31">
        <f>SUMIFS('Folha Rainha'!G:G,'Folha Rainha'!B:B,BASE_DE_NOMES[[#This Row],[Nome]],'Folha Rainha'!F:F,"*Quebra*",'Folha Rainha'!F:F,"*QUEBRA*")</f>
        <v>0</v>
      </c>
      <c r="N31">
        <f>SUMIFS('Folha Rainha'!G:G,'Folha Rainha'!B:B,BASE_DE_NOMES[[#This Row],[Nome]],'Folha Rainha'!F:F,"ADC. ANTIGUIDADE")</f>
        <v>0</v>
      </c>
      <c r="O31">
        <f>SUMIFS('Folha Rainha'!G:G,'Folha Rainha'!B:B,BASE_DE_NOMES[[#This Row],[Nome]],'Folha Rainha'!F:F,"*Trienio*")</f>
        <v>249</v>
      </c>
      <c r="P31">
        <f>SUMIFS('Folha Rainha'!G:G,'Folha Rainha'!B:B,BASE_DE_NOMES[[#This Row],[Nome]],'Folha Rainha'!F:F,"*TAXA*")</f>
        <v>0</v>
      </c>
      <c r="Q31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31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31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31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31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31">
        <f>BASE_DE_NOMES[[#This Row],[BOLSA DE AUXILIO]]+BASE_DE_NOMES[[#This Row],[VALE TRANSP]]+BASE_DE_NOMES[[#This Row],[PLANO DE SAUDE]]-BASE_DE_NOMES[[#This Row],[DESCONTOS]]</f>
        <v>0</v>
      </c>
      <c r="W31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31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31" s="4">
        <f>BASE_DE_NOMES[[#This Row],[TOTAL DE C.CHEQUE]]+BASE_DE_NOMES[[#This Row],[TOTAL DE QUEBRA]]+BASE_DE_NOMES[[#This Row],[ADC. ANTIGUIDADE]]+BASE_DE_NOMES[[#This Row],[TOTAL DE TRIENIO]]+BASE_DE_NOMES[[#This Row],[CCT]]</f>
        <v>1909</v>
      </c>
      <c r="Z31">
        <f>BASE_DE_NOMES[[#This Row],[PAGAMENTOS]]+BASE_DE_NOMES[[#This Row],[GRATIFICAÇÃO]]</f>
        <v>0</v>
      </c>
      <c r="AA31" s="4">
        <f>_xlfn.XLOOKUP(BASE_DE_NOMES[[#This Row],[NOME2]],Planilha1!C:C,Planilha1!D:D)*Y31</f>
        <v>381.8</v>
      </c>
      <c r="AB31" s="4">
        <f>BASE_DE_NOMES[[#This Row],[IMPOSTOS]]+BASE_DE_NOMES[[#This Row],[SALARIO BASE]]+BASE_DE_NOMES[[#This Row],[FAMILIA]]</f>
        <v>2290.8000000000002</v>
      </c>
      <c r="AC31" t="str">
        <f>_xlfn.XLOOKUP(BASE_DE_NOMES[[#This Row],[Razão Social]],Planilha1!B:B,Planilha1!C:C)</f>
        <v>MAISON</v>
      </c>
      <c r="AD31" t="str">
        <f>_xlfn.XLOOKUP(BASE_DE_NOMES[[#This Row],[Alocações]],Planilha1!B:B,Planilha1!C:C)</f>
        <v>HOME CENTER</v>
      </c>
    </row>
    <row r="32" spans="1:30" x14ac:dyDescent="0.25">
      <c r="A32" t="s">
        <v>589</v>
      </c>
      <c r="B32" t="s">
        <v>213</v>
      </c>
      <c r="C32" t="s">
        <v>252</v>
      </c>
      <c r="D32" t="s">
        <v>252</v>
      </c>
      <c r="E32" s="1">
        <f>IFERROR(_xlfn.XLOOKUP(BASE_DE_NOMES[[#This Row],[Nome]],'Folha Rainha'!B:B,'Folha Rainha'!D:D),0)</f>
        <v>45731</v>
      </c>
      <c r="F32" t="str">
        <f>IFERROR(_xlfn.XLOOKUP(BASE_DE_NOMES[[#This Row],[Nome]],'Folha Rainha'!B:B,'Folha Rainha'!E:E)," ")</f>
        <v>Trabalhando</v>
      </c>
      <c r="G32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32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69</v>
      </c>
      <c r="I32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32" s="4">
        <f>BASE_DE_NOMES[[#This Row],[C.CHEQUE]]-BASE_DE_NOMES[[#This Row],[FALTAS]]-BASE_DE_NOMES[[#This Row],[DESCONTO ]]</f>
        <v>1449</v>
      </c>
      <c r="K32">
        <f>SUMIF(GRATIFICAÇÃO!A:A,BASE_DE_NOMES[[#This Row],[Nome]],GRATIFICAÇÃO!F:F)</f>
        <v>0</v>
      </c>
      <c r="L32">
        <f>SUMIF(PG!A:A,BASE_DE_NOMES[[#This Row],[Nome]],PG!E:E)</f>
        <v>0</v>
      </c>
      <c r="M32">
        <f>SUMIFS('Folha Rainha'!G:G,'Folha Rainha'!B:B,BASE_DE_NOMES[[#This Row],[Nome]],'Folha Rainha'!F:F,"*Quebra*",'Folha Rainha'!F:F,"*QUEBRA*")</f>
        <v>0</v>
      </c>
      <c r="N32">
        <f>SUMIFS('Folha Rainha'!G:G,'Folha Rainha'!B:B,BASE_DE_NOMES[[#This Row],[Nome]],'Folha Rainha'!F:F,"ADC. ANTIGUIDADE")</f>
        <v>0</v>
      </c>
      <c r="O32">
        <f>SUMIFS('Folha Rainha'!G:G,'Folha Rainha'!B:B,BASE_DE_NOMES[[#This Row],[Nome]],'Folha Rainha'!F:F,"*Trienio*")</f>
        <v>0</v>
      </c>
      <c r="P32">
        <f>SUMIFS('Folha Rainha'!G:G,'Folha Rainha'!B:B,BASE_DE_NOMES[[#This Row],[Nome]],'Folha Rainha'!F:F,"*TAXA*")</f>
        <v>0</v>
      </c>
      <c r="Q32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32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32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32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32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32">
        <f>BASE_DE_NOMES[[#This Row],[BOLSA DE AUXILIO]]+BASE_DE_NOMES[[#This Row],[VALE TRANSP]]+BASE_DE_NOMES[[#This Row],[PLANO DE SAUDE]]-BASE_DE_NOMES[[#This Row],[DESCONTOS]]</f>
        <v>0</v>
      </c>
      <c r="W32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32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32" s="4">
        <f>BASE_DE_NOMES[[#This Row],[TOTAL DE C.CHEQUE]]+BASE_DE_NOMES[[#This Row],[TOTAL DE QUEBRA]]+BASE_DE_NOMES[[#This Row],[ADC. ANTIGUIDADE]]+BASE_DE_NOMES[[#This Row],[TOTAL DE TRIENIO]]+BASE_DE_NOMES[[#This Row],[CCT]]</f>
        <v>1449</v>
      </c>
      <c r="Z32">
        <f>BASE_DE_NOMES[[#This Row],[PAGAMENTOS]]+BASE_DE_NOMES[[#This Row],[GRATIFICAÇÃO]]</f>
        <v>0</v>
      </c>
      <c r="AA32" s="4">
        <f>_xlfn.XLOOKUP(BASE_DE_NOMES[[#This Row],[NOME2]],Planilha1!C:C,Planilha1!D:D)*Y32</f>
        <v>729.2817</v>
      </c>
      <c r="AB32" s="4">
        <f>BASE_DE_NOMES[[#This Row],[IMPOSTOS]]+BASE_DE_NOMES[[#This Row],[SALARIO BASE]]+BASE_DE_NOMES[[#This Row],[FAMILIA]]</f>
        <v>2178.2817</v>
      </c>
      <c r="AC32" t="str">
        <f>_xlfn.XLOOKUP(BASE_DE_NOMES[[#This Row],[Razão Social]],Planilha1!B:B,Planilha1!C:C)</f>
        <v>FABRICA</v>
      </c>
      <c r="AD32" t="str">
        <f>_xlfn.XLOOKUP(BASE_DE_NOMES[[#This Row],[Alocações]],Planilha1!B:B,Planilha1!C:C)</f>
        <v>FABRICA</v>
      </c>
    </row>
    <row r="33" spans="1:30" x14ac:dyDescent="0.25">
      <c r="A33" t="s">
        <v>312</v>
      </c>
      <c r="B33" t="s">
        <v>164</v>
      </c>
      <c r="C33" t="s">
        <v>253</v>
      </c>
      <c r="D33" t="s">
        <v>253</v>
      </c>
      <c r="E33" s="1">
        <f>IFERROR(_xlfn.XLOOKUP(BASE_DE_NOMES[[#This Row],[Nome]],'Folha Rainha'!B:B,'Folha Rainha'!D:D),0)</f>
        <v>44774</v>
      </c>
      <c r="F33" t="str">
        <f>IFERROR(_xlfn.XLOOKUP(BASE_DE_NOMES[[#This Row],[Nome]],'Folha Rainha'!B:B,'Folha Rainha'!E:E)," ")</f>
        <v>Trabalhando</v>
      </c>
      <c r="G33" s="4">
        <f>SUMIFS('Folha Rainha'!G:G,'Folha Rainha'!B:B,BASE_DE_NOMES[[#This Row],[Nome]],'Folha Rainha'!F:F,"Salário Base")+SUMIFS('Folha Rainha'!G:G,'Folha Rainha'!B:B,BASE_DE_NOMES[[#This Row],[Nome]],'Folha Rainha'!F:F,"Salário:")</f>
        <v>1819.55</v>
      </c>
      <c r="H33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33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33" s="4">
        <f>BASE_DE_NOMES[[#This Row],[C.CHEQUE]]-BASE_DE_NOMES[[#This Row],[FALTAS]]-BASE_DE_NOMES[[#This Row],[DESCONTO ]]</f>
        <v>1819.55</v>
      </c>
      <c r="K33">
        <f>SUMIF(GRATIFICAÇÃO!A:A,BASE_DE_NOMES[[#This Row],[Nome]],GRATIFICAÇÃO!F:F)</f>
        <v>275</v>
      </c>
      <c r="L33">
        <f>SUMIF(PG!A:A,BASE_DE_NOMES[[#This Row],[Nome]],PG!E:E)</f>
        <v>0</v>
      </c>
      <c r="M33">
        <f>SUMIFS('Folha Rainha'!G:G,'Folha Rainha'!B:B,BASE_DE_NOMES[[#This Row],[Nome]],'Folha Rainha'!F:F,"*Quebra*",'Folha Rainha'!F:F,"*QUEBRA*")</f>
        <v>0</v>
      </c>
      <c r="N33">
        <f>SUMIFS('Folha Rainha'!G:G,'Folha Rainha'!B:B,BASE_DE_NOMES[[#This Row],[Nome]],'Folha Rainha'!F:F,"ADC. ANTIGUIDADE")</f>
        <v>0</v>
      </c>
      <c r="O33">
        <f>SUMIFS('Folha Rainha'!G:G,'Folha Rainha'!B:B,BASE_DE_NOMES[[#This Row],[Nome]],'Folha Rainha'!F:F,"*Trienio*")</f>
        <v>0</v>
      </c>
      <c r="P33">
        <f>SUMIFS('Folha Rainha'!G:G,'Folha Rainha'!B:B,BASE_DE_NOMES[[#This Row],[Nome]],'Folha Rainha'!F:F,"*TAXA*")</f>
        <v>20</v>
      </c>
      <c r="Q33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33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33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33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33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20</v>
      </c>
      <c r="V33">
        <f>BASE_DE_NOMES[[#This Row],[BOLSA DE AUXILIO]]+BASE_DE_NOMES[[#This Row],[VALE TRANSP]]+BASE_DE_NOMES[[#This Row],[PLANO DE SAUDE]]-BASE_DE_NOMES[[#This Row],[DESCONTOS]]</f>
        <v>-20</v>
      </c>
      <c r="W33" s="4">
        <f>SUMIFS('Folha Rainha'!G:G,'Folha Rainha'!B:B,BASE_DE_NOMES[[#This Row],[Nome]],'Folha Rainha'!F:F,"VALE COMPRAS")+SUMIFS('Folha Rainha'!G:G,'Folha Rainha'!B:B,BASE_DE_NOMES[[#This Row],[Nome]],'Folha Rainha'!F:F,"VALES")</f>
        <v>300</v>
      </c>
      <c r="X33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33" s="4">
        <f>BASE_DE_NOMES[[#This Row],[TOTAL DE C.CHEQUE]]+BASE_DE_NOMES[[#This Row],[TOTAL DE QUEBRA]]+BASE_DE_NOMES[[#This Row],[ADC. ANTIGUIDADE]]+BASE_DE_NOMES[[#This Row],[TOTAL DE TRIENIO]]+BASE_DE_NOMES[[#This Row],[CCT]]</f>
        <v>1819.55</v>
      </c>
      <c r="Z33">
        <f>BASE_DE_NOMES[[#This Row],[PAGAMENTOS]]+BASE_DE_NOMES[[#This Row],[GRATIFICAÇÃO]]</f>
        <v>275</v>
      </c>
      <c r="AA33" s="4">
        <f>_xlfn.XLOOKUP(BASE_DE_NOMES[[#This Row],[NOME2]],Planilha1!C:C,Planilha1!D:D)*Y33</f>
        <v>363.91</v>
      </c>
      <c r="AB33" s="4">
        <f>BASE_DE_NOMES[[#This Row],[IMPOSTOS]]+BASE_DE_NOMES[[#This Row],[SALARIO BASE]]+BASE_DE_NOMES[[#This Row],[FAMILIA]]</f>
        <v>2183.46</v>
      </c>
      <c r="AC33" t="str">
        <f>_xlfn.XLOOKUP(BASE_DE_NOMES[[#This Row],[Razão Social]],Planilha1!B:B,Planilha1!C:C)</f>
        <v>HOME CENTER</v>
      </c>
      <c r="AD33" t="str">
        <f>_xlfn.XLOOKUP(BASE_DE_NOMES[[#This Row],[Alocações]],Planilha1!B:B,Planilha1!C:C)</f>
        <v>HOME CENTER</v>
      </c>
    </row>
    <row r="34" spans="1:30" x14ac:dyDescent="0.25">
      <c r="A34" t="s">
        <v>657</v>
      </c>
      <c r="B34" t="s">
        <v>56</v>
      </c>
      <c r="C34" t="s">
        <v>253</v>
      </c>
      <c r="D34" t="s">
        <v>228</v>
      </c>
      <c r="E34" s="1">
        <f>IFERROR(_xlfn.XLOOKUP(BASE_DE_NOMES[[#This Row],[Nome]],'Folha Rainha'!B:B,'Folha Rainha'!D:D),0)</f>
        <v>0</v>
      </c>
      <c r="F34" t="str">
        <f>IFERROR(_xlfn.XLOOKUP(BASE_DE_NOMES[[#This Row],[Nome]],'Folha Rainha'!B:B,'Folha Rainha'!E:E)," ")</f>
        <v xml:space="preserve"> </v>
      </c>
      <c r="G34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34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34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34" s="4">
        <f>BASE_DE_NOMES[[#This Row],[C.CHEQUE]]-BASE_DE_NOMES[[#This Row],[FALTAS]]-BASE_DE_NOMES[[#This Row],[DESCONTO ]]</f>
        <v>0</v>
      </c>
      <c r="K34">
        <f>SUMIF(GRATIFICAÇÃO!A:A,BASE_DE_NOMES[[#This Row],[Nome]],GRATIFICAÇÃO!F:F)</f>
        <v>0</v>
      </c>
      <c r="L34">
        <f>SUMIF(PG!A:A,BASE_DE_NOMES[[#This Row],[Nome]],PG!E:E)</f>
        <v>0</v>
      </c>
      <c r="M34">
        <f>SUMIFS('Folha Rainha'!G:G,'Folha Rainha'!B:B,BASE_DE_NOMES[[#This Row],[Nome]],'Folha Rainha'!F:F,"*Quebra*",'Folha Rainha'!F:F,"*QUEBRA*")</f>
        <v>0</v>
      </c>
      <c r="N34">
        <f>SUMIFS('Folha Rainha'!G:G,'Folha Rainha'!B:B,BASE_DE_NOMES[[#This Row],[Nome]],'Folha Rainha'!F:F,"ADC. ANTIGUIDADE")</f>
        <v>0</v>
      </c>
      <c r="O34">
        <f>SUMIFS('Folha Rainha'!G:G,'Folha Rainha'!B:B,BASE_DE_NOMES[[#This Row],[Nome]],'Folha Rainha'!F:F,"*Trienio*")</f>
        <v>0</v>
      </c>
      <c r="P34">
        <f>SUMIFS('Folha Rainha'!G:G,'Folha Rainha'!B:B,BASE_DE_NOMES[[#This Row],[Nome]],'Folha Rainha'!F:F,"*TAXA*")</f>
        <v>0</v>
      </c>
      <c r="Q34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34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34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34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34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34">
        <f>BASE_DE_NOMES[[#This Row],[BOLSA DE AUXILIO]]+BASE_DE_NOMES[[#This Row],[VALE TRANSP]]+BASE_DE_NOMES[[#This Row],[PLANO DE SAUDE]]-BASE_DE_NOMES[[#This Row],[DESCONTOS]]</f>
        <v>0</v>
      </c>
      <c r="W34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34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34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34">
        <f>BASE_DE_NOMES[[#This Row],[PAGAMENTOS]]+BASE_DE_NOMES[[#This Row],[GRATIFICAÇÃO]]</f>
        <v>0</v>
      </c>
      <c r="AA34" s="4">
        <f>_xlfn.XLOOKUP(BASE_DE_NOMES[[#This Row],[NOME2]],Planilha1!C:C,Planilha1!D:D)*Y34</f>
        <v>0</v>
      </c>
      <c r="AB34" s="4">
        <f>BASE_DE_NOMES[[#This Row],[IMPOSTOS]]+BASE_DE_NOMES[[#This Row],[SALARIO BASE]]+BASE_DE_NOMES[[#This Row],[FAMILIA]]</f>
        <v>0</v>
      </c>
      <c r="AC34" t="str">
        <f>_xlfn.XLOOKUP(BASE_DE_NOMES[[#This Row],[Razão Social]],Planilha1!B:B,Planilha1!C:C)</f>
        <v>HOME CENTER</v>
      </c>
      <c r="AD34" t="str">
        <f>_xlfn.XLOOKUP(BASE_DE_NOMES[[#This Row],[Alocações]],Planilha1!B:B,Planilha1!C:C)</f>
        <v>GENESIS</v>
      </c>
    </row>
    <row r="35" spans="1:30" x14ac:dyDescent="0.25">
      <c r="A35" t="s">
        <v>658</v>
      </c>
      <c r="B35" t="s">
        <v>73</v>
      </c>
      <c r="C35" t="s">
        <v>508</v>
      </c>
      <c r="D35" t="s">
        <v>556</v>
      </c>
      <c r="E35" s="1">
        <f>IFERROR(_xlfn.XLOOKUP(BASE_DE_NOMES[[#This Row],[Nome]],'Folha Rainha'!B:B,'Folha Rainha'!D:D),0)</f>
        <v>0</v>
      </c>
      <c r="F35" t="str">
        <f>IFERROR(_xlfn.XLOOKUP(BASE_DE_NOMES[[#This Row],[Nome]],'Folha Rainha'!B:B,'Folha Rainha'!E:E)," ")</f>
        <v xml:space="preserve"> </v>
      </c>
      <c r="G35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35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35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35" s="4">
        <f>BASE_DE_NOMES[[#This Row],[C.CHEQUE]]-BASE_DE_NOMES[[#This Row],[FALTAS]]-BASE_DE_NOMES[[#This Row],[DESCONTO ]]</f>
        <v>0</v>
      </c>
      <c r="K35">
        <f>SUMIF(GRATIFICAÇÃO!A:A,BASE_DE_NOMES[[#This Row],[Nome]],GRATIFICAÇÃO!F:F)</f>
        <v>0</v>
      </c>
      <c r="L35">
        <f>SUMIF(PG!A:A,BASE_DE_NOMES[[#This Row],[Nome]],PG!E:E)</f>
        <v>0</v>
      </c>
      <c r="M35">
        <f>SUMIFS('Folha Rainha'!G:G,'Folha Rainha'!B:B,BASE_DE_NOMES[[#This Row],[Nome]],'Folha Rainha'!F:F,"*Quebra*",'Folha Rainha'!F:F,"*QUEBRA*")</f>
        <v>0</v>
      </c>
      <c r="N35">
        <f>SUMIFS('Folha Rainha'!G:G,'Folha Rainha'!B:B,BASE_DE_NOMES[[#This Row],[Nome]],'Folha Rainha'!F:F,"ADC. ANTIGUIDADE")</f>
        <v>0</v>
      </c>
      <c r="O35">
        <f>SUMIFS('Folha Rainha'!G:G,'Folha Rainha'!B:B,BASE_DE_NOMES[[#This Row],[Nome]],'Folha Rainha'!F:F,"*Trienio*")</f>
        <v>0</v>
      </c>
      <c r="P35">
        <f>SUMIFS('Folha Rainha'!G:G,'Folha Rainha'!B:B,BASE_DE_NOMES[[#This Row],[Nome]],'Folha Rainha'!F:F,"*TAXA*")</f>
        <v>0</v>
      </c>
      <c r="Q35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35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35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35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35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35">
        <f>BASE_DE_NOMES[[#This Row],[BOLSA DE AUXILIO]]+BASE_DE_NOMES[[#This Row],[VALE TRANSP]]+BASE_DE_NOMES[[#This Row],[PLANO DE SAUDE]]-BASE_DE_NOMES[[#This Row],[DESCONTOS]]</f>
        <v>0</v>
      </c>
      <c r="W35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35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35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35">
        <f>BASE_DE_NOMES[[#This Row],[PAGAMENTOS]]+BASE_DE_NOMES[[#This Row],[GRATIFICAÇÃO]]</f>
        <v>0</v>
      </c>
      <c r="AA35" s="4">
        <f>_xlfn.XLOOKUP(BASE_DE_NOMES[[#This Row],[NOME2]],Planilha1!C:C,Planilha1!D:D)*Y35</f>
        <v>0</v>
      </c>
      <c r="AB35" s="4">
        <f>BASE_DE_NOMES[[#This Row],[IMPOSTOS]]+BASE_DE_NOMES[[#This Row],[SALARIO BASE]]+BASE_DE_NOMES[[#This Row],[FAMILIA]]</f>
        <v>0</v>
      </c>
      <c r="AC35" t="str">
        <f>_xlfn.XLOOKUP(BASE_DE_NOMES[[#This Row],[Razão Social]],Planilha1!B:B,Planilha1!C:C)</f>
        <v>5K DECORAÇÕES</v>
      </c>
      <c r="AD35" t="str">
        <f>_xlfn.XLOOKUP(BASE_DE_NOMES[[#This Row],[Alocações]],Planilha1!B:B,Planilha1!C:C)</f>
        <v>SR PASSOS</v>
      </c>
    </row>
    <row r="36" spans="1:30" x14ac:dyDescent="0.25">
      <c r="A36" t="s">
        <v>631</v>
      </c>
      <c r="B36" t="s">
        <v>544</v>
      </c>
      <c r="C36" t="s">
        <v>252</v>
      </c>
      <c r="D36" t="s">
        <v>252</v>
      </c>
      <c r="E36" s="1">
        <f>IFERROR(_xlfn.XLOOKUP(BASE_DE_NOMES[[#This Row],[Nome]],'Folha Rainha'!B:B,'Folha Rainha'!D:D),0)</f>
        <v>0</v>
      </c>
      <c r="F36" t="str">
        <f>IFERROR(_xlfn.XLOOKUP(BASE_DE_NOMES[[#This Row],[Nome]],'Folha Rainha'!B:B,'Folha Rainha'!E:E)," ")</f>
        <v xml:space="preserve"> </v>
      </c>
      <c r="G36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36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36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36" s="4">
        <f>BASE_DE_NOMES[[#This Row],[C.CHEQUE]]-BASE_DE_NOMES[[#This Row],[FALTAS]]-BASE_DE_NOMES[[#This Row],[DESCONTO ]]</f>
        <v>0</v>
      </c>
      <c r="K36">
        <f>SUMIF(GRATIFICAÇÃO!A:A,BASE_DE_NOMES[[#This Row],[Nome]],GRATIFICAÇÃO!F:F)</f>
        <v>0</v>
      </c>
      <c r="L36">
        <f>SUMIF(PG!A:A,BASE_DE_NOMES[[#This Row],[Nome]],PG!E:E)</f>
        <v>0</v>
      </c>
      <c r="M36">
        <f>SUMIFS('Folha Rainha'!G:G,'Folha Rainha'!B:B,BASE_DE_NOMES[[#This Row],[Nome]],'Folha Rainha'!F:F,"*Quebra*",'Folha Rainha'!F:F,"*QUEBRA*")</f>
        <v>0</v>
      </c>
      <c r="N36">
        <f>SUMIFS('Folha Rainha'!G:G,'Folha Rainha'!B:B,BASE_DE_NOMES[[#This Row],[Nome]],'Folha Rainha'!F:F,"ADC. ANTIGUIDADE")</f>
        <v>0</v>
      </c>
      <c r="O36">
        <f>SUMIFS('Folha Rainha'!G:G,'Folha Rainha'!B:B,BASE_DE_NOMES[[#This Row],[Nome]],'Folha Rainha'!F:F,"*Trienio*")</f>
        <v>0</v>
      </c>
      <c r="P36">
        <f>SUMIFS('Folha Rainha'!G:G,'Folha Rainha'!B:B,BASE_DE_NOMES[[#This Row],[Nome]],'Folha Rainha'!F:F,"*TAXA*")</f>
        <v>0</v>
      </c>
      <c r="Q36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36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36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36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36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36">
        <f>BASE_DE_NOMES[[#This Row],[BOLSA DE AUXILIO]]+BASE_DE_NOMES[[#This Row],[VALE TRANSP]]+BASE_DE_NOMES[[#This Row],[PLANO DE SAUDE]]-BASE_DE_NOMES[[#This Row],[DESCONTOS]]</f>
        <v>0</v>
      </c>
      <c r="W36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36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36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36">
        <f>BASE_DE_NOMES[[#This Row],[PAGAMENTOS]]+BASE_DE_NOMES[[#This Row],[GRATIFICAÇÃO]]</f>
        <v>0</v>
      </c>
      <c r="AA36" s="4">
        <f>_xlfn.XLOOKUP(BASE_DE_NOMES[[#This Row],[NOME2]],Planilha1!C:C,Planilha1!D:D)*Y36</f>
        <v>0</v>
      </c>
      <c r="AB36" s="4">
        <f>BASE_DE_NOMES[[#This Row],[IMPOSTOS]]+BASE_DE_NOMES[[#This Row],[SALARIO BASE]]+BASE_DE_NOMES[[#This Row],[FAMILIA]]</f>
        <v>0</v>
      </c>
      <c r="AC36" t="str">
        <f>_xlfn.XLOOKUP(BASE_DE_NOMES[[#This Row],[Razão Social]],Planilha1!B:B,Planilha1!C:C)</f>
        <v>FABRICA</v>
      </c>
      <c r="AD36" t="str">
        <f>_xlfn.XLOOKUP(BASE_DE_NOMES[[#This Row],[Alocações]],Planilha1!B:B,Planilha1!C:C)</f>
        <v>FABRICA</v>
      </c>
    </row>
    <row r="37" spans="1:30" x14ac:dyDescent="0.25">
      <c r="A37" t="s">
        <v>64</v>
      </c>
      <c r="B37" t="s">
        <v>258</v>
      </c>
      <c r="C37" t="s">
        <v>229</v>
      </c>
      <c r="D37" t="s">
        <v>229</v>
      </c>
      <c r="E37" s="1">
        <f>IFERROR(_xlfn.XLOOKUP(BASE_DE_NOMES[[#This Row],[Nome]],'Folha Rainha'!B:B,'Folha Rainha'!D:D),0)</f>
        <v>44117</v>
      </c>
      <c r="F37" t="str">
        <f>IFERROR(_xlfn.XLOOKUP(BASE_DE_NOMES[[#This Row],[Nome]],'Folha Rainha'!B:B,'Folha Rainha'!E:E)," ")</f>
        <v>Trabalhando</v>
      </c>
      <c r="G37" s="4">
        <f>SUMIFS('Folha Rainha'!G:G,'Folha Rainha'!B:B,BASE_DE_NOMES[[#This Row],[Nome]],'Folha Rainha'!F:F,"Salário Base")+SUMIFS('Folha Rainha'!G:G,'Folha Rainha'!B:B,BASE_DE_NOMES[[#This Row],[Nome]],'Folha Rainha'!F:F,"Salário:")</f>
        <v>1600</v>
      </c>
      <c r="H37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37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37" s="4">
        <f>BASE_DE_NOMES[[#This Row],[C.CHEQUE]]-BASE_DE_NOMES[[#This Row],[FALTAS]]-BASE_DE_NOMES[[#This Row],[DESCONTO ]]</f>
        <v>1600</v>
      </c>
      <c r="K37">
        <f>SUMIF(GRATIFICAÇÃO!A:A,BASE_DE_NOMES[[#This Row],[Nome]],GRATIFICAÇÃO!F:F)</f>
        <v>0</v>
      </c>
      <c r="L37">
        <f>SUMIF(PG!A:A,BASE_DE_NOMES[[#This Row],[Nome]],PG!E:E)</f>
        <v>0</v>
      </c>
      <c r="M37">
        <f>SUMIFS('Folha Rainha'!G:G,'Folha Rainha'!B:B,BASE_DE_NOMES[[#This Row],[Nome]],'Folha Rainha'!F:F,"*Quebra*",'Folha Rainha'!F:F,"*QUEBRA*")</f>
        <v>0</v>
      </c>
      <c r="N37">
        <f>SUMIFS('Folha Rainha'!G:G,'Folha Rainha'!B:B,BASE_DE_NOMES[[#This Row],[Nome]],'Folha Rainha'!F:F,"ADC. ANTIGUIDADE")</f>
        <v>0</v>
      </c>
      <c r="O37">
        <f>SUMIFS('Folha Rainha'!G:G,'Folha Rainha'!B:B,BASE_DE_NOMES[[#This Row],[Nome]],'Folha Rainha'!F:F,"*Trienio*")</f>
        <v>0</v>
      </c>
      <c r="P37">
        <f>SUMIFS('Folha Rainha'!G:G,'Folha Rainha'!B:B,BASE_DE_NOMES[[#This Row],[Nome]],'Folha Rainha'!F:F,"*TAXA*")</f>
        <v>0</v>
      </c>
      <c r="Q37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37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37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37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37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37">
        <f>BASE_DE_NOMES[[#This Row],[BOLSA DE AUXILIO]]+BASE_DE_NOMES[[#This Row],[VALE TRANSP]]+BASE_DE_NOMES[[#This Row],[PLANO DE SAUDE]]-BASE_DE_NOMES[[#This Row],[DESCONTOS]]</f>
        <v>0</v>
      </c>
      <c r="W37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37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37" s="4">
        <f>BASE_DE_NOMES[[#This Row],[TOTAL DE C.CHEQUE]]+BASE_DE_NOMES[[#This Row],[TOTAL DE QUEBRA]]+BASE_DE_NOMES[[#This Row],[ADC. ANTIGUIDADE]]+BASE_DE_NOMES[[#This Row],[TOTAL DE TRIENIO]]+BASE_DE_NOMES[[#This Row],[CCT]]</f>
        <v>1600</v>
      </c>
      <c r="Z37">
        <f>BASE_DE_NOMES[[#This Row],[PAGAMENTOS]]+BASE_DE_NOMES[[#This Row],[GRATIFICAÇÃO]]</f>
        <v>0</v>
      </c>
      <c r="AA37" s="4">
        <f>_xlfn.XLOOKUP(BASE_DE_NOMES[[#This Row],[NOME2]],Planilha1!C:C,Planilha1!D:D)*Y37</f>
        <v>320</v>
      </c>
      <c r="AB37" s="4">
        <f>BASE_DE_NOMES[[#This Row],[IMPOSTOS]]+BASE_DE_NOMES[[#This Row],[SALARIO BASE]]+BASE_DE_NOMES[[#This Row],[FAMILIA]]</f>
        <v>1920</v>
      </c>
      <c r="AC37" t="str">
        <f>_xlfn.XLOOKUP(BASE_DE_NOMES[[#This Row],[Razão Social]],Planilha1!B:B,Planilha1!C:C)</f>
        <v>GRAND CANYON</v>
      </c>
      <c r="AD37" t="str">
        <f>_xlfn.XLOOKUP(BASE_DE_NOMES[[#This Row],[Alocações]],Planilha1!B:B,Planilha1!C:C)</f>
        <v>GRAND CANYON</v>
      </c>
    </row>
    <row r="38" spans="1:30" x14ac:dyDescent="0.25">
      <c r="A38" t="s">
        <v>178</v>
      </c>
      <c r="B38" t="s">
        <v>258</v>
      </c>
      <c r="C38" t="s">
        <v>556</v>
      </c>
      <c r="D38" t="s">
        <v>556</v>
      </c>
      <c r="E38" s="1">
        <f>IFERROR(_xlfn.XLOOKUP(BASE_DE_NOMES[[#This Row],[Nome]],'Folha Rainha'!B:B,'Folha Rainha'!D:D),0)</f>
        <v>44117</v>
      </c>
      <c r="F38" t="str">
        <f>IFERROR(_xlfn.XLOOKUP(BASE_DE_NOMES[[#This Row],[Nome]],'Folha Rainha'!B:B,'Folha Rainha'!E:E)," ")</f>
        <v>Trabalhando</v>
      </c>
      <c r="G38" s="4">
        <f>SUMIFS('Folha Rainha'!G:G,'Folha Rainha'!B:B,BASE_DE_NOMES[[#This Row],[Nome]],'Folha Rainha'!F:F,"Salário Base")+SUMIFS('Folha Rainha'!G:G,'Folha Rainha'!B:B,BASE_DE_NOMES[[#This Row],[Nome]],'Folha Rainha'!F:F,"Salário:")</f>
        <v>1660</v>
      </c>
      <c r="H38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38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38" s="4">
        <f>BASE_DE_NOMES[[#This Row],[C.CHEQUE]]-BASE_DE_NOMES[[#This Row],[FALTAS]]-BASE_DE_NOMES[[#This Row],[DESCONTO ]]</f>
        <v>1660</v>
      </c>
      <c r="K38">
        <f>SUMIF(GRATIFICAÇÃO!A:A,BASE_DE_NOMES[[#This Row],[Nome]],GRATIFICAÇÃO!F:F)</f>
        <v>0</v>
      </c>
      <c r="L38">
        <f>SUMIF(PG!A:A,BASE_DE_NOMES[[#This Row],[Nome]],PG!E:E)</f>
        <v>0</v>
      </c>
      <c r="M38">
        <f>SUMIFS('Folha Rainha'!G:G,'Folha Rainha'!B:B,BASE_DE_NOMES[[#This Row],[Nome]],'Folha Rainha'!F:F,"*Quebra*",'Folha Rainha'!F:F,"*QUEBRA*")</f>
        <v>0</v>
      </c>
      <c r="N38">
        <f>SUMIFS('Folha Rainha'!G:G,'Folha Rainha'!B:B,BASE_DE_NOMES[[#This Row],[Nome]],'Folha Rainha'!F:F,"ADC. ANTIGUIDADE")</f>
        <v>0</v>
      </c>
      <c r="O38">
        <f>SUMIFS('Folha Rainha'!G:G,'Folha Rainha'!B:B,BASE_DE_NOMES[[#This Row],[Nome]],'Folha Rainha'!F:F,"*Trienio*")</f>
        <v>83</v>
      </c>
      <c r="P38">
        <f>SUMIFS('Folha Rainha'!G:G,'Folha Rainha'!B:B,BASE_DE_NOMES[[#This Row],[Nome]],'Folha Rainha'!F:F,"*TAXA*")</f>
        <v>0</v>
      </c>
      <c r="Q38" s="4">
        <f>SUMIFS('Folha Rainha'!G:G,'Folha Rainha'!B:B,BASE_DE_NOMES[[#This Row],[Nome]],'Folha Rainha'!F:F,"SALARIO FAMILIA")+SUMIFS('Folha Rainha'!G:G,'Folha Rainha'!B:B,BASE_DE_NOMES[[#This Row],[Nome]],'Folha Rainha'!F:F,"Salário Família")</f>
        <v>65</v>
      </c>
      <c r="R38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38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99.6</v>
      </c>
      <c r="T38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38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38">
        <f>BASE_DE_NOMES[[#This Row],[BOLSA DE AUXILIO]]+BASE_DE_NOMES[[#This Row],[VALE TRANSP]]+BASE_DE_NOMES[[#This Row],[PLANO DE SAUDE]]-BASE_DE_NOMES[[#This Row],[DESCONTOS]]</f>
        <v>99.6</v>
      </c>
      <c r="W38" s="4">
        <f>SUMIFS('Folha Rainha'!G:G,'Folha Rainha'!B:B,BASE_DE_NOMES[[#This Row],[Nome]],'Folha Rainha'!F:F,"VALE COMPRAS")+SUMIFS('Folha Rainha'!G:G,'Folha Rainha'!B:B,BASE_DE_NOMES[[#This Row],[Nome]],'Folha Rainha'!F:F,"VALES")</f>
        <v>133.71</v>
      </c>
      <c r="X38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38" s="4">
        <f>BASE_DE_NOMES[[#This Row],[TOTAL DE C.CHEQUE]]+BASE_DE_NOMES[[#This Row],[TOTAL DE QUEBRA]]+BASE_DE_NOMES[[#This Row],[ADC. ANTIGUIDADE]]+BASE_DE_NOMES[[#This Row],[TOTAL DE TRIENIO]]+BASE_DE_NOMES[[#This Row],[CCT]]</f>
        <v>1743</v>
      </c>
      <c r="Z38">
        <f>BASE_DE_NOMES[[#This Row],[PAGAMENTOS]]+BASE_DE_NOMES[[#This Row],[GRATIFICAÇÃO]]</f>
        <v>0</v>
      </c>
      <c r="AA38" s="4">
        <f>_xlfn.XLOOKUP(BASE_DE_NOMES[[#This Row],[NOME2]],Planilha1!C:C,Planilha1!D:D)*Y38</f>
        <v>877.25189999999998</v>
      </c>
      <c r="AB38" s="4">
        <f>BASE_DE_NOMES[[#This Row],[IMPOSTOS]]+BASE_DE_NOMES[[#This Row],[SALARIO BASE]]+BASE_DE_NOMES[[#This Row],[FAMILIA]]</f>
        <v>2685.2519000000002</v>
      </c>
      <c r="AC38" t="str">
        <f>_xlfn.XLOOKUP(BASE_DE_NOMES[[#This Row],[Razão Social]],Planilha1!B:B,Planilha1!C:C)</f>
        <v>SR PASSOS</v>
      </c>
      <c r="AD38" t="str">
        <f>_xlfn.XLOOKUP(BASE_DE_NOMES[[#This Row],[Alocações]],Planilha1!B:B,Planilha1!C:C)</f>
        <v>SR PASSOS</v>
      </c>
    </row>
    <row r="39" spans="1:30" x14ac:dyDescent="0.25">
      <c r="A39" t="s">
        <v>265</v>
      </c>
      <c r="B39" t="s">
        <v>56</v>
      </c>
      <c r="C39" t="s">
        <v>584</v>
      </c>
      <c r="D39" t="s">
        <v>584</v>
      </c>
      <c r="E39" s="1">
        <f>IFERROR(_xlfn.XLOOKUP(BASE_DE_NOMES[[#This Row],[Nome]],'Folha Rainha'!B:B,'Folha Rainha'!D:D),0)</f>
        <v>44683</v>
      </c>
      <c r="F39" t="str">
        <f>IFERROR(_xlfn.XLOOKUP(BASE_DE_NOMES[[#This Row],[Nome]],'Folha Rainha'!B:B,'Folha Rainha'!E:E)," ")</f>
        <v>Trabalhando</v>
      </c>
      <c r="G39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39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39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39" s="4">
        <f>BASE_DE_NOMES[[#This Row],[C.CHEQUE]]-BASE_DE_NOMES[[#This Row],[FALTAS]]-BASE_DE_NOMES[[#This Row],[DESCONTO ]]</f>
        <v>1518</v>
      </c>
      <c r="K39">
        <f>SUMIF(GRATIFICAÇÃO!A:A,BASE_DE_NOMES[[#This Row],[Nome]],GRATIFICAÇÃO!F:F)</f>
        <v>0</v>
      </c>
      <c r="L39">
        <f>SUMIF(PG!A:A,BASE_DE_NOMES[[#This Row],[Nome]],PG!E:E)</f>
        <v>0</v>
      </c>
      <c r="M39">
        <f>SUMIFS('Folha Rainha'!G:G,'Folha Rainha'!B:B,BASE_DE_NOMES[[#This Row],[Nome]],'Folha Rainha'!F:F,"*Quebra*",'Folha Rainha'!F:F,"*QUEBRA*")</f>
        <v>151.80000000000001</v>
      </c>
      <c r="N39">
        <f>SUMIFS('Folha Rainha'!G:G,'Folha Rainha'!B:B,BASE_DE_NOMES[[#This Row],[Nome]],'Folha Rainha'!F:F,"ADC. ANTIGUIDADE")</f>
        <v>0</v>
      </c>
      <c r="O39">
        <f>SUMIFS('Folha Rainha'!G:G,'Folha Rainha'!B:B,BASE_DE_NOMES[[#This Row],[Nome]],'Folha Rainha'!F:F,"*Trienio*")</f>
        <v>45.54</v>
      </c>
      <c r="P39">
        <f>SUMIFS('Folha Rainha'!G:G,'Folha Rainha'!B:B,BASE_DE_NOMES[[#This Row],[Nome]],'Folha Rainha'!F:F,"*TAXA*")</f>
        <v>20</v>
      </c>
      <c r="Q39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39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39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39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39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20</v>
      </c>
      <c r="V39">
        <f>BASE_DE_NOMES[[#This Row],[BOLSA DE AUXILIO]]+BASE_DE_NOMES[[#This Row],[VALE TRANSP]]+BASE_DE_NOMES[[#This Row],[PLANO DE SAUDE]]-BASE_DE_NOMES[[#This Row],[DESCONTOS]]</f>
        <v>-20</v>
      </c>
      <c r="W39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39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39" s="4">
        <f>BASE_DE_NOMES[[#This Row],[TOTAL DE C.CHEQUE]]+BASE_DE_NOMES[[#This Row],[TOTAL DE QUEBRA]]+BASE_DE_NOMES[[#This Row],[ADC. ANTIGUIDADE]]+BASE_DE_NOMES[[#This Row],[TOTAL DE TRIENIO]]+BASE_DE_NOMES[[#This Row],[CCT]]</f>
        <v>1715.34</v>
      </c>
      <c r="Z39">
        <f>BASE_DE_NOMES[[#This Row],[PAGAMENTOS]]+BASE_DE_NOMES[[#This Row],[GRATIFICAÇÃO]]</f>
        <v>0</v>
      </c>
      <c r="AA39" s="4">
        <f>_xlfn.XLOOKUP(BASE_DE_NOMES[[#This Row],[NOME2]],Planilha1!C:C,Planilha1!D:D)*Y39</f>
        <v>343.06799999999998</v>
      </c>
      <c r="AB39" s="4">
        <f>BASE_DE_NOMES[[#This Row],[IMPOSTOS]]+BASE_DE_NOMES[[#This Row],[SALARIO BASE]]+BASE_DE_NOMES[[#This Row],[FAMILIA]]</f>
        <v>2058.4079999999999</v>
      </c>
      <c r="AC39" t="str">
        <f>_xlfn.XLOOKUP(BASE_DE_NOMES[[#This Row],[Razão Social]],Planilha1!B:B,Planilha1!C:C)</f>
        <v>15 K COMERCIAL</v>
      </c>
      <c r="AD39" t="str">
        <f>_xlfn.XLOOKUP(BASE_DE_NOMES[[#This Row],[Alocações]],Planilha1!B:B,Planilha1!C:C)</f>
        <v>15 K COMERCIAL</v>
      </c>
    </row>
    <row r="40" spans="1:30" x14ac:dyDescent="0.25">
      <c r="A40" t="s">
        <v>659</v>
      </c>
      <c r="B40" t="s">
        <v>258</v>
      </c>
      <c r="C40" t="s">
        <v>511</v>
      </c>
      <c r="D40" t="s">
        <v>511</v>
      </c>
      <c r="E40" s="1">
        <f>IFERROR(_xlfn.XLOOKUP(BASE_DE_NOMES[[#This Row],[Nome]],'Folha Rainha'!B:B,'Folha Rainha'!D:D),0)</f>
        <v>0</v>
      </c>
      <c r="F40" t="str">
        <f>IFERROR(_xlfn.XLOOKUP(BASE_DE_NOMES[[#This Row],[Nome]],'Folha Rainha'!B:B,'Folha Rainha'!E:E)," ")</f>
        <v xml:space="preserve"> </v>
      </c>
      <c r="G40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40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40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40" s="4">
        <f>BASE_DE_NOMES[[#This Row],[C.CHEQUE]]-BASE_DE_NOMES[[#This Row],[FALTAS]]-BASE_DE_NOMES[[#This Row],[DESCONTO ]]</f>
        <v>0</v>
      </c>
      <c r="K40">
        <f>SUMIF(GRATIFICAÇÃO!A:A,BASE_DE_NOMES[[#This Row],[Nome]],GRATIFICAÇÃO!F:F)</f>
        <v>0</v>
      </c>
      <c r="L40">
        <f>SUMIF(PG!A:A,BASE_DE_NOMES[[#This Row],[Nome]],PG!E:E)</f>
        <v>0</v>
      </c>
      <c r="M40">
        <f>SUMIFS('Folha Rainha'!G:G,'Folha Rainha'!B:B,BASE_DE_NOMES[[#This Row],[Nome]],'Folha Rainha'!F:F,"*Quebra*",'Folha Rainha'!F:F,"*QUEBRA*")</f>
        <v>0</v>
      </c>
      <c r="N40">
        <f>SUMIFS('Folha Rainha'!G:G,'Folha Rainha'!B:B,BASE_DE_NOMES[[#This Row],[Nome]],'Folha Rainha'!F:F,"ADC. ANTIGUIDADE")</f>
        <v>0</v>
      </c>
      <c r="O40">
        <f>SUMIFS('Folha Rainha'!G:G,'Folha Rainha'!B:B,BASE_DE_NOMES[[#This Row],[Nome]],'Folha Rainha'!F:F,"*Trienio*")</f>
        <v>0</v>
      </c>
      <c r="P40">
        <f>SUMIFS('Folha Rainha'!G:G,'Folha Rainha'!B:B,BASE_DE_NOMES[[#This Row],[Nome]],'Folha Rainha'!F:F,"*TAXA*")</f>
        <v>0</v>
      </c>
      <c r="Q40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40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40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40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40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40">
        <f>BASE_DE_NOMES[[#This Row],[BOLSA DE AUXILIO]]+BASE_DE_NOMES[[#This Row],[VALE TRANSP]]+BASE_DE_NOMES[[#This Row],[PLANO DE SAUDE]]-BASE_DE_NOMES[[#This Row],[DESCONTOS]]</f>
        <v>0</v>
      </c>
      <c r="W40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40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40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40">
        <f>BASE_DE_NOMES[[#This Row],[PAGAMENTOS]]+BASE_DE_NOMES[[#This Row],[GRATIFICAÇÃO]]</f>
        <v>0</v>
      </c>
      <c r="AA40" s="4">
        <f>_xlfn.XLOOKUP(BASE_DE_NOMES[[#This Row],[NOME2]],Planilha1!C:C,Planilha1!D:D)*Y40</f>
        <v>0</v>
      </c>
      <c r="AB40" s="4">
        <f>BASE_DE_NOMES[[#This Row],[IMPOSTOS]]+BASE_DE_NOMES[[#This Row],[SALARIO BASE]]+BASE_DE_NOMES[[#This Row],[FAMILIA]]</f>
        <v>0</v>
      </c>
      <c r="AC40" t="str">
        <f>_xlfn.XLOOKUP(BASE_DE_NOMES[[#This Row],[Razão Social]],Planilha1!B:B,Planilha1!C:C)</f>
        <v>10k DECORAÇÕES</v>
      </c>
      <c r="AD40" t="str">
        <f>_xlfn.XLOOKUP(BASE_DE_NOMES[[#This Row],[Alocações]],Planilha1!B:B,Planilha1!C:C)</f>
        <v>10k DECORAÇÕES</v>
      </c>
    </row>
    <row r="41" spans="1:30" x14ac:dyDescent="0.25">
      <c r="A41" t="s">
        <v>379</v>
      </c>
      <c r="B41" t="s">
        <v>258</v>
      </c>
      <c r="C41" t="s">
        <v>253</v>
      </c>
      <c r="D41" t="s">
        <v>228</v>
      </c>
      <c r="E41" s="1">
        <f>IFERROR(_xlfn.XLOOKUP(BASE_DE_NOMES[[#This Row],[Nome]],'Folha Rainha'!B:B,'Folha Rainha'!D:D),0)</f>
        <v>44958</v>
      </c>
      <c r="F41" t="str">
        <f>IFERROR(_xlfn.XLOOKUP(BASE_DE_NOMES[[#This Row],[Nome]],'Folha Rainha'!B:B,'Folha Rainha'!E:E)," ")</f>
        <v>Trabalhando</v>
      </c>
      <c r="G41" s="4">
        <f>SUMIFS('Folha Rainha'!G:G,'Folha Rainha'!B:B,BASE_DE_NOMES[[#This Row],[Nome]],'Folha Rainha'!F:F,"Salário Base")+SUMIFS('Folha Rainha'!G:G,'Folha Rainha'!B:B,BASE_DE_NOMES[[#This Row],[Nome]],'Folha Rainha'!F:F,"Salário:")</f>
        <v>1660</v>
      </c>
      <c r="H41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41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41" s="4">
        <f>BASE_DE_NOMES[[#This Row],[C.CHEQUE]]-BASE_DE_NOMES[[#This Row],[FALTAS]]-BASE_DE_NOMES[[#This Row],[DESCONTO ]]</f>
        <v>1660</v>
      </c>
      <c r="K41">
        <f>SUMIF(GRATIFICAÇÃO!A:A,BASE_DE_NOMES[[#This Row],[Nome]],GRATIFICAÇÃO!F:F)</f>
        <v>0</v>
      </c>
      <c r="L41">
        <f>SUMIF(PG!A:A,BASE_DE_NOMES[[#This Row],[Nome]],PG!E:E)</f>
        <v>0</v>
      </c>
      <c r="M41">
        <f>SUMIFS('Folha Rainha'!G:G,'Folha Rainha'!B:B,BASE_DE_NOMES[[#This Row],[Nome]],'Folha Rainha'!F:F,"*Quebra*",'Folha Rainha'!F:F,"*QUEBRA*")</f>
        <v>0</v>
      </c>
      <c r="N41">
        <f>SUMIFS('Folha Rainha'!G:G,'Folha Rainha'!B:B,BASE_DE_NOMES[[#This Row],[Nome]],'Folha Rainha'!F:F,"ADC. ANTIGUIDADE")</f>
        <v>0</v>
      </c>
      <c r="O41">
        <f>SUMIFS('Folha Rainha'!G:G,'Folha Rainha'!B:B,BASE_DE_NOMES[[#This Row],[Nome]],'Folha Rainha'!F:F,"*Trienio*")</f>
        <v>0</v>
      </c>
      <c r="P41">
        <f>SUMIFS('Folha Rainha'!G:G,'Folha Rainha'!B:B,BASE_DE_NOMES[[#This Row],[Nome]],'Folha Rainha'!F:F,"*TAXA*")</f>
        <v>20</v>
      </c>
      <c r="Q41" s="4">
        <f>SUMIFS('Folha Rainha'!G:G,'Folha Rainha'!B:B,BASE_DE_NOMES[[#This Row],[Nome]],'Folha Rainha'!F:F,"SALARIO FAMILIA")+SUMIFS('Folha Rainha'!G:G,'Folha Rainha'!B:B,BASE_DE_NOMES[[#This Row],[Nome]],'Folha Rainha'!F:F,"Salário Família")</f>
        <v>65</v>
      </c>
      <c r="R41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41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41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41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20</v>
      </c>
      <c r="V41">
        <f>BASE_DE_NOMES[[#This Row],[BOLSA DE AUXILIO]]+BASE_DE_NOMES[[#This Row],[VALE TRANSP]]+BASE_DE_NOMES[[#This Row],[PLANO DE SAUDE]]-BASE_DE_NOMES[[#This Row],[DESCONTOS]]</f>
        <v>-20</v>
      </c>
      <c r="W41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41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41" s="4">
        <f>BASE_DE_NOMES[[#This Row],[TOTAL DE C.CHEQUE]]+BASE_DE_NOMES[[#This Row],[TOTAL DE QUEBRA]]+BASE_DE_NOMES[[#This Row],[ADC. ANTIGUIDADE]]+BASE_DE_NOMES[[#This Row],[TOTAL DE TRIENIO]]+BASE_DE_NOMES[[#This Row],[CCT]]</f>
        <v>1660</v>
      </c>
      <c r="Z41">
        <f>BASE_DE_NOMES[[#This Row],[PAGAMENTOS]]+BASE_DE_NOMES[[#This Row],[GRATIFICAÇÃO]]</f>
        <v>0</v>
      </c>
      <c r="AA41" s="4">
        <f>_xlfn.XLOOKUP(BASE_DE_NOMES[[#This Row],[NOME2]],Planilha1!C:C,Planilha1!D:D)*Y41</f>
        <v>332</v>
      </c>
      <c r="AB41" s="4">
        <f>BASE_DE_NOMES[[#This Row],[IMPOSTOS]]+BASE_DE_NOMES[[#This Row],[SALARIO BASE]]+BASE_DE_NOMES[[#This Row],[FAMILIA]]</f>
        <v>2057</v>
      </c>
      <c r="AC41" t="str">
        <f>_xlfn.XLOOKUP(BASE_DE_NOMES[[#This Row],[Razão Social]],Planilha1!B:B,Planilha1!C:C)</f>
        <v>HOME CENTER</v>
      </c>
      <c r="AD41" t="str">
        <f>_xlfn.XLOOKUP(BASE_DE_NOMES[[#This Row],[Alocações]],Planilha1!B:B,Planilha1!C:C)</f>
        <v>GENESIS</v>
      </c>
    </row>
    <row r="42" spans="1:30" x14ac:dyDescent="0.25">
      <c r="A42" t="s">
        <v>457</v>
      </c>
      <c r="B42" t="s">
        <v>258</v>
      </c>
      <c r="C42" t="s">
        <v>322</v>
      </c>
      <c r="D42" t="s">
        <v>322</v>
      </c>
      <c r="E42" s="1">
        <f>IFERROR(_xlfn.XLOOKUP(BASE_DE_NOMES[[#This Row],[Nome]],'Folha Rainha'!B:B,'Folha Rainha'!D:D),0)</f>
        <v>45236</v>
      </c>
      <c r="F42" t="str">
        <f>IFERROR(_xlfn.XLOOKUP(BASE_DE_NOMES[[#This Row],[Nome]],'Folha Rainha'!B:B,'Folha Rainha'!E:E)," ")</f>
        <v>Trabalhando</v>
      </c>
      <c r="G42" s="4">
        <f>SUMIFS('Folha Rainha'!G:G,'Folha Rainha'!B:B,BASE_DE_NOMES[[#This Row],[Nome]],'Folha Rainha'!F:F,"Salário Base")+SUMIFS('Folha Rainha'!G:G,'Folha Rainha'!B:B,BASE_DE_NOMES[[#This Row],[Nome]],'Folha Rainha'!F:F,"Salário:")</f>
        <v>1694.35</v>
      </c>
      <c r="H42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42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42" s="4">
        <f>BASE_DE_NOMES[[#This Row],[C.CHEQUE]]-BASE_DE_NOMES[[#This Row],[FALTAS]]-BASE_DE_NOMES[[#This Row],[DESCONTO ]]</f>
        <v>1694.35</v>
      </c>
      <c r="K42">
        <f>SUMIF(GRATIFICAÇÃO!A:A,BASE_DE_NOMES[[#This Row],[Nome]],GRATIFICAÇÃO!F:F)</f>
        <v>0</v>
      </c>
      <c r="L42">
        <f>SUMIF(PG!A:A,BASE_DE_NOMES[[#This Row],[Nome]],PG!E:E)</f>
        <v>0</v>
      </c>
      <c r="M42">
        <f>SUMIFS('Folha Rainha'!G:G,'Folha Rainha'!B:B,BASE_DE_NOMES[[#This Row],[Nome]],'Folha Rainha'!F:F,"*Quebra*",'Folha Rainha'!F:F,"*QUEBRA*")</f>
        <v>0</v>
      </c>
      <c r="N42">
        <f>SUMIFS('Folha Rainha'!G:G,'Folha Rainha'!B:B,BASE_DE_NOMES[[#This Row],[Nome]],'Folha Rainha'!F:F,"ADC. ANTIGUIDADE")</f>
        <v>0</v>
      </c>
      <c r="O42">
        <f>SUMIFS('Folha Rainha'!G:G,'Folha Rainha'!B:B,BASE_DE_NOMES[[#This Row],[Nome]],'Folha Rainha'!F:F,"*Trienio*")</f>
        <v>0</v>
      </c>
      <c r="P42">
        <f>SUMIFS('Folha Rainha'!G:G,'Folha Rainha'!B:B,BASE_DE_NOMES[[#This Row],[Nome]],'Folha Rainha'!F:F,"*TAXA*")</f>
        <v>0</v>
      </c>
      <c r="Q42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42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42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42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42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42">
        <f>BASE_DE_NOMES[[#This Row],[BOLSA DE AUXILIO]]+BASE_DE_NOMES[[#This Row],[VALE TRANSP]]+BASE_DE_NOMES[[#This Row],[PLANO DE SAUDE]]-BASE_DE_NOMES[[#This Row],[DESCONTOS]]</f>
        <v>0</v>
      </c>
      <c r="W42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42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42" s="4">
        <f>BASE_DE_NOMES[[#This Row],[TOTAL DE C.CHEQUE]]+BASE_DE_NOMES[[#This Row],[TOTAL DE QUEBRA]]+BASE_DE_NOMES[[#This Row],[ADC. ANTIGUIDADE]]+BASE_DE_NOMES[[#This Row],[TOTAL DE TRIENIO]]+BASE_DE_NOMES[[#This Row],[CCT]]</f>
        <v>1694.35</v>
      </c>
      <c r="Z42">
        <f>BASE_DE_NOMES[[#This Row],[PAGAMENTOS]]+BASE_DE_NOMES[[#This Row],[GRATIFICAÇÃO]]</f>
        <v>0</v>
      </c>
      <c r="AA42" s="4">
        <f>_xlfn.XLOOKUP(BASE_DE_NOMES[[#This Row],[NOME2]],Planilha1!C:C,Planilha1!D:D)*Y42</f>
        <v>338.87</v>
      </c>
      <c r="AB42" s="4">
        <f>BASE_DE_NOMES[[#This Row],[IMPOSTOS]]+BASE_DE_NOMES[[#This Row],[SALARIO BASE]]+BASE_DE_NOMES[[#This Row],[FAMILIA]]</f>
        <v>2033.2199999999998</v>
      </c>
      <c r="AC42" t="str">
        <f>_xlfn.XLOOKUP(BASE_DE_NOMES[[#This Row],[Razão Social]],Planilha1!B:B,Planilha1!C:C)</f>
        <v>METANÓIA</v>
      </c>
      <c r="AD42" t="str">
        <f>_xlfn.XLOOKUP(BASE_DE_NOMES[[#This Row],[Alocações]],Planilha1!B:B,Planilha1!C:C)</f>
        <v>METANÓIA</v>
      </c>
    </row>
    <row r="43" spans="1:30" x14ac:dyDescent="0.25">
      <c r="A43" t="s">
        <v>239</v>
      </c>
      <c r="B43" t="s">
        <v>311</v>
      </c>
      <c r="C43" t="s">
        <v>326</v>
      </c>
      <c r="D43" t="s">
        <v>252</v>
      </c>
      <c r="E43" s="1">
        <f>IFERROR(_xlfn.XLOOKUP(BASE_DE_NOMES[[#This Row],[Nome]],'Folha Rainha'!B:B,'Folha Rainha'!D:D),0)</f>
        <v>44792</v>
      </c>
      <c r="F43" t="str">
        <f>IFERROR(_xlfn.XLOOKUP(BASE_DE_NOMES[[#This Row],[Nome]],'Folha Rainha'!B:B,'Folha Rainha'!E:E)," ")</f>
        <v>Trabalhando</v>
      </c>
      <c r="G43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43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43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43" s="4">
        <f>BASE_DE_NOMES[[#This Row],[C.CHEQUE]]-BASE_DE_NOMES[[#This Row],[FALTAS]]-BASE_DE_NOMES[[#This Row],[DESCONTO ]]</f>
        <v>1518</v>
      </c>
      <c r="K43">
        <f>SUMIF(GRATIFICAÇÃO!A:A,BASE_DE_NOMES[[#This Row],[Nome]],GRATIFICAÇÃO!F:F)</f>
        <v>700</v>
      </c>
      <c r="L43">
        <f>SUMIF(PG!A:A,BASE_DE_NOMES[[#This Row],[Nome]],PG!E:E)</f>
        <v>0</v>
      </c>
      <c r="M43">
        <f>SUMIFS('Folha Rainha'!G:G,'Folha Rainha'!B:B,BASE_DE_NOMES[[#This Row],[Nome]],'Folha Rainha'!F:F,"*Quebra*",'Folha Rainha'!F:F,"*QUEBRA*")</f>
        <v>0</v>
      </c>
      <c r="N43">
        <f>SUMIFS('Folha Rainha'!G:G,'Folha Rainha'!B:B,BASE_DE_NOMES[[#This Row],[Nome]],'Folha Rainha'!F:F,"ADC. ANTIGUIDADE")</f>
        <v>0</v>
      </c>
      <c r="O43">
        <f>SUMIFS('Folha Rainha'!G:G,'Folha Rainha'!B:B,BASE_DE_NOMES[[#This Row],[Nome]],'Folha Rainha'!F:F,"*Trienio*")</f>
        <v>0</v>
      </c>
      <c r="P43">
        <f>SUMIFS('Folha Rainha'!G:G,'Folha Rainha'!B:B,BASE_DE_NOMES[[#This Row],[Nome]],'Folha Rainha'!F:F,"*TAXA*")</f>
        <v>0</v>
      </c>
      <c r="Q43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43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43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43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43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43">
        <f>BASE_DE_NOMES[[#This Row],[BOLSA DE AUXILIO]]+BASE_DE_NOMES[[#This Row],[VALE TRANSP]]+BASE_DE_NOMES[[#This Row],[PLANO DE SAUDE]]-BASE_DE_NOMES[[#This Row],[DESCONTOS]]</f>
        <v>0</v>
      </c>
      <c r="W43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43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43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43">
        <f>BASE_DE_NOMES[[#This Row],[PAGAMENTOS]]+BASE_DE_NOMES[[#This Row],[GRATIFICAÇÃO]]</f>
        <v>700</v>
      </c>
      <c r="AA43" s="4">
        <f>_xlfn.XLOOKUP(BASE_DE_NOMES[[#This Row],[NOME2]],Planilha1!C:C,Planilha1!D:D)*Y43</f>
        <v>303.60000000000002</v>
      </c>
      <c r="AB43" s="4">
        <f>BASE_DE_NOMES[[#This Row],[IMPOSTOS]]+BASE_DE_NOMES[[#This Row],[SALARIO BASE]]+BASE_DE_NOMES[[#This Row],[FAMILIA]]</f>
        <v>1821.6</v>
      </c>
      <c r="AC43" t="str">
        <f>_xlfn.XLOOKUP(BASE_DE_NOMES[[#This Row],[Razão Social]],Planilha1!B:B,Planilha1!C:C)</f>
        <v>VALE XEL</v>
      </c>
      <c r="AD43" t="str">
        <f>_xlfn.XLOOKUP(BASE_DE_NOMES[[#This Row],[Alocações]],Planilha1!B:B,Planilha1!C:C)</f>
        <v>FABRICA</v>
      </c>
    </row>
    <row r="44" spans="1:30" x14ac:dyDescent="0.25">
      <c r="A44" t="s">
        <v>632</v>
      </c>
      <c r="B44" t="s">
        <v>544</v>
      </c>
      <c r="C44" t="s">
        <v>252</v>
      </c>
      <c r="D44" t="s">
        <v>252</v>
      </c>
      <c r="E44" s="1">
        <f>IFERROR(_xlfn.XLOOKUP(BASE_DE_NOMES[[#This Row],[Nome]],'Folha Rainha'!B:B,'Folha Rainha'!D:D),0)</f>
        <v>0</v>
      </c>
      <c r="F44" t="str">
        <f>IFERROR(_xlfn.XLOOKUP(BASE_DE_NOMES[[#This Row],[Nome]],'Folha Rainha'!B:B,'Folha Rainha'!E:E)," ")</f>
        <v xml:space="preserve"> </v>
      </c>
      <c r="G44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44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44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44" s="4">
        <f>BASE_DE_NOMES[[#This Row],[C.CHEQUE]]-BASE_DE_NOMES[[#This Row],[FALTAS]]-BASE_DE_NOMES[[#This Row],[DESCONTO ]]</f>
        <v>0</v>
      </c>
      <c r="K44">
        <f>SUMIF(GRATIFICAÇÃO!A:A,BASE_DE_NOMES[[#This Row],[Nome]],GRATIFICAÇÃO!F:F)</f>
        <v>0</v>
      </c>
      <c r="L44">
        <f>SUMIF(PG!A:A,BASE_DE_NOMES[[#This Row],[Nome]],PG!E:E)</f>
        <v>0</v>
      </c>
      <c r="M44">
        <f>SUMIFS('Folha Rainha'!G:G,'Folha Rainha'!B:B,BASE_DE_NOMES[[#This Row],[Nome]],'Folha Rainha'!F:F,"*Quebra*",'Folha Rainha'!F:F,"*QUEBRA*")</f>
        <v>0</v>
      </c>
      <c r="N44">
        <f>SUMIFS('Folha Rainha'!G:G,'Folha Rainha'!B:B,BASE_DE_NOMES[[#This Row],[Nome]],'Folha Rainha'!F:F,"ADC. ANTIGUIDADE")</f>
        <v>0</v>
      </c>
      <c r="O44">
        <f>SUMIFS('Folha Rainha'!G:G,'Folha Rainha'!B:B,BASE_DE_NOMES[[#This Row],[Nome]],'Folha Rainha'!F:F,"*Trienio*")</f>
        <v>0</v>
      </c>
      <c r="P44">
        <f>SUMIFS('Folha Rainha'!G:G,'Folha Rainha'!B:B,BASE_DE_NOMES[[#This Row],[Nome]],'Folha Rainha'!F:F,"*TAXA*")</f>
        <v>0</v>
      </c>
      <c r="Q44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44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44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44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44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44">
        <f>BASE_DE_NOMES[[#This Row],[BOLSA DE AUXILIO]]+BASE_DE_NOMES[[#This Row],[VALE TRANSP]]+BASE_DE_NOMES[[#This Row],[PLANO DE SAUDE]]-BASE_DE_NOMES[[#This Row],[DESCONTOS]]</f>
        <v>0</v>
      </c>
      <c r="W44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44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44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44">
        <f>BASE_DE_NOMES[[#This Row],[PAGAMENTOS]]+BASE_DE_NOMES[[#This Row],[GRATIFICAÇÃO]]</f>
        <v>0</v>
      </c>
      <c r="AA44" s="4">
        <f>_xlfn.XLOOKUP(BASE_DE_NOMES[[#This Row],[NOME2]],Planilha1!C:C,Planilha1!D:D)*Y44</f>
        <v>0</v>
      </c>
      <c r="AB44" s="4">
        <f>BASE_DE_NOMES[[#This Row],[IMPOSTOS]]+BASE_DE_NOMES[[#This Row],[SALARIO BASE]]+BASE_DE_NOMES[[#This Row],[FAMILIA]]</f>
        <v>0</v>
      </c>
      <c r="AC44" t="str">
        <f>_xlfn.XLOOKUP(BASE_DE_NOMES[[#This Row],[Razão Social]],Planilha1!B:B,Planilha1!C:C)</f>
        <v>FABRICA</v>
      </c>
      <c r="AD44" t="str">
        <f>_xlfn.XLOOKUP(BASE_DE_NOMES[[#This Row],[Alocações]],Planilha1!B:B,Planilha1!C:C)</f>
        <v>FABRICA</v>
      </c>
    </row>
    <row r="45" spans="1:30" x14ac:dyDescent="0.25">
      <c r="A45" t="s">
        <v>595</v>
      </c>
      <c r="B45" t="s">
        <v>213</v>
      </c>
      <c r="C45" t="s">
        <v>252</v>
      </c>
      <c r="D45" t="s">
        <v>252</v>
      </c>
      <c r="E45" s="1">
        <f>IFERROR(_xlfn.XLOOKUP(BASE_DE_NOMES[[#This Row],[Nome]],'Folha Rainha'!B:B,'Folha Rainha'!D:D),0)</f>
        <v>45731</v>
      </c>
      <c r="F45" t="str">
        <f>IFERROR(_xlfn.XLOOKUP(BASE_DE_NOMES[[#This Row],[Nome]],'Folha Rainha'!B:B,'Folha Rainha'!E:E)," ")</f>
        <v>Trabalhando</v>
      </c>
      <c r="G45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45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45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45" s="4">
        <f>BASE_DE_NOMES[[#This Row],[C.CHEQUE]]-BASE_DE_NOMES[[#This Row],[FALTAS]]-BASE_DE_NOMES[[#This Row],[DESCONTO ]]</f>
        <v>1518</v>
      </c>
      <c r="K45">
        <f>SUMIF(GRATIFICAÇÃO!A:A,BASE_DE_NOMES[[#This Row],[Nome]],GRATIFICAÇÃO!F:F)</f>
        <v>0</v>
      </c>
      <c r="L45">
        <f>SUMIF(PG!A:A,BASE_DE_NOMES[[#This Row],[Nome]],PG!E:E)</f>
        <v>0</v>
      </c>
      <c r="M45">
        <f>SUMIFS('Folha Rainha'!G:G,'Folha Rainha'!B:B,BASE_DE_NOMES[[#This Row],[Nome]],'Folha Rainha'!F:F,"*Quebra*",'Folha Rainha'!F:F,"*QUEBRA*")</f>
        <v>0</v>
      </c>
      <c r="N45">
        <f>SUMIFS('Folha Rainha'!G:G,'Folha Rainha'!B:B,BASE_DE_NOMES[[#This Row],[Nome]],'Folha Rainha'!F:F,"ADC. ANTIGUIDADE")</f>
        <v>0</v>
      </c>
      <c r="O45">
        <f>SUMIFS('Folha Rainha'!G:G,'Folha Rainha'!B:B,BASE_DE_NOMES[[#This Row],[Nome]],'Folha Rainha'!F:F,"*Trienio*")</f>
        <v>0</v>
      </c>
      <c r="P45">
        <f>SUMIFS('Folha Rainha'!G:G,'Folha Rainha'!B:B,BASE_DE_NOMES[[#This Row],[Nome]],'Folha Rainha'!F:F,"*TAXA*")</f>
        <v>0</v>
      </c>
      <c r="Q45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45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45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45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45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45">
        <f>BASE_DE_NOMES[[#This Row],[BOLSA DE AUXILIO]]+BASE_DE_NOMES[[#This Row],[VALE TRANSP]]+BASE_DE_NOMES[[#This Row],[PLANO DE SAUDE]]-BASE_DE_NOMES[[#This Row],[DESCONTOS]]</f>
        <v>0</v>
      </c>
      <c r="W45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45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45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45">
        <f>BASE_DE_NOMES[[#This Row],[PAGAMENTOS]]+BASE_DE_NOMES[[#This Row],[GRATIFICAÇÃO]]</f>
        <v>0</v>
      </c>
      <c r="AA45" s="4">
        <f>_xlfn.XLOOKUP(BASE_DE_NOMES[[#This Row],[NOME2]],Planilha1!C:C,Planilha1!D:D)*Y45</f>
        <v>764.00939999999991</v>
      </c>
      <c r="AB45" s="4">
        <f>BASE_DE_NOMES[[#This Row],[IMPOSTOS]]+BASE_DE_NOMES[[#This Row],[SALARIO BASE]]+BASE_DE_NOMES[[#This Row],[FAMILIA]]</f>
        <v>2282.0093999999999</v>
      </c>
      <c r="AC45" t="str">
        <f>_xlfn.XLOOKUP(BASE_DE_NOMES[[#This Row],[Razão Social]],Planilha1!B:B,Planilha1!C:C)</f>
        <v>FABRICA</v>
      </c>
      <c r="AD45" t="str">
        <f>_xlfn.XLOOKUP(BASE_DE_NOMES[[#This Row],[Alocações]],Planilha1!B:B,Planilha1!C:C)</f>
        <v>FABRICA</v>
      </c>
    </row>
    <row r="46" spans="1:30" x14ac:dyDescent="0.25">
      <c r="A46" t="s">
        <v>402</v>
      </c>
      <c r="B46" t="s">
        <v>164</v>
      </c>
      <c r="C46" t="s">
        <v>253</v>
      </c>
      <c r="D46" t="s">
        <v>556</v>
      </c>
      <c r="E46" s="1">
        <f>IFERROR(_xlfn.XLOOKUP(BASE_DE_NOMES[[#This Row],[Nome]],'Folha Rainha'!B:B,'Folha Rainha'!D:D),0)</f>
        <v>44874</v>
      </c>
      <c r="F46" t="str">
        <f>IFERROR(_xlfn.XLOOKUP(BASE_DE_NOMES[[#This Row],[Nome]],'Folha Rainha'!B:B,'Folha Rainha'!E:E)," ")</f>
        <v>Trabalhando</v>
      </c>
      <c r="G46" s="4">
        <f>SUMIFS('Folha Rainha'!G:G,'Folha Rainha'!B:B,BASE_DE_NOMES[[#This Row],[Nome]],'Folha Rainha'!F:F,"Salário Base")+SUMIFS('Folha Rainha'!G:G,'Folha Rainha'!B:B,BASE_DE_NOMES[[#This Row],[Nome]],'Folha Rainha'!F:F,"Salário:")</f>
        <v>1660</v>
      </c>
      <c r="H46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46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46" s="4">
        <f>BASE_DE_NOMES[[#This Row],[C.CHEQUE]]-BASE_DE_NOMES[[#This Row],[FALTAS]]-BASE_DE_NOMES[[#This Row],[DESCONTO ]]</f>
        <v>1660</v>
      </c>
      <c r="K46">
        <f>SUMIF(GRATIFICAÇÃO!A:A,BASE_DE_NOMES[[#This Row],[Nome]],GRATIFICAÇÃO!F:F)</f>
        <v>0</v>
      </c>
      <c r="L46">
        <f>SUMIF(PG!A:A,BASE_DE_NOMES[[#This Row],[Nome]],PG!E:E)</f>
        <v>0</v>
      </c>
      <c r="M46">
        <f>SUMIFS('Folha Rainha'!G:G,'Folha Rainha'!B:B,BASE_DE_NOMES[[#This Row],[Nome]],'Folha Rainha'!F:F,"*Quebra*",'Folha Rainha'!F:F,"*QUEBRA*")</f>
        <v>0</v>
      </c>
      <c r="N46">
        <f>SUMIFS('Folha Rainha'!G:G,'Folha Rainha'!B:B,BASE_DE_NOMES[[#This Row],[Nome]],'Folha Rainha'!F:F,"ADC. ANTIGUIDADE")</f>
        <v>0</v>
      </c>
      <c r="O46">
        <f>SUMIFS('Folha Rainha'!G:G,'Folha Rainha'!B:B,BASE_DE_NOMES[[#This Row],[Nome]],'Folha Rainha'!F:F,"*Trienio*")</f>
        <v>0</v>
      </c>
      <c r="P46">
        <f>SUMIFS('Folha Rainha'!G:G,'Folha Rainha'!B:B,BASE_DE_NOMES[[#This Row],[Nome]],'Folha Rainha'!F:F,"*TAXA*")</f>
        <v>20</v>
      </c>
      <c r="Q46" s="4">
        <f>SUMIFS('Folha Rainha'!G:G,'Folha Rainha'!B:B,BASE_DE_NOMES[[#This Row],[Nome]],'Folha Rainha'!F:F,"SALARIO FAMILIA")+SUMIFS('Folha Rainha'!G:G,'Folha Rainha'!B:B,BASE_DE_NOMES[[#This Row],[Nome]],'Folha Rainha'!F:F,"Salário Família")</f>
        <v>65</v>
      </c>
      <c r="R46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46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99.6</v>
      </c>
      <c r="T46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46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20</v>
      </c>
      <c r="V46">
        <f>BASE_DE_NOMES[[#This Row],[BOLSA DE AUXILIO]]+BASE_DE_NOMES[[#This Row],[VALE TRANSP]]+BASE_DE_NOMES[[#This Row],[PLANO DE SAUDE]]-BASE_DE_NOMES[[#This Row],[DESCONTOS]]</f>
        <v>79.599999999999994</v>
      </c>
      <c r="W46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46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46" s="4">
        <f>BASE_DE_NOMES[[#This Row],[TOTAL DE C.CHEQUE]]+BASE_DE_NOMES[[#This Row],[TOTAL DE QUEBRA]]+BASE_DE_NOMES[[#This Row],[ADC. ANTIGUIDADE]]+BASE_DE_NOMES[[#This Row],[TOTAL DE TRIENIO]]+BASE_DE_NOMES[[#This Row],[CCT]]</f>
        <v>1660</v>
      </c>
      <c r="Z46">
        <f>BASE_DE_NOMES[[#This Row],[PAGAMENTOS]]+BASE_DE_NOMES[[#This Row],[GRATIFICAÇÃO]]</f>
        <v>0</v>
      </c>
      <c r="AA46" s="4">
        <f>_xlfn.XLOOKUP(BASE_DE_NOMES[[#This Row],[NOME2]],Planilha1!C:C,Planilha1!D:D)*Y46</f>
        <v>332</v>
      </c>
      <c r="AB46" s="4">
        <f>BASE_DE_NOMES[[#This Row],[IMPOSTOS]]+BASE_DE_NOMES[[#This Row],[SALARIO BASE]]+BASE_DE_NOMES[[#This Row],[FAMILIA]]</f>
        <v>2057</v>
      </c>
      <c r="AC46" t="str">
        <f>_xlfn.XLOOKUP(BASE_DE_NOMES[[#This Row],[Razão Social]],Planilha1!B:B,Planilha1!C:C)</f>
        <v>HOME CENTER</v>
      </c>
      <c r="AD46" t="str">
        <f>_xlfn.XLOOKUP(BASE_DE_NOMES[[#This Row],[Alocações]],Planilha1!B:B,Planilha1!C:C)</f>
        <v>SR PASSOS</v>
      </c>
    </row>
    <row r="47" spans="1:30" x14ac:dyDescent="0.25">
      <c r="A47" t="s">
        <v>545</v>
      </c>
      <c r="B47" t="s">
        <v>407</v>
      </c>
      <c r="C47" t="s">
        <v>252</v>
      </c>
      <c r="D47" t="s">
        <v>252</v>
      </c>
      <c r="E47" s="1">
        <f>IFERROR(_xlfn.XLOOKUP(BASE_DE_NOMES[[#This Row],[Nome]],'Folha Rainha'!B:B,'Folha Rainha'!D:D),0)</f>
        <v>45752</v>
      </c>
      <c r="F47" t="str">
        <f>IFERROR(_xlfn.XLOOKUP(BASE_DE_NOMES[[#This Row],[Nome]],'Folha Rainha'!B:B,'Folha Rainha'!E:E)," ")</f>
        <v>Trabalhando</v>
      </c>
      <c r="G47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47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47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47" s="4">
        <f>BASE_DE_NOMES[[#This Row],[C.CHEQUE]]-BASE_DE_NOMES[[#This Row],[FALTAS]]-BASE_DE_NOMES[[#This Row],[DESCONTO ]]</f>
        <v>1518</v>
      </c>
      <c r="K47">
        <f>SUMIF(GRATIFICAÇÃO!A:A,BASE_DE_NOMES[[#This Row],[Nome]],GRATIFICAÇÃO!F:F)</f>
        <v>0</v>
      </c>
      <c r="L47">
        <f>SUMIF(PG!A:A,BASE_DE_NOMES[[#This Row],[Nome]],PG!E:E)</f>
        <v>0</v>
      </c>
      <c r="M47">
        <f>SUMIFS('Folha Rainha'!G:G,'Folha Rainha'!B:B,BASE_DE_NOMES[[#This Row],[Nome]],'Folha Rainha'!F:F,"*Quebra*",'Folha Rainha'!F:F,"*QUEBRA*")</f>
        <v>0</v>
      </c>
      <c r="N47">
        <f>SUMIFS('Folha Rainha'!G:G,'Folha Rainha'!B:B,BASE_DE_NOMES[[#This Row],[Nome]],'Folha Rainha'!F:F,"ADC. ANTIGUIDADE")</f>
        <v>0</v>
      </c>
      <c r="O47">
        <f>SUMIFS('Folha Rainha'!G:G,'Folha Rainha'!B:B,BASE_DE_NOMES[[#This Row],[Nome]],'Folha Rainha'!F:F,"*Trienio*")</f>
        <v>0</v>
      </c>
      <c r="P47">
        <f>SUMIFS('Folha Rainha'!G:G,'Folha Rainha'!B:B,BASE_DE_NOMES[[#This Row],[Nome]],'Folha Rainha'!F:F,"*TAXA*")</f>
        <v>0</v>
      </c>
      <c r="Q47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47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47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47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47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47">
        <f>BASE_DE_NOMES[[#This Row],[BOLSA DE AUXILIO]]+BASE_DE_NOMES[[#This Row],[VALE TRANSP]]+BASE_DE_NOMES[[#This Row],[PLANO DE SAUDE]]-BASE_DE_NOMES[[#This Row],[DESCONTOS]]</f>
        <v>0</v>
      </c>
      <c r="W47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47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47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47">
        <f>BASE_DE_NOMES[[#This Row],[PAGAMENTOS]]+BASE_DE_NOMES[[#This Row],[GRATIFICAÇÃO]]</f>
        <v>0</v>
      </c>
      <c r="AA47" s="4">
        <f>_xlfn.XLOOKUP(BASE_DE_NOMES[[#This Row],[NOME2]],Planilha1!C:C,Planilha1!D:D)*Y47</f>
        <v>764.00939999999991</v>
      </c>
      <c r="AB47" s="4">
        <f>BASE_DE_NOMES[[#This Row],[IMPOSTOS]]+BASE_DE_NOMES[[#This Row],[SALARIO BASE]]+BASE_DE_NOMES[[#This Row],[FAMILIA]]</f>
        <v>2282.0093999999999</v>
      </c>
      <c r="AC47" t="str">
        <f>_xlfn.XLOOKUP(BASE_DE_NOMES[[#This Row],[Razão Social]],Planilha1!B:B,Planilha1!C:C)</f>
        <v>FABRICA</v>
      </c>
      <c r="AD47" t="str">
        <f>_xlfn.XLOOKUP(BASE_DE_NOMES[[#This Row],[Alocações]],Planilha1!B:B,Planilha1!C:C)</f>
        <v>FABRICA</v>
      </c>
    </row>
    <row r="48" spans="1:30" x14ac:dyDescent="0.25">
      <c r="A48" t="s">
        <v>660</v>
      </c>
      <c r="B48" t="s">
        <v>258</v>
      </c>
      <c r="C48" t="s">
        <v>253</v>
      </c>
      <c r="D48" t="s">
        <v>253</v>
      </c>
      <c r="E48" s="1">
        <f>IFERROR(_xlfn.XLOOKUP(BASE_DE_NOMES[[#This Row],[Nome]],'Folha Rainha'!B:B,'Folha Rainha'!D:D),0)</f>
        <v>0</v>
      </c>
      <c r="F48" t="str">
        <f>IFERROR(_xlfn.XLOOKUP(BASE_DE_NOMES[[#This Row],[Nome]],'Folha Rainha'!B:B,'Folha Rainha'!E:E)," ")</f>
        <v xml:space="preserve"> </v>
      </c>
      <c r="G48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48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48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48" s="4">
        <f>BASE_DE_NOMES[[#This Row],[C.CHEQUE]]-BASE_DE_NOMES[[#This Row],[FALTAS]]-BASE_DE_NOMES[[#This Row],[DESCONTO ]]</f>
        <v>0</v>
      </c>
      <c r="K48">
        <f>SUMIF(GRATIFICAÇÃO!A:A,BASE_DE_NOMES[[#This Row],[Nome]],GRATIFICAÇÃO!F:F)</f>
        <v>0</v>
      </c>
      <c r="L48">
        <f>SUMIF(PG!A:A,BASE_DE_NOMES[[#This Row],[Nome]],PG!E:E)</f>
        <v>0</v>
      </c>
      <c r="M48">
        <f>SUMIFS('Folha Rainha'!G:G,'Folha Rainha'!B:B,BASE_DE_NOMES[[#This Row],[Nome]],'Folha Rainha'!F:F,"*Quebra*",'Folha Rainha'!F:F,"*QUEBRA*")</f>
        <v>0</v>
      </c>
      <c r="N48">
        <f>SUMIFS('Folha Rainha'!G:G,'Folha Rainha'!B:B,BASE_DE_NOMES[[#This Row],[Nome]],'Folha Rainha'!F:F,"ADC. ANTIGUIDADE")</f>
        <v>0</v>
      </c>
      <c r="O48">
        <f>SUMIFS('Folha Rainha'!G:G,'Folha Rainha'!B:B,BASE_DE_NOMES[[#This Row],[Nome]],'Folha Rainha'!F:F,"*Trienio*")</f>
        <v>0</v>
      </c>
      <c r="P48">
        <f>SUMIFS('Folha Rainha'!G:G,'Folha Rainha'!B:B,BASE_DE_NOMES[[#This Row],[Nome]],'Folha Rainha'!F:F,"*TAXA*")</f>
        <v>0</v>
      </c>
      <c r="Q48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48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48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48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48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48">
        <f>BASE_DE_NOMES[[#This Row],[BOLSA DE AUXILIO]]+BASE_DE_NOMES[[#This Row],[VALE TRANSP]]+BASE_DE_NOMES[[#This Row],[PLANO DE SAUDE]]-BASE_DE_NOMES[[#This Row],[DESCONTOS]]</f>
        <v>0</v>
      </c>
      <c r="W48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48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48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48">
        <f>BASE_DE_NOMES[[#This Row],[PAGAMENTOS]]+BASE_DE_NOMES[[#This Row],[GRATIFICAÇÃO]]</f>
        <v>0</v>
      </c>
      <c r="AA48" s="4">
        <f>_xlfn.XLOOKUP(BASE_DE_NOMES[[#This Row],[NOME2]],Planilha1!C:C,Planilha1!D:D)*Y48</f>
        <v>0</v>
      </c>
      <c r="AB48" s="4">
        <f>BASE_DE_NOMES[[#This Row],[IMPOSTOS]]+BASE_DE_NOMES[[#This Row],[SALARIO BASE]]+BASE_DE_NOMES[[#This Row],[FAMILIA]]</f>
        <v>0</v>
      </c>
      <c r="AC48" t="str">
        <f>_xlfn.XLOOKUP(BASE_DE_NOMES[[#This Row],[Razão Social]],Planilha1!B:B,Planilha1!C:C)</f>
        <v>HOME CENTER</v>
      </c>
      <c r="AD48" t="str">
        <f>_xlfn.XLOOKUP(BASE_DE_NOMES[[#This Row],[Alocações]],Planilha1!B:B,Planilha1!C:C)</f>
        <v>HOME CENTER</v>
      </c>
    </row>
    <row r="49" spans="1:30" x14ac:dyDescent="0.25">
      <c r="A49" t="s">
        <v>240</v>
      </c>
      <c r="B49" t="s">
        <v>407</v>
      </c>
      <c r="C49" t="s">
        <v>252</v>
      </c>
      <c r="D49" t="s">
        <v>252</v>
      </c>
      <c r="E49" s="1">
        <f>IFERROR(_xlfn.XLOOKUP(BASE_DE_NOMES[[#This Row],[Nome]],'Folha Rainha'!B:B,'Folha Rainha'!D:D),0)</f>
        <v>44613</v>
      </c>
      <c r="F49" t="str">
        <f>IFERROR(_xlfn.XLOOKUP(BASE_DE_NOMES[[#This Row],[Nome]],'Folha Rainha'!B:B,'Folha Rainha'!E:E)," ")</f>
        <v>Trabalhando</v>
      </c>
      <c r="G49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49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49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49" s="4">
        <f>BASE_DE_NOMES[[#This Row],[C.CHEQUE]]-BASE_DE_NOMES[[#This Row],[FALTAS]]-BASE_DE_NOMES[[#This Row],[DESCONTO ]]</f>
        <v>1518</v>
      </c>
      <c r="K49">
        <f>SUMIF(GRATIFICAÇÃO!A:A,BASE_DE_NOMES[[#This Row],[Nome]],GRATIFICAÇÃO!F:F)</f>
        <v>0</v>
      </c>
      <c r="L49">
        <f>SUMIF(PG!A:A,BASE_DE_NOMES[[#This Row],[Nome]],PG!E:E)</f>
        <v>0</v>
      </c>
      <c r="M49">
        <f>SUMIFS('Folha Rainha'!G:G,'Folha Rainha'!B:B,BASE_DE_NOMES[[#This Row],[Nome]],'Folha Rainha'!F:F,"*Quebra*",'Folha Rainha'!F:F,"*QUEBRA*")</f>
        <v>0</v>
      </c>
      <c r="N49">
        <f>SUMIFS('Folha Rainha'!G:G,'Folha Rainha'!B:B,BASE_DE_NOMES[[#This Row],[Nome]],'Folha Rainha'!F:F,"ADC. ANTIGUIDADE")</f>
        <v>0</v>
      </c>
      <c r="O49">
        <f>SUMIFS('Folha Rainha'!G:G,'Folha Rainha'!B:B,BASE_DE_NOMES[[#This Row],[Nome]],'Folha Rainha'!F:F,"*Trienio*")</f>
        <v>0</v>
      </c>
      <c r="P49">
        <f>SUMIFS('Folha Rainha'!G:G,'Folha Rainha'!B:B,BASE_DE_NOMES[[#This Row],[Nome]],'Folha Rainha'!F:F,"*TAXA*")</f>
        <v>0</v>
      </c>
      <c r="Q49" s="4">
        <f>SUMIFS('Folha Rainha'!G:G,'Folha Rainha'!B:B,BASE_DE_NOMES[[#This Row],[Nome]],'Folha Rainha'!F:F,"SALARIO FAMILIA")+SUMIFS('Folha Rainha'!G:G,'Folha Rainha'!B:B,BASE_DE_NOMES[[#This Row],[Nome]],'Folha Rainha'!F:F,"Salário Família")</f>
        <v>65</v>
      </c>
      <c r="R49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49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49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49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49">
        <f>BASE_DE_NOMES[[#This Row],[BOLSA DE AUXILIO]]+BASE_DE_NOMES[[#This Row],[VALE TRANSP]]+BASE_DE_NOMES[[#This Row],[PLANO DE SAUDE]]-BASE_DE_NOMES[[#This Row],[DESCONTOS]]</f>
        <v>0</v>
      </c>
      <c r="W49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49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49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49">
        <f>BASE_DE_NOMES[[#This Row],[PAGAMENTOS]]+BASE_DE_NOMES[[#This Row],[GRATIFICAÇÃO]]</f>
        <v>0</v>
      </c>
      <c r="AA49" s="4">
        <f>_xlfn.XLOOKUP(BASE_DE_NOMES[[#This Row],[NOME2]],Planilha1!C:C,Planilha1!D:D)*Y49</f>
        <v>764.00939999999991</v>
      </c>
      <c r="AB49" s="4">
        <f>BASE_DE_NOMES[[#This Row],[IMPOSTOS]]+BASE_DE_NOMES[[#This Row],[SALARIO BASE]]+BASE_DE_NOMES[[#This Row],[FAMILIA]]</f>
        <v>2347.0093999999999</v>
      </c>
      <c r="AC49" t="str">
        <f>_xlfn.XLOOKUP(BASE_DE_NOMES[[#This Row],[Razão Social]],Planilha1!B:B,Planilha1!C:C)</f>
        <v>FABRICA</v>
      </c>
      <c r="AD49" t="str">
        <f>_xlfn.XLOOKUP(BASE_DE_NOMES[[#This Row],[Alocações]],Planilha1!B:B,Planilha1!C:C)</f>
        <v>FABRICA</v>
      </c>
    </row>
    <row r="50" spans="1:30" x14ac:dyDescent="0.25">
      <c r="A50" t="s">
        <v>661</v>
      </c>
      <c r="B50" t="s">
        <v>213</v>
      </c>
      <c r="C50" t="s">
        <v>252</v>
      </c>
      <c r="D50" t="s">
        <v>252</v>
      </c>
      <c r="E50" s="1">
        <f>IFERROR(_xlfn.XLOOKUP(BASE_DE_NOMES[[#This Row],[Nome]],'Folha Rainha'!B:B,'Folha Rainha'!D:D),0)</f>
        <v>0</v>
      </c>
      <c r="F50" t="str">
        <f>IFERROR(_xlfn.XLOOKUP(BASE_DE_NOMES[[#This Row],[Nome]],'Folha Rainha'!B:B,'Folha Rainha'!E:E)," ")</f>
        <v xml:space="preserve"> </v>
      </c>
      <c r="G50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50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50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50" s="4">
        <f>BASE_DE_NOMES[[#This Row],[C.CHEQUE]]-BASE_DE_NOMES[[#This Row],[FALTAS]]-BASE_DE_NOMES[[#This Row],[DESCONTO ]]</f>
        <v>0</v>
      </c>
      <c r="K50">
        <f>SUMIF(GRATIFICAÇÃO!A:A,BASE_DE_NOMES[[#This Row],[Nome]],GRATIFICAÇÃO!F:F)</f>
        <v>0</v>
      </c>
      <c r="L50">
        <f>SUMIF(PG!A:A,BASE_DE_NOMES[[#This Row],[Nome]],PG!E:E)</f>
        <v>0</v>
      </c>
      <c r="M50">
        <f>SUMIFS('Folha Rainha'!G:G,'Folha Rainha'!B:B,BASE_DE_NOMES[[#This Row],[Nome]],'Folha Rainha'!F:F,"*Quebra*",'Folha Rainha'!F:F,"*QUEBRA*")</f>
        <v>0</v>
      </c>
      <c r="N50">
        <f>SUMIFS('Folha Rainha'!G:G,'Folha Rainha'!B:B,BASE_DE_NOMES[[#This Row],[Nome]],'Folha Rainha'!F:F,"ADC. ANTIGUIDADE")</f>
        <v>0</v>
      </c>
      <c r="O50">
        <f>SUMIFS('Folha Rainha'!G:G,'Folha Rainha'!B:B,BASE_DE_NOMES[[#This Row],[Nome]],'Folha Rainha'!F:F,"*Trienio*")</f>
        <v>0</v>
      </c>
      <c r="P50">
        <f>SUMIFS('Folha Rainha'!G:G,'Folha Rainha'!B:B,BASE_DE_NOMES[[#This Row],[Nome]],'Folha Rainha'!F:F,"*TAXA*")</f>
        <v>0</v>
      </c>
      <c r="Q50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50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50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50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50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50">
        <f>BASE_DE_NOMES[[#This Row],[BOLSA DE AUXILIO]]+BASE_DE_NOMES[[#This Row],[VALE TRANSP]]+BASE_DE_NOMES[[#This Row],[PLANO DE SAUDE]]-BASE_DE_NOMES[[#This Row],[DESCONTOS]]</f>
        <v>0</v>
      </c>
      <c r="W50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50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50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50">
        <f>BASE_DE_NOMES[[#This Row],[PAGAMENTOS]]+BASE_DE_NOMES[[#This Row],[GRATIFICAÇÃO]]</f>
        <v>0</v>
      </c>
      <c r="AA50" s="4">
        <f>_xlfn.XLOOKUP(BASE_DE_NOMES[[#This Row],[NOME2]],Planilha1!C:C,Planilha1!D:D)*Y50</f>
        <v>0</v>
      </c>
      <c r="AB50" s="4">
        <f>BASE_DE_NOMES[[#This Row],[IMPOSTOS]]+BASE_DE_NOMES[[#This Row],[SALARIO BASE]]+BASE_DE_NOMES[[#This Row],[FAMILIA]]</f>
        <v>0</v>
      </c>
      <c r="AC50" t="str">
        <f>_xlfn.XLOOKUP(BASE_DE_NOMES[[#This Row],[Razão Social]],Planilha1!B:B,Planilha1!C:C)</f>
        <v>FABRICA</v>
      </c>
      <c r="AD50" t="str">
        <f>_xlfn.XLOOKUP(BASE_DE_NOMES[[#This Row],[Alocações]],Planilha1!B:B,Planilha1!C:C)</f>
        <v>FABRICA</v>
      </c>
    </row>
    <row r="51" spans="1:30" x14ac:dyDescent="0.25">
      <c r="A51" t="s">
        <v>363</v>
      </c>
      <c r="B51" t="s">
        <v>213</v>
      </c>
      <c r="C51" t="s">
        <v>326</v>
      </c>
      <c r="D51" t="s">
        <v>252</v>
      </c>
      <c r="E51" s="1">
        <f>IFERROR(_xlfn.XLOOKUP(BASE_DE_NOMES[[#This Row],[Nome]],'Folha Rainha'!B:B,'Folha Rainha'!D:D),0)</f>
        <v>45110</v>
      </c>
      <c r="F51" t="str">
        <f>IFERROR(_xlfn.XLOOKUP(BASE_DE_NOMES[[#This Row],[Nome]],'Folha Rainha'!B:B,'Folha Rainha'!E:E)," ")</f>
        <v>Trabalhando</v>
      </c>
      <c r="G51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51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69</v>
      </c>
      <c r="I51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51" s="4">
        <f>BASE_DE_NOMES[[#This Row],[C.CHEQUE]]-BASE_DE_NOMES[[#This Row],[FALTAS]]-BASE_DE_NOMES[[#This Row],[DESCONTO ]]</f>
        <v>1449</v>
      </c>
      <c r="K51">
        <f>SUMIF(GRATIFICAÇÃO!A:A,BASE_DE_NOMES[[#This Row],[Nome]],GRATIFICAÇÃO!F:F)</f>
        <v>0</v>
      </c>
      <c r="L51">
        <f>SUMIF(PG!A:A,BASE_DE_NOMES[[#This Row],[Nome]],PG!E:E)</f>
        <v>0</v>
      </c>
      <c r="M51">
        <f>SUMIFS('Folha Rainha'!G:G,'Folha Rainha'!B:B,BASE_DE_NOMES[[#This Row],[Nome]],'Folha Rainha'!F:F,"*Quebra*",'Folha Rainha'!F:F,"*QUEBRA*")</f>
        <v>0</v>
      </c>
      <c r="N51">
        <f>SUMIFS('Folha Rainha'!G:G,'Folha Rainha'!B:B,BASE_DE_NOMES[[#This Row],[Nome]],'Folha Rainha'!F:F,"ADC. ANTIGUIDADE")</f>
        <v>0</v>
      </c>
      <c r="O51">
        <f>SUMIFS('Folha Rainha'!G:G,'Folha Rainha'!B:B,BASE_DE_NOMES[[#This Row],[Nome]],'Folha Rainha'!F:F,"*Trienio*")</f>
        <v>0</v>
      </c>
      <c r="P51">
        <f>SUMIFS('Folha Rainha'!G:G,'Folha Rainha'!B:B,BASE_DE_NOMES[[#This Row],[Nome]],'Folha Rainha'!F:F,"*TAXA*")</f>
        <v>0</v>
      </c>
      <c r="Q51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51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51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51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51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51">
        <f>BASE_DE_NOMES[[#This Row],[BOLSA DE AUXILIO]]+BASE_DE_NOMES[[#This Row],[VALE TRANSP]]+BASE_DE_NOMES[[#This Row],[PLANO DE SAUDE]]-BASE_DE_NOMES[[#This Row],[DESCONTOS]]</f>
        <v>0</v>
      </c>
      <c r="W51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51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51" s="4">
        <f>BASE_DE_NOMES[[#This Row],[TOTAL DE C.CHEQUE]]+BASE_DE_NOMES[[#This Row],[TOTAL DE QUEBRA]]+BASE_DE_NOMES[[#This Row],[ADC. ANTIGUIDADE]]+BASE_DE_NOMES[[#This Row],[TOTAL DE TRIENIO]]+BASE_DE_NOMES[[#This Row],[CCT]]</f>
        <v>1449</v>
      </c>
      <c r="Z51">
        <f>BASE_DE_NOMES[[#This Row],[PAGAMENTOS]]+BASE_DE_NOMES[[#This Row],[GRATIFICAÇÃO]]</f>
        <v>0</v>
      </c>
      <c r="AA51" s="4">
        <f>_xlfn.XLOOKUP(BASE_DE_NOMES[[#This Row],[NOME2]],Planilha1!C:C,Planilha1!D:D)*Y51</f>
        <v>289.8</v>
      </c>
      <c r="AB51" s="4">
        <f>BASE_DE_NOMES[[#This Row],[IMPOSTOS]]+BASE_DE_NOMES[[#This Row],[SALARIO BASE]]+BASE_DE_NOMES[[#This Row],[FAMILIA]]</f>
        <v>1738.8</v>
      </c>
      <c r="AC51" t="str">
        <f>_xlfn.XLOOKUP(BASE_DE_NOMES[[#This Row],[Razão Social]],Planilha1!B:B,Planilha1!C:C)</f>
        <v>VALE XEL</v>
      </c>
      <c r="AD51" t="str">
        <f>_xlfn.XLOOKUP(BASE_DE_NOMES[[#This Row],[Alocações]],Planilha1!B:B,Planilha1!C:C)</f>
        <v>FABRICA</v>
      </c>
    </row>
    <row r="52" spans="1:30" x14ac:dyDescent="0.25">
      <c r="A52" t="s">
        <v>115</v>
      </c>
      <c r="B52" t="s">
        <v>213</v>
      </c>
      <c r="C52" t="s">
        <v>252</v>
      </c>
      <c r="D52" t="s">
        <v>252</v>
      </c>
      <c r="E52" s="1">
        <f>IFERROR(_xlfn.XLOOKUP(BASE_DE_NOMES[[#This Row],[Nome]],'Folha Rainha'!B:B,'Folha Rainha'!D:D),0)</f>
        <v>43252</v>
      </c>
      <c r="F52" t="str">
        <f>IFERROR(_xlfn.XLOOKUP(BASE_DE_NOMES[[#This Row],[Nome]],'Folha Rainha'!B:B,'Folha Rainha'!E:E)," ")</f>
        <v>Trabalhando</v>
      </c>
      <c r="G52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52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52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52" s="4">
        <f>BASE_DE_NOMES[[#This Row],[C.CHEQUE]]-BASE_DE_NOMES[[#This Row],[FALTAS]]-BASE_DE_NOMES[[#This Row],[DESCONTO ]]</f>
        <v>1518</v>
      </c>
      <c r="K52">
        <f>SUMIF(GRATIFICAÇÃO!A:A,BASE_DE_NOMES[[#This Row],[Nome]],GRATIFICAÇÃO!F:F)</f>
        <v>0</v>
      </c>
      <c r="L52">
        <f>SUMIF(PG!A:A,BASE_DE_NOMES[[#This Row],[Nome]],PG!E:E)</f>
        <v>0</v>
      </c>
      <c r="M52">
        <f>SUMIFS('Folha Rainha'!G:G,'Folha Rainha'!B:B,BASE_DE_NOMES[[#This Row],[Nome]],'Folha Rainha'!F:F,"*Quebra*",'Folha Rainha'!F:F,"*QUEBRA*")</f>
        <v>0</v>
      </c>
      <c r="N52">
        <f>SUMIFS('Folha Rainha'!G:G,'Folha Rainha'!B:B,BASE_DE_NOMES[[#This Row],[Nome]],'Folha Rainha'!F:F,"ADC. ANTIGUIDADE")</f>
        <v>0</v>
      </c>
      <c r="O52">
        <f>SUMIFS('Folha Rainha'!G:G,'Folha Rainha'!B:B,BASE_DE_NOMES[[#This Row],[Nome]],'Folha Rainha'!F:F,"*Trienio*")</f>
        <v>0</v>
      </c>
      <c r="P52">
        <f>SUMIFS('Folha Rainha'!G:G,'Folha Rainha'!B:B,BASE_DE_NOMES[[#This Row],[Nome]],'Folha Rainha'!F:F,"*TAXA*")</f>
        <v>0</v>
      </c>
      <c r="Q52" s="4">
        <f>SUMIFS('Folha Rainha'!G:G,'Folha Rainha'!B:B,BASE_DE_NOMES[[#This Row],[Nome]],'Folha Rainha'!F:F,"SALARIO FAMILIA")+SUMIFS('Folha Rainha'!G:G,'Folha Rainha'!B:B,BASE_DE_NOMES[[#This Row],[Nome]],'Folha Rainha'!F:F,"Salário Família")</f>
        <v>65</v>
      </c>
      <c r="R52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52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52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52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52">
        <f>BASE_DE_NOMES[[#This Row],[BOLSA DE AUXILIO]]+BASE_DE_NOMES[[#This Row],[VALE TRANSP]]+BASE_DE_NOMES[[#This Row],[PLANO DE SAUDE]]-BASE_DE_NOMES[[#This Row],[DESCONTOS]]</f>
        <v>0</v>
      </c>
      <c r="W52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52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52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52">
        <f>BASE_DE_NOMES[[#This Row],[PAGAMENTOS]]+BASE_DE_NOMES[[#This Row],[GRATIFICAÇÃO]]</f>
        <v>0</v>
      </c>
      <c r="AA52" s="4">
        <f>_xlfn.XLOOKUP(BASE_DE_NOMES[[#This Row],[NOME2]],Planilha1!C:C,Planilha1!D:D)*Y52</f>
        <v>764.00939999999991</v>
      </c>
      <c r="AB52" s="4">
        <f>BASE_DE_NOMES[[#This Row],[IMPOSTOS]]+BASE_DE_NOMES[[#This Row],[SALARIO BASE]]+BASE_DE_NOMES[[#This Row],[FAMILIA]]</f>
        <v>2347.0093999999999</v>
      </c>
      <c r="AC52" t="str">
        <f>_xlfn.XLOOKUP(BASE_DE_NOMES[[#This Row],[Razão Social]],Planilha1!B:B,Planilha1!C:C)</f>
        <v>FABRICA</v>
      </c>
      <c r="AD52" t="str">
        <f>_xlfn.XLOOKUP(BASE_DE_NOMES[[#This Row],[Alocações]],Planilha1!B:B,Planilha1!C:C)</f>
        <v>FABRICA</v>
      </c>
    </row>
    <row r="53" spans="1:30" x14ac:dyDescent="0.25">
      <c r="A53" t="s">
        <v>165</v>
      </c>
      <c r="B53" t="s">
        <v>397</v>
      </c>
      <c r="C53" t="s">
        <v>427</v>
      </c>
      <c r="D53" t="s">
        <v>556</v>
      </c>
      <c r="E53" s="1">
        <f>IFERROR(_xlfn.XLOOKUP(BASE_DE_NOMES[[#This Row],[Nome]],'Folha Rainha'!B:B,'Folha Rainha'!D:D),0)</f>
        <v>0</v>
      </c>
      <c r="F53" t="str">
        <f>IFERROR(_xlfn.XLOOKUP(BASE_DE_NOMES[[#This Row],[Nome]],'Folha Rainha'!B:B,'Folha Rainha'!E:E)," ")</f>
        <v xml:space="preserve"> </v>
      </c>
      <c r="G53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53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53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53" s="4">
        <f>BASE_DE_NOMES[[#This Row],[C.CHEQUE]]-BASE_DE_NOMES[[#This Row],[FALTAS]]-BASE_DE_NOMES[[#This Row],[DESCONTO ]]</f>
        <v>0</v>
      </c>
      <c r="K53">
        <f>SUMIF(GRATIFICAÇÃO!A:A,BASE_DE_NOMES[[#This Row],[Nome]],GRATIFICAÇÃO!F:F)</f>
        <v>0</v>
      </c>
      <c r="L53">
        <f>SUMIF(PG!A:A,BASE_DE_NOMES[[#This Row],[Nome]],PG!E:E)</f>
        <v>5275</v>
      </c>
      <c r="M53">
        <f>SUMIFS('Folha Rainha'!G:G,'Folha Rainha'!B:B,BASE_DE_NOMES[[#This Row],[Nome]],'Folha Rainha'!F:F,"*Quebra*",'Folha Rainha'!F:F,"*QUEBRA*")</f>
        <v>0</v>
      </c>
      <c r="N53">
        <f>SUMIFS('Folha Rainha'!G:G,'Folha Rainha'!B:B,BASE_DE_NOMES[[#This Row],[Nome]],'Folha Rainha'!F:F,"ADC. ANTIGUIDADE")</f>
        <v>0</v>
      </c>
      <c r="O53">
        <f>SUMIFS('Folha Rainha'!G:G,'Folha Rainha'!B:B,BASE_DE_NOMES[[#This Row],[Nome]],'Folha Rainha'!F:F,"*Trienio*")</f>
        <v>0</v>
      </c>
      <c r="P53">
        <f>SUMIFS('Folha Rainha'!G:G,'Folha Rainha'!B:B,BASE_DE_NOMES[[#This Row],[Nome]],'Folha Rainha'!F:F,"*TAXA*")</f>
        <v>0</v>
      </c>
      <c r="Q53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53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53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53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53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53">
        <f>BASE_DE_NOMES[[#This Row],[BOLSA DE AUXILIO]]+BASE_DE_NOMES[[#This Row],[VALE TRANSP]]+BASE_DE_NOMES[[#This Row],[PLANO DE SAUDE]]-BASE_DE_NOMES[[#This Row],[DESCONTOS]]</f>
        <v>0</v>
      </c>
      <c r="W53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53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53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53">
        <f>BASE_DE_NOMES[[#This Row],[PAGAMENTOS]]+BASE_DE_NOMES[[#This Row],[GRATIFICAÇÃO]]</f>
        <v>5275</v>
      </c>
      <c r="AA53" s="4">
        <f>_xlfn.XLOOKUP(BASE_DE_NOMES[[#This Row],[NOME2]],Planilha1!C:C,Planilha1!D:D)*Y53</f>
        <v>0</v>
      </c>
      <c r="AB53" s="4">
        <f>BASE_DE_NOMES[[#This Row],[IMPOSTOS]]+BASE_DE_NOMES[[#This Row],[SALARIO BASE]]+BASE_DE_NOMES[[#This Row],[FAMILIA]]</f>
        <v>0</v>
      </c>
      <c r="AC53" t="str">
        <f>_xlfn.XLOOKUP(BASE_DE_NOMES[[#This Row],[Razão Social]],Planilha1!B:B,Planilha1!C:C)</f>
        <v>ESCRITORIO</v>
      </c>
      <c r="AD53" t="str">
        <f>_xlfn.XLOOKUP(BASE_DE_NOMES[[#This Row],[Alocações]],Planilha1!B:B,Planilha1!C:C)</f>
        <v>SR PASSOS</v>
      </c>
    </row>
    <row r="54" spans="1:30" x14ac:dyDescent="0.25">
      <c r="A54" t="s">
        <v>152</v>
      </c>
      <c r="B54" t="s">
        <v>212</v>
      </c>
      <c r="C54" t="s">
        <v>511</v>
      </c>
      <c r="D54" t="s">
        <v>511</v>
      </c>
      <c r="E54" s="1">
        <f>IFERROR(_xlfn.XLOOKUP(BASE_DE_NOMES[[#This Row],[Nome]],'Folha Rainha'!B:B,'Folha Rainha'!D:D),0)</f>
        <v>42493</v>
      </c>
      <c r="F54" t="str">
        <f>IFERROR(_xlfn.XLOOKUP(BASE_DE_NOMES[[#This Row],[Nome]],'Folha Rainha'!B:B,'Folha Rainha'!E:E)," ")</f>
        <v>Férias</v>
      </c>
      <c r="G54" s="4">
        <f>SUMIFS('Folha Rainha'!G:G,'Folha Rainha'!B:B,BASE_DE_NOMES[[#This Row],[Nome]],'Folha Rainha'!F:F,"Salário Base")+SUMIFS('Folha Rainha'!G:G,'Folha Rainha'!B:B,BASE_DE_NOMES[[#This Row],[Nome]],'Folha Rainha'!F:F,"Salário:")</f>
        <v>1605</v>
      </c>
      <c r="H54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54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54" s="4">
        <f>BASE_DE_NOMES[[#This Row],[C.CHEQUE]]-BASE_DE_NOMES[[#This Row],[FALTAS]]-BASE_DE_NOMES[[#This Row],[DESCONTO ]]</f>
        <v>1605</v>
      </c>
      <c r="K54">
        <f>SUMIF(GRATIFICAÇÃO!A:A,BASE_DE_NOMES[[#This Row],[Nome]],GRATIFICAÇÃO!F:F)</f>
        <v>100</v>
      </c>
      <c r="L54">
        <f>SUMIF(PG!A:A,BASE_DE_NOMES[[#This Row],[Nome]],PG!E:E)</f>
        <v>0</v>
      </c>
      <c r="M54">
        <f>SUMIFS('Folha Rainha'!G:G,'Folha Rainha'!B:B,BASE_DE_NOMES[[#This Row],[Nome]],'Folha Rainha'!F:F,"*Quebra*",'Folha Rainha'!F:F,"*QUEBRA*")</f>
        <v>0</v>
      </c>
      <c r="N54">
        <f>SUMIFS('Folha Rainha'!G:G,'Folha Rainha'!B:B,BASE_DE_NOMES[[#This Row],[Nome]],'Folha Rainha'!F:F,"ADC. ANTIGUIDADE")</f>
        <v>0</v>
      </c>
      <c r="O54">
        <f>SUMIFS('Folha Rainha'!G:G,'Folha Rainha'!B:B,BASE_DE_NOMES[[#This Row],[Nome]],'Folha Rainha'!F:F,"*Trienio*")</f>
        <v>51.36</v>
      </c>
      <c r="P54">
        <f>SUMIFS('Folha Rainha'!G:G,'Folha Rainha'!B:B,BASE_DE_NOMES[[#This Row],[Nome]],'Folha Rainha'!F:F,"*TAXA*")</f>
        <v>0</v>
      </c>
      <c r="Q54" s="4">
        <f>SUMIFS('Folha Rainha'!G:G,'Folha Rainha'!B:B,BASE_DE_NOMES[[#This Row],[Nome]],'Folha Rainha'!F:F,"SALARIO FAMILIA")+SUMIFS('Folha Rainha'!G:G,'Folha Rainha'!B:B,BASE_DE_NOMES[[#This Row],[Nome]],'Folha Rainha'!F:F,"Salário Família")</f>
        <v>65</v>
      </c>
      <c r="R54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54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54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54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54">
        <f>BASE_DE_NOMES[[#This Row],[BOLSA DE AUXILIO]]+BASE_DE_NOMES[[#This Row],[VALE TRANSP]]+BASE_DE_NOMES[[#This Row],[PLANO DE SAUDE]]-BASE_DE_NOMES[[#This Row],[DESCONTOS]]</f>
        <v>0</v>
      </c>
      <c r="W54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54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54" s="4">
        <f>BASE_DE_NOMES[[#This Row],[TOTAL DE C.CHEQUE]]+BASE_DE_NOMES[[#This Row],[TOTAL DE QUEBRA]]+BASE_DE_NOMES[[#This Row],[ADC. ANTIGUIDADE]]+BASE_DE_NOMES[[#This Row],[TOTAL DE TRIENIO]]+BASE_DE_NOMES[[#This Row],[CCT]]</f>
        <v>1656.36</v>
      </c>
      <c r="Z54">
        <f>BASE_DE_NOMES[[#This Row],[PAGAMENTOS]]+BASE_DE_NOMES[[#This Row],[GRATIFICAÇÃO]]</f>
        <v>100</v>
      </c>
      <c r="AA54" s="4">
        <f>_xlfn.XLOOKUP(BASE_DE_NOMES[[#This Row],[NOME2]],Planilha1!C:C,Planilha1!D:D)*Y54</f>
        <v>331.27199999999999</v>
      </c>
      <c r="AB54" s="4">
        <f>BASE_DE_NOMES[[#This Row],[IMPOSTOS]]+BASE_DE_NOMES[[#This Row],[SALARIO BASE]]+BASE_DE_NOMES[[#This Row],[FAMILIA]]</f>
        <v>2052.6319999999996</v>
      </c>
      <c r="AC54" t="str">
        <f>_xlfn.XLOOKUP(BASE_DE_NOMES[[#This Row],[Razão Social]],Planilha1!B:B,Planilha1!C:C)</f>
        <v>10k DECORAÇÕES</v>
      </c>
      <c r="AD54" t="str">
        <f>_xlfn.XLOOKUP(BASE_DE_NOMES[[#This Row],[Alocações]],Planilha1!B:B,Planilha1!C:C)</f>
        <v>10k DECORAÇÕES</v>
      </c>
    </row>
    <row r="55" spans="1:30" x14ac:dyDescent="0.25">
      <c r="A55" t="s">
        <v>662</v>
      </c>
      <c r="B55" t="s">
        <v>407</v>
      </c>
      <c r="C55" t="s">
        <v>252</v>
      </c>
      <c r="D55" t="s">
        <v>252</v>
      </c>
      <c r="E55" s="1">
        <f>IFERROR(_xlfn.XLOOKUP(BASE_DE_NOMES[[#This Row],[Nome]],'Folha Rainha'!B:B,'Folha Rainha'!D:D),0)</f>
        <v>0</v>
      </c>
      <c r="F55" t="str">
        <f>IFERROR(_xlfn.XLOOKUP(BASE_DE_NOMES[[#This Row],[Nome]],'Folha Rainha'!B:B,'Folha Rainha'!E:E)," ")</f>
        <v xml:space="preserve"> </v>
      </c>
      <c r="G55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55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55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55" s="4">
        <f>BASE_DE_NOMES[[#This Row],[C.CHEQUE]]-BASE_DE_NOMES[[#This Row],[FALTAS]]-BASE_DE_NOMES[[#This Row],[DESCONTO ]]</f>
        <v>0</v>
      </c>
      <c r="K55">
        <f>SUMIF(GRATIFICAÇÃO!A:A,BASE_DE_NOMES[[#This Row],[Nome]],GRATIFICAÇÃO!F:F)</f>
        <v>0</v>
      </c>
      <c r="L55">
        <f>SUMIF(PG!A:A,BASE_DE_NOMES[[#This Row],[Nome]],PG!E:E)</f>
        <v>0</v>
      </c>
      <c r="M55">
        <f>SUMIFS('Folha Rainha'!G:G,'Folha Rainha'!B:B,BASE_DE_NOMES[[#This Row],[Nome]],'Folha Rainha'!F:F,"*Quebra*",'Folha Rainha'!F:F,"*QUEBRA*")</f>
        <v>0</v>
      </c>
      <c r="N55">
        <f>SUMIFS('Folha Rainha'!G:G,'Folha Rainha'!B:B,BASE_DE_NOMES[[#This Row],[Nome]],'Folha Rainha'!F:F,"ADC. ANTIGUIDADE")</f>
        <v>0</v>
      </c>
      <c r="O55">
        <f>SUMIFS('Folha Rainha'!G:G,'Folha Rainha'!B:B,BASE_DE_NOMES[[#This Row],[Nome]],'Folha Rainha'!F:F,"*Trienio*")</f>
        <v>0</v>
      </c>
      <c r="P55">
        <f>SUMIFS('Folha Rainha'!G:G,'Folha Rainha'!B:B,BASE_DE_NOMES[[#This Row],[Nome]],'Folha Rainha'!F:F,"*TAXA*")</f>
        <v>0</v>
      </c>
      <c r="Q55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55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55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55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55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55">
        <f>BASE_DE_NOMES[[#This Row],[BOLSA DE AUXILIO]]+BASE_DE_NOMES[[#This Row],[VALE TRANSP]]+BASE_DE_NOMES[[#This Row],[PLANO DE SAUDE]]-BASE_DE_NOMES[[#This Row],[DESCONTOS]]</f>
        <v>0</v>
      </c>
      <c r="W55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55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55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55">
        <f>BASE_DE_NOMES[[#This Row],[PAGAMENTOS]]+BASE_DE_NOMES[[#This Row],[GRATIFICAÇÃO]]</f>
        <v>0</v>
      </c>
      <c r="AA55" s="4">
        <f>_xlfn.XLOOKUP(BASE_DE_NOMES[[#This Row],[NOME2]],Planilha1!C:C,Planilha1!D:D)*Y55</f>
        <v>0</v>
      </c>
      <c r="AB55" s="4">
        <f>BASE_DE_NOMES[[#This Row],[IMPOSTOS]]+BASE_DE_NOMES[[#This Row],[SALARIO BASE]]+BASE_DE_NOMES[[#This Row],[FAMILIA]]</f>
        <v>0</v>
      </c>
      <c r="AC55" t="str">
        <f>_xlfn.XLOOKUP(BASE_DE_NOMES[[#This Row],[Razão Social]],Planilha1!B:B,Planilha1!C:C)</f>
        <v>FABRICA</v>
      </c>
      <c r="AD55" t="str">
        <f>_xlfn.XLOOKUP(BASE_DE_NOMES[[#This Row],[Alocações]],Planilha1!B:B,Planilha1!C:C)</f>
        <v>FABRICA</v>
      </c>
    </row>
    <row r="56" spans="1:30" x14ac:dyDescent="0.25">
      <c r="A56" t="s">
        <v>117</v>
      </c>
      <c r="B56" t="s">
        <v>407</v>
      </c>
      <c r="C56" t="s">
        <v>252</v>
      </c>
      <c r="D56" t="s">
        <v>252</v>
      </c>
      <c r="E56" s="1">
        <f>IFERROR(_xlfn.XLOOKUP(BASE_DE_NOMES[[#This Row],[Nome]],'Folha Rainha'!B:B,'Folha Rainha'!D:D),0)</f>
        <v>39266</v>
      </c>
      <c r="F56" t="str">
        <f>IFERROR(_xlfn.XLOOKUP(BASE_DE_NOMES[[#This Row],[Nome]],'Folha Rainha'!B:B,'Folha Rainha'!E:E)," ")</f>
        <v>Trabalhando</v>
      </c>
      <c r="G56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56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56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56" s="4">
        <f>BASE_DE_NOMES[[#This Row],[C.CHEQUE]]-BASE_DE_NOMES[[#This Row],[FALTAS]]-BASE_DE_NOMES[[#This Row],[DESCONTO ]]</f>
        <v>1518</v>
      </c>
      <c r="K56">
        <f>SUMIF(GRATIFICAÇÃO!A:A,BASE_DE_NOMES[[#This Row],[Nome]],GRATIFICAÇÃO!F:F)</f>
        <v>400</v>
      </c>
      <c r="L56">
        <f>SUMIF(PG!A:A,BASE_DE_NOMES[[#This Row],[Nome]],PG!E:E)</f>
        <v>0</v>
      </c>
      <c r="M56">
        <f>SUMIFS('Folha Rainha'!G:G,'Folha Rainha'!B:B,BASE_DE_NOMES[[#This Row],[Nome]],'Folha Rainha'!F:F,"*Quebra*",'Folha Rainha'!F:F,"*QUEBRA*")</f>
        <v>0</v>
      </c>
      <c r="N56">
        <f>SUMIFS('Folha Rainha'!G:G,'Folha Rainha'!B:B,BASE_DE_NOMES[[#This Row],[Nome]],'Folha Rainha'!F:F,"ADC. ANTIGUIDADE")</f>
        <v>0</v>
      </c>
      <c r="O56">
        <f>SUMIFS('Folha Rainha'!G:G,'Folha Rainha'!B:B,BASE_DE_NOMES[[#This Row],[Nome]],'Folha Rainha'!F:F,"*Trienio*")</f>
        <v>45.54</v>
      </c>
      <c r="P56">
        <f>SUMIFS('Folha Rainha'!G:G,'Folha Rainha'!B:B,BASE_DE_NOMES[[#This Row],[Nome]],'Folha Rainha'!F:F,"*TAXA*")</f>
        <v>0</v>
      </c>
      <c r="Q56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56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56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56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56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56">
        <f>BASE_DE_NOMES[[#This Row],[BOLSA DE AUXILIO]]+BASE_DE_NOMES[[#This Row],[VALE TRANSP]]+BASE_DE_NOMES[[#This Row],[PLANO DE SAUDE]]-BASE_DE_NOMES[[#This Row],[DESCONTOS]]</f>
        <v>0</v>
      </c>
      <c r="W56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56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56" s="4">
        <f>BASE_DE_NOMES[[#This Row],[TOTAL DE C.CHEQUE]]+BASE_DE_NOMES[[#This Row],[TOTAL DE QUEBRA]]+BASE_DE_NOMES[[#This Row],[ADC. ANTIGUIDADE]]+BASE_DE_NOMES[[#This Row],[TOTAL DE TRIENIO]]+BASE_DE_NOMES[[#This Row],[CCT]]</f>
        <v>1563.54</v>
      </c>
      <c r="Z56">
        <f>BASE_DE_NOMES[[#This Row],[PAGAMENTOS]]+BASE_DE_NOMES[[#This Row],[GRATIFICAÇÃO]]</f>
        <v>400</v>
      </c>
      <c r="AA56" s="4">
        <f>_xlfn.XLOOKUP(BASE_DE_NOMES[[#This Row],[NOME2]],Planilha1!C:C,Planilha1!D:D)*Y56</f>
        <v>786.92968199999996</v>
      </c>
      <c r="AB56" s="4">
        <f>BASE_DE_NOMES[[#This Row],[IMPOSTOS]]+BASE_DE_NOMES[[#This Row],[SALARIO BASE]]+BASE_DE_NOMES[[#This Row],[FAMILIA]]</f>
        <v>2350.4696819999999</v>
      </c>
      <c r="AC56" t="str">
        <f>_xlfn.XLOOKUP(BASE_DE_NOMES[[#This Row],[Razão Social]],Planilha1!B:B,Planilha1!C:C)</f>
        <v>FABRICA</v>
      </c>
      <c r="AD56" t="str">
        <f>_xlfn.XLOOKUP(BASE_DE_NOMES[[#This Row],[Alocações]],Planilha1!B:B,Planilha1!C:C)</f>
        <v>FABRICA</v>
      </c>
    </row>
    <row r="57" spans="1:30" x14ac:dyDescent="0.25">
      <c r="A57" t="s">
        <v>442</v>
      </c>
      <c r="B57" t="s">
        <v>258</v>
      </c>
      <c r="C57" t="s">
        <v>508</v>
      </c>
      <c r="D57" t="s">
        <v>508</v>
      </c>
      <c r="E57" s="1">
        <f>IFERROR(_xlfn.XLOOKUP(BASE_DE_NOMES[[#This Row],[Nome]],'Folha Rainha'!B:B,'Folha Rainha'!D:D),0)</f>
        <v>45202</v>
      </c>
      <c r="F57" t="str">
        <f>IFERROR(_xlfn.XLOOKUP(BASE_DE_NOMES[[#This Row],[Nome]],'Folha Rainha'!B:B,'Folha Rainha'!E:E)," ")</f>
        <v>Trabalhando</v>
      </c>
      <c r="G57" s="4">
        <f>SUMIFS('Folha Rainha'!G:G,'Folha Rainha'!B:B,BASE_DE_NOMES[[#This Row],[Nome]],'Folha Rainha'!F:F,"Salário Base")+SUMIFS('Folha Rainha'!G:G,'Folha Rainha'!B:B,BASE_DE_NOMES[[#This Row],[Nome]],'Folha Rainha'!F:F,"Salário:")</f>
        <v>1660</v>
      </c>
      <c r="H57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57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57" s="4">
        <f>BASE_DE_NOMES[[#This Row],[C.CHEQUE]]-BASE_DE_NOMES[[#This Row],[FALTAS]]-BASE_DE_NOMES[[#This Row],[DESCONTO ]]</f>
        <v>1660</v>
      </c>
      <c r="K57">
        <f>SUMIF(GRATIFICAÇÃO!A:A,BASE_DE_NOMES[[#This Row],[Nome]],GRATIFICAÇÃO!F:F)</f>
        <v>0</v>
      </c>
      <c r="L57">
        <f>SUMIF(PG!A:A,BASE_DE_NOMES[[#This Row],[Nome]],PG!E:E)</f>
        <v>0</v>
      </c>
      <c r="M57">
        <f>SUMIFS('Folha Rainha'!G:G,'Folha Rainha'!B:B,BASE_DE_NOMES[[#This Row],[Nome]],'Folha Rainha'!F:F,"*Quebra*",'Folha Rainha'!F:F,"*QUEBRA*")</f>
        <v>0</v>
      </c>
      <c r="N57">
        <f>SUMIFS('Folha Rainha'!G:G,'Folha Rainha'!B:B,BASE_DE_NOMES[[#This Row],[Nome]],'Folha Rainha'!F:F,"ADC. ANTIGUIDADE")</f>
        <v>0</v>
      </c>
      <c r="O57">
        <f>SUMIFS('Folha Rainha'!G:G,'Folha Rainha'!B:B,BASE_DE_NOMES[[#This Row],[Nome]],'Folha Rainha'!F:F,"*Trienio*")</f>
        <v>0</v>
      </c>
      <c r="P57">
        <f>SUMIFS('Folha Rainha'!G:G,'Folha Rainha'!B:B,BASE_DE_NOMES[[#This Row],[Nome]],'Folha Rainha'!F:F,"*TAXA*")</f>
        <v>0</v>
      </c>
      <c r="Q57" s="4">
        <f>SUMIFS('Folha Rainha'!G:G,'Folha Rainha'!B:B,BASE_DE_NOMES[[#This Row],[Nome]],'Folha Rainha'!F:F,"SALARIO FAMILIA")+SUMIFS('Folha Rainha'!G:G,'Folha Rainha'!B:B,BASE_DE_NOMES[[#This Row],[Nome]],'Folha Rainha'!F:F,"Salário Família")</f>
        <v>65</v>
      </c>
      <c r="R57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57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99.6</v>
      </c>
      <c r="T57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57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57">
        <f>BASE_DE_NOMES[[#This Row],[BOLSA DE AUXILIO]]+BASE_DE_NOMES[[#This Row],[VALE TRANSP]]+BASE_DE_NOMES[[#This Row],[PLANO DE SAUDE]]-BASE_DE_NOMES[[#This Row],[DESCONTOS]]</f>
        <v>99.6</v>
      </c>
      <c r="W57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57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57" s="4">
        <f>BASE_DE_NOMES[[#This Row],[TOTAL DE C.CHEQUE]]+BASE_DE_NOMES[[#This Row],[TOTAL DE QUEBRA]]+BASE_DE_NOMES[[#This Row],[ADC. ANTIGUIDADE]]+BASE_DE_NOMES[[#This Row],[TOTAL DE TRIENIO]]+BASE_DE_NOMES[[#This Row],[CCT]]</f>
        <v>1660</v>
      </c>
      <c r="Z57">
        <f>BASE_DE_NOMES[[#This Row],[PAGAMENTOS]]+BASE_DE_NOMES[[#This Row],[GRATIFICAÇÃO]]</f>
        <v>0</v>
      </c>
      <c r="AA57" s="4">
        <f>_xlfn.XLOOKUP(BASE_DE_NOMES[[#This Row],[NOME2]],Planilha1!C:C,Planilha1!D:D)*Y57</f>
        <v>332</v>
      </c>
      <c r="AB57" s="4">
        <f>BASE_DE_NOMES[[#This Row],[IMPOSTOS]]+BASE_DE_NOMES[[#This Row],[SALARIO BASE]]+BASE_DE_NOMES[[#This Row],[FAMILIA]]</f>
        <v>2057</v>
      </c>
      <c r="AC57" t="str">
        <f>_xlfn.XLOOKUP(BASE_DE_NOMES[[#This Row],[Razão Social]],Planilha1!B:B,Planilha1!C:C)</f>
        <v>5K DECORAÇÕES</v>
      </c>
      <c r="AD57" t="str">
        <f>_xlfn.XLOOKUP(BASE_DE_NOMES[[#This Row],[Alocações]],Planilha1!B:B,Planilha1!C:C)</f>
        <v>5K DECORAÇÕES</v>
      </c>
    </row>
    <row r="58" spans="1:30" x14ac:dyDescent="0.25">
      <c r="A58" t="s">
        <v>313</v>
      </c>
      <c r="B58" t="s">
        <v>407</v>
      </c>
      <c r="C58" t="s">
        <v>326</v>
      </c>
      <c r="D58" t="s">
        <v>252</v>
      </c>
      <c r="E58" s="1">
        <f>IFERROR(_xlfn.XLOOKUP(BASE_DE_NOMES[[#This Row],[Nome]],'Folha Rainha'!B:B,'Folha Rainha'!D:D),0)</f>
        <v>44774</v>
      </c>
      <c r="F58" t="str">
        <f>IFERROR(_xlfn.XLOOKUP(BASE_DE_NOMES[[#This Row],[Nome]],'Folha Rainha'!B:B,'Folha Rainha'!E:E)," ")</f>
        <v>Trabalhando</v>
      </c>
      <c r="G58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58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69</v>
      </c>
      <c r="I58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58" s="4">
        <f>BASE_DE_NOMES[[#This Row],[C.CHEQUE]]-BASE_DE_NOMES[[#This Row],[FALTAS]]-BASE_DE_NOMES[[#This Row],[DESCONTO ]]</f>
        <v>1449</v>
      </c>
      <c r="K58">
        <f>SUMIF(GRATIFICAÇÃO!A:A,BASE_DE_NOMES[[#This Row],[Nome]],GRATIFICAÇÃO!F:F)</f>
        <v>0</v>
      </c>
      <c r="L58">
        <f>SUMIF(PG!A:A,BASE_DE_NOMES[[#This Row],[Nome]],PG!E:E)</f>
        <v>0</v>
      </c>
      <c r="M58">
        <f>SUMIFS('Folha Rainha'!G:G,'Folha Rainha'!B:B,BASE_DE_NOMES[[#This Row],[Nome]],'Folha Rainha'!F:F,"*Quebra*",'Folha Rainha'!F:F,"*QUEBRA*")</f>
        <v>0</v>
      </c>
      <c r="N58">
        <f>SUMIFS('Folha Rainha'!G:G,'Folha Rainha'!B:B,BASE_DE_NOMES[[#This Row],[Nome]],'Folha Rainha'!F:F,"ADC. ANTIGUIDADE")</f>
        <v>0</v>
      </c>
      <c r="O58">
        <f>SUMIFS('Folha Rainha'!G:G,'Folha Rainha'!B:B,BASE_DE_NOMES[[#This Row],[Nome]],'Folha Rainha'!F:F,"*Trienio*")</f>
        <v>0</v>
      </c>
      <c r="P58">
        <f>SUMIFS('Folha Rainha'!G:G,'Folha Rainha'!B:B,BASE_DE_NOMES[[#This Row],[Nome]],'Folha Rainha'!F:F,"*TAXA*")</f>
        <v>0</v>
      </c>
      <c r="Q58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58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58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58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58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58">
        <f>BASE_DE_NOMES[[#This Row],[BOLSA DE AUXILIO]]+BASE_DE_NOMES[[#This Row],[VALE TRANSP]]+BASE_DE_NOMES[[#This Row],[PLANO DE SAUDE]]-BASE_DE_NOMES[[#This Row],[DESCONTOS]]</f>
        <v>0</v>
      </c>
      <c r="W58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58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58" s="4">
        <f>BASE_DE_NOMES[[#This Row],[TOTAL DE C.CHEQUE]]+BASE_DE_NOMES[[#This Row],[TOTAL DE QUEBRA]]+BASE_DE_NOMES[[#This Row],[ADC. ANTIGUIDADE]]+BASE_DE_NOMES[[#This Row],[TOTAL DE TRIENIO]]+BASE_DE_NOMES[[#This Row],[CCT]]</f>
        <v>1449</v>
      </c>
      <c r="Z58">
        <f>BASE_DE_NOMES[[#This Row],[PAGAMENTOS]]+BASE_DE_NOMES[[#This Row],[GRATIFICAÇÃO]]</f>
        <v>0</v>
      </c>
      <c r="AA58" s="4">
        <f>_xlfn.XLOOKUP(BASE_DE_NOMES[[#This Row],[NOME2]],Planilha1!C:C,Planilha1!D:D)*Y58</f>
        <v>289.8</v>
      </c>
      <c r="AB58" s="4">
        <f>BASE_DE_NOMES[[#This Row],[IMPOSTOS]]+BASE_DE_NOMES[[#This Row],[SALARIO BASE]]+BASE_DE_NOMES[[#This Row],[FAMILIA]]</f>
        <v>1738.8</v>
      </c>
      <c r="AC58" t="str">
        <f>_xlfn.XLOOKUP(BASE_DE_NOMES[[#This Row],[Razão Social]],Planilha1!B:B,Planilha1!C:C)</f>
        <v>VALE XEL</v>
      </c>
      <c r="AD58" t="str">
        <f>_xlfn.XLOOKUP(BASE_DE_NOMES[[#This Row],[Alocações]],Planilha1!B:B,Planilha1!C:C)</f>
        <v>FABRICA</v>
      </c>
    </row>
    <row r="59" spans="1:30" x14ac:dyDescent="0.25">
      <c r="A59" t="s">
        <v>364</v>
      </c>
      <c r="B59" t="s">
        <v>213</v>
      </c>
      <c r="C59" t="s">
        <v>326</v>
      </c>
      <c r="D59" t="s">
        <v>252</v>
      </c>
      <c r="E59" s="1">
        <f>IFERROR(_xlfn.XLOOKUP(BASE_DE_NOMES[[#This Row],[Nome]],'Folha Rainha'!B:B,'Folha Rainha'!D:D),0)</f>
        <v>45110</v>
      </c>
      <c r="F59" t="str">
        <f>IFERROR(_xlfn.XLOOKUP(BASE_DE_NOMES[[#This Row],[Nome]],'Folha Rainha'!B:B,'Folha Rainha'!E:E)," ")</f>
        <v>Trabalhando</v>
      </c>
      <c r="G59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59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59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59" s="4">
        <f>BASE_DE_NOMES[[#This Row],[C.CHEQUE]]-BASE_DE_NOMES[[#This Row],[FALTAS]]-BASE_DE_NOMES[[#This Row],[DESCONTO ]]</f>
        <v>1518</v>
      </c>
      <c r="K59">
        <f>SUMIF(GRATIFICAÇÃO!A:A,BASE_DE_NOMES[[#This Row],[Nome]],GRATIFICAÇÃO!F:F)</f>
        <v>0</v>
      </c>
      <c r="L59">
        <f>SUMIF(PG!A:A,BASE_DE_NOMES[[#This Row],[Nome]],PG!E:E)</f>
        <v>0</v>
      </c>
      <c r="M59">
        <f>SUMIFS('Folha Rainha'!G:G,'Folha Rainha'!B:B,BASE_DE_NOMES[[#This Row],[Nome]],'Folha Rainha'!F:F,"*Quebra*",'Folha Rainha'!F:F,"*QUEBRA*")</f>
        <v>0</v>
      </c>
      <c r="N59">
        <f>SUMIFS('Folha Rainha'!G:G,'Folha Rainha'!B:B,BASE_DE_NOMES[[#This Row],[Nome]],'Folha Rainha'!F:F,"ADC. ANTIGUIDADE")</f>
        <v>0</v>
      </c>
      <c r="O59">
        <f>SUMIFS('Folha Rainha'!G:G,'Folha Rainha'!B:B,BASE_DE_NOMES[[#This Row],[Nome]],'Folha Rainha'!F:F,"*Trienio*")</f>
        <v>0</v>
      </c>
      <c r="P59">
        <f>SUMIFS('Folha Rainha'!G:G,'Folha Rainha'!B:B,BASE_DE_NOMES[[#This Row],[Nome]],'Folha Rainha'!F:F,"*TAXA*")</f>
        <v>0</v>
      </c>
      <c r="Q59" s="4">
        <f>SUMIFS('Folha Rainha'!G:G,'Folha Rainha'!B:B,BASE_DE_NOMES[[#This Row],[Nome]],'Folha Rainha'!F:F,"SALARIO FAMILIA")+SUMIFS('Folha Rainha'!G:G,'Folha Rainha'!B:B,BASE_DE_NOMES[[#This Row],[Nome]],'Folha Rainha'!F:F,"Salário Família")</f>
        <v>65</v>
      </c>
      <c r="R59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59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59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59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59">
        <f>BASE_DE_NOMES[[#This Row],[BOLSA DE AUXILIO]]+BASE_DE_NOMES[[#This Row],[VALE TRANSP]]+BASE_DE_NOMES[[#This Row],[PLANO DE SAUDE]]-BASE_DE_NOMES[[#This Row],[DESCONTOS]]</f>
        <v>0</v>
      </c>
      <c r="W59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59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59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59">
        <f>BASE_DE_NOMES[[#This Row],[PAGAMENTOS]]+BASE_DE_NOMES[[#This Row],[GRATIFICAÇÃO]]</f>
        <v>0</v>
      </c>
      <c r="AA59" s="4">
        <f>_xlfn.XLOOKUP(BASE_DE_NOMES[[#This Row],[NOME2]],Planilha1!C:C,Planilha1!D:D)*Y59</f>
        <v>303.60000000000002</v>
      </c>
      <c r="AB59" s="4">
        <f>BASE_DE_NOMES[[#This Row],[IMPOSTOS]]+BASE_DE_NOMES[[#This Row],[SALARIO BASE]]+BASE_DE_NOMES[[#This Row],[FAMILIA]]</f>
        <v>1886.6</v>
      </c>
      <c r="AC59" t="str">
        <f>_xlfn.XLOOKUP(BASE_DE_NOMES[[#This Row],[Razão Social]],Planilha1!B:B,Planilha1!C:C)</f>
        <v>VALE XEL</v>
      </c>
      <c r="AD59" t="str">
        <f>_xlfn.XLOOKUP(BASE_DE_NOMES[[#This Row],[Alocações]],Planilha1!B:B,Planilha1!C:C)</f>
        <v>FABRICA</v>
      </c>
    </row>
    <row r="60" spans="1:30" x14ac:dyDescent="0.25">
      <c r="A60" t="s">
        <v>618</v>
      </c>
      <c r="B60" t="s">
        <v>633</v>
      </c>
      <c r="C60" t="s">
        <v>556</v>
      </c>
      <c r="D60" t="s">
        <v>225</v>
      </c>
      <c r="E60" s="1">
        <f>IFERROR(_xlfn.XLOOKUP(BASE_DE_NOMES[[#This Row],[Nome]],'Folha Rainha'!B:B,'Folha Rainha'!D:D),0)</f>
        <v>45726</v>
      </c>
      <c r="F60" t="str">
        <f>IFERROR(_xlfn.XLOOKUP(BASE_DE_NOMES[[#This Row],[Nome]],'Folha Rainha'!B:B,'Folha Rainha'!E:E)," ")</f>
        <v>Trabalhando</v>
      </c>
      <c r="G60" s="4">
        <f>SUMIFS('Folha Rainha'!G:G,'Folha Rainha'!B:B,BASE_DE_NOMES[[#This Row],[Nome]],'Folha Rainha'!F:F,"Salário Base")+SUMIFS('Folha Rainha'!G:G,'Folha Rainha'!B:B,BASE_DE_NOMES[[#This Row],[Nome]],'Folha Rainha'!F:F,"Salário:")</f>
        <v>998.2</v>
      </c>
      <c r="H60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60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60" s="4">
        <f>BASE_DE_NOMES[[#This Row],[C.CHEQUE]]-BASE_DE_NOMES[[#This Row],[FALTAS]]-BASE_DE_NOMES[[#This Row],[DESCONTO ]]</f>
        <v>998.2</v>
      </c>
      <c r="K60">
        <f>SUMIF(GRATIFICAÇÃO!A:A,BASE_DE_NOMES[[#This Row],[Nome]],GRATIFICAÇÃO!F:F)</f>
        <v>0</v>
      </c>
      <c r="L60">
        <f>SUMIF(PG!A:A,BASE_DE_NOMES[[#This Row],[Nome]],PG!E:E)</f>
        <v>0</v>
      </c>
      <c r="M60">
        <f>SUMIFS('Folha Rainha'!G:G,'Folha Rainha'!B:B,BASE_DE_NOMES[[#This Row],[Nome]],'Folha Rainha'!F:F,"*Quebra*",'Folha Rainha'!F:F,"*QUEBRA*")</f>
        <v>0</v>
      </c>
      <c r="N60">
        <f>SUMIFS('Folha Rainha'!G:G,'Folha Rainha'!B:B,BASE_DE_NOMES[[#This Row],[Nome]],'Folha Rainha'!F:F,"ADC. ANTIGUIDADE")</f>
        <v>0</v>
      </c>
      <c r="O60">
        <f>SUMIFS('Folha Rainha'!G:G,'Folha Rainha'!B:B,BASE_DE_NOMES[[#This Row],[Nome]],'Folha Rainha'!F:F,"*Trienio*")</f>
        <v>0</v>
      </c>
      <c r="P60">
        <f>SUMIFS('Folha Rainha'!G:G,'Folha Rainha'!B:B,BASE_DE_NOMES[[#This Row],[Nome]],'Folha Rainha'!F:F,"*TAXA*")</f>
        <v>0</v>
      </c>
      <c r="Q60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60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60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159.88999999999999</v>
      </c>
      <c r="T60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60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60">
        <f>BASE_DE_NOMES[[#This Row],[BOLSA DE AUXILIO]]+BASE_DE_NOMES[[#This Row],[VALE TRANSP]]+BASE_DE_NOMES[[#This Row],[PLANO DE SAUDE]]-BASE_DE_NOMES[[#This Row],[DESCONTOS]]</f>
        <v>159.88999999999999</v>
      </c>
      <c r="W60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60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60" s="4">
        <f>BASE_DE_NOMES[[#This Row],[TOTAL DE C.CHEQUE]]+BASE_DE_NOMES[[#This Row],[TOTAL DE QUEBRA]]+BASE_DE_NOMES[[#This Row],[ADC. ANTIGUIDADE]]+BASE_DE_NOMES[[#This Row],[TOTAL DE TRIENIO]]+BASE_DE_NOMES[[#This Row],[CCT]]</f>
        <v>998.2</v>
      </c>
      <c r="Z60">
        <f>BASE_DE_NOMES[[#This Row],[PAGAMENTOS]]+BASE_DE_NOMES[[#This Row],[GRATIFICAÇÃO]]</f>
        <v>0</v>
      </c>
      <c r="AA60" s="4">
        <f>_xlfn.XLOOKUP(BASE_DE_NOMES[[#This Row],[NOME2]],Planilha1!C:C,Planilha1!D:D)*Y60</f>
        <v>502.39405999999997</v>
      </c>
      <c r="AB60" s="4">
        <f>BASE_DE_NOMES[[#This Row],[IMPOSTOS]]+BASE_DE_NOMES[[#This Row],[SALARIO BASE]]+BASE_DE_NOMES[[#This Row],[FAMILIA]]</f>
        <v>1500.5940599999999</v>
      </c>
      <c r="AC60" t="str">
        <f>_xlfn.XLOOKUP(BASE_DE_NOMES[[#This Row],[Razão Social]],Planilha1!B:B,Planilha1!C:C)</f>
        <v>SR PASSOS</v>
      </c>
      <c r="AD60" t="str">
        <f>_xlfn.XLOOKUP(BASE_DE_NOMES[[#This Row],[Alocações]],Planilha1!B:B,Planilha1!C:C)</f>
        <v>ESCRITORIO</v>
      </c>
    </row>
    <row r="61" spans="1:30" x14ac:dyDescent="0.25">
      <c r="A61" t="s">
        <v>601</v>
      </c>
      <c r="B61" t="s">
        <v>258</v>
      </c>
      <c r="C61" t="s">
        <v>224</v>
      </c>
      <c r="D61" t="s">
        <v>224</v>
      </c>
      <c r="E61" s="1">
        <f>IFERROR(_xlfn.XLOOKUP(BASE_DE_NOMES[[#This Row],[Nome]],'Folha Rainha'!B:B,'Folha Rainha'!D:D),0)</f>
        <v>45633</v>
      </c>
      <c r="F61" t="str">
        <f>IFERROR(_xlfn.XLOOKUP(BASE_DE_NOMES[[#This Row],[Nome]],'Folha Rainha'!B:B,'Folha Rainha'!E:E)," ")</f>
        <v>Trabalhando</v>
      </c>
      <c r="G61" s="4">
        <f>SUMIFS('Folha Rainha'!G:G,'Folha Rainha'!B:B,BASE_DE_NOMES[[#This Row],[Nome]],'Folha Rainha'!F:F,"Salário Base")+SUMIFS('Folha Rainha'!G:G,'Folha Rainha'!B:B,BASE_DE_NOMES[[#This Row],[Nome]],'Folha Rainha'!F:F,"Salário:")</f>
        <v>1528</v>
      </c>
      <c r="H61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61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61" s="4">
        <f>BASE_DE_NOMES[[#This Row],[C.CHEQUE]]-BASE_DE_NOMES[[#This Row],[FALTAS]]-BASE_DE_NOMES[[#This Row],[DESCONTO ]]</f>
        <v>1528</v>
      </c>
      <c r="K61">
        <f>SUMIF(GRATIFICAÇÃO!A:A,BASE_DE_NOMES[[#This Row],[Nome]],GRATIFICAÇÃO!F:F)</f>
        <v>0</v>
      </c>
      <c r="L61">
        <f>SUMIF(PG!A:A,BASE_DE_NOMES[[#This Row],[Nome]],PG!E:E)</f>
        <v>0</v>
      </c>
      <c r="M61">
        <f>SUMIFS('Folha Rainha'!G:G,'Folha Rainha'!B:B,BASE_DE_NOMES[[#This Row],[Nome]],'Folha Rainha'!F:F,"*Quebra*",'Folha Rainha'!F:F,"*QUEBRA*")</f>
        <v>0</v>
      </c>
      <c r="N61">
        <f>SUMIFS('Folha Rainha'!G:G,'Folha Rainha'!B:B,BASE_DE_NOMES[[#This Row],[Nome]],'Folha Rainha'!F:F,"ADC. ANTIGUIDADE")</f>
        <v>0</v>
      </c>
      <c r="O61">
        <f>SUMIFS('Folha Rainha'!G:G,'Folha Rainha'!B:B,BASE_DE_NOMES[[#This Row],[Nome]],'Folha Rainha'!F:F,"*Trienio*")</f>
        <v>0</v>
      </c>
      <c r="P61">
        <f>SUMIFS('Folha Rainha'!G:G,'Folha Rainha'!B:B,BASE_DE_NOMES[[#This Row],[Nome]],'Folha Rainha'!F:F,"*TAXA*")</f>
        <v>23</v>
      </c>
      <c r="Q61" s="4">
        <f>SUMIFS('Folha Rainha'!G:G,'Folha Rainha'!B:B,BASE_DE_NOMES[[#This Row],[Nome]],'Folha Rainha'!F:F,"SALARIO FAMILIA")+SUMIFS('Folha Rainha'!G:G,'Folha Rainha'!B:B,BASE_DE_NOMES[[#This Row],[Nome]],'Folha Rainha'!F:F,"Salário Família")</f>
        <v>65</v>
      </c>
      <c r="R61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61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61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61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23</v>
      </c>
      <c r="V61">
        <f>BASE_DE_NOMES[[#This Row],[BOLSA DE AUXILIO]]+BASE_DE_NOMES[[#This Row],[VALE TRANSP]]+BASE_DE_NOMES[[#This Row],[PLANO DE SAUDE]]-BASE_DE_NOMES[[#This Row],[DESCONTOS]]</f>
        <v>-23</v>
      </c>
      <c r="W61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61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61" s="4">
        <f>BASE_DE_NOMES[[#This Row],[TOTAL DE C.CHEQUE]]+BASE_DE_NOMES[[#This Row],[TOTAL DE QUEBRA]]+BASE_DE_NOMES[[#This Row],[ADC. ANTIGUIDADE]]+BASE_DE_NOMES[[#This Row],[TOTAL DE TRIENIO]]+BASE_DE_NOMES[[#This Row],[CCT]]</f>
        <v>1528</v>
      </c>
      <c r="Z61">
        <f>BASE_DE_NOMES[[#This Row],[PAGAMENTOS]]+BASE_DE_NOMES[[#This Row],[GRATIFICAÇÃO]]</f>
        <v>0</v>
      </c>
      <c r="AA61" s="4">
        <f>_xlfn.XLOOKUP(BASE_DE_NOMES[[#This Row],[NOME2]],Planilha1!C:C,Planilha1!D:D)*Y61</f>
        <v>305.60000000000002</v>
      </c>
      <c r="AB61" s="4">
        <f>BASE_DE_NOMES[[#This Row],[IMPOSTOS]]+BASE_DE_NOMES[[#This Row],[SALARIO BASE]]+BASE_DE_NOMES[[#This Row],[FAMILIA]]</f>
        <v>1898.6</v>
      </c>
      <c r="AC61" t="str">
        <f>_xlfn.XLOOKUP(BASE_DE_NOMES[[#This Row],[Razão Social]],Planilha1!B:B,Planilha1!C:C)</f>
        <v>AVANTE</v>
      </c>
      <c r="AD61" t="str">
        <f>_xlfn.XLOOKUP(BASE_DE_NOMES[[#This Row],[Alocações]],Planilha1!B:B,Planilha1!C:C)</f>
        <v>AVANTE</v>
      </c>
    </row>
    <row r="62" spans="1:30" x14ac:dyDescent="0.25">
      <c r="A62" t="s">
        <v>529</v>
      </c>
      <c r="B62" t="s">
        <v>56</v>
      </c>
      <c r="C62" t="s">
        <v>508</v>
      </c>
      <c r="D62" t="s">
        <v>663</v>
      </c>
      <c r="E62" s="1">
        <f>IFERROR(_xlfn.XLOOKUP(BASE_DE_NOMES[[#This Row],[Nome]],'Folha Rainha'!B:B,'Folha Rainha'!D:D),0)</f>
        <v>45444</v>
      </c>
      <c r="F62" t="str">
        <f>IFERROR(_xlfn.XLOOKUP(BASE_DE_NOMES[[#This Row],[Nome]],'Folha Rainha'!B:B,'Folha Rainha'!E:E)," ")</f>
        <v>Trabalhando</v>
      </c>
      <c r="G62" s="4">
        <f>SUMIFS('Folha Rainha'!G:G,'Folha Rainha'!B:B,BASE_DE_NOMES[[#This Row],[Nome]],'Folha Rainha'!F:F,"Salário Base")+SUMIFS('Folha Rainha'!G:G,'Folha Rainha'!B:B,BASE_DE_NOMES[[#This Row],[Nome]],'Folha Rainha'!F:F,"Salário:")</f>
        <v>1660</v>
      </c>
      <c r="H62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62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62" s="4">
        <f>BASE_DE_NOMES[[#This Row],[C.CHEQUE]]-BASE_DE_NOMES[[#This Row],[FALTAS]]-BASE_DE_NOMES[[#This Row],[DESCONTO ]]</f>
        <v>1660</v>
      </c>
      <c r="K62">
        <f>SUMIF(GRATIFICAÇÃO!A:A,BASE_DE_NOMES[[#This Row],[Nome]],GRATIFICAÇÃO!F:F)</f>
        <v>0</v>
      </c>
      <c r="L62">
        <f>SUMIF(PG!A:A,BASE_DE_NOMES[[#This Row],[Nome]],PG!E:E)</f>
        <v>0</v>
      </c>
      <c r="M62">
        <f>SUMIFS('Folha Rainha'!G:G,'Folha Rainha'!B:B,BASE_DE_NOMES[[#This Row],[Nome]],'Folha Rainha'!F:F,"*Quebra*",'Folha Rainha'!F:F,"*QUEBRA*")</f>
        <v>83</v>
      </c>
      <c r="N62">
        <f>SUMIFS('Folha Rainha'!G:G,'Folha Rainha'!B:B,BASE_DE_NOMES[[#This Row],[Nome]],'Folha Rainha'!F:F,"ADC. ANTIGUIDADE")</f>
        <v>0</v>
      </c>
      <c r="O62">
        <f>SUMIFS('Folha Rainha'!G:G,'Folha Rainha'!B:B,BASE_DE_NOMES[[#This Row],[Nome]],'Folha Rainha'!F:F,"*Trienio*")</f>
        <v>0</v>
      </c>
      <c r="P62">
        <f>SUMIFS('Folha Rainha'!G:G,'Folha Rainha'!B:B,BASE_DE_NOMES[[#This Row],[Nome]],'Folha Rainha'!F:F,"*TAXA*")</f>
        <v>0</v>
      </c>
      <c r="Q62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62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62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62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62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62">
        <f>BASE_DE_NOMES[[#This Row],[BOLSA DE AUXILIO]]+BASE_DE_NOMES[[#This Row],[VALE TRANSP]]+BASE_DE_NOMES[[#This Row],[PLANO DE SAUDE]]-BASE_DE_NOMES[[#This Row],[DESCONTOS]]</f>
        <v>0</v>
      </c>
      <c r="W62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62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62" s="4">
        <f>BASE_DE_NOMES[[#This Row],[TOTAL DE C.CHEQUE]]+BASE_DE_NOMES[[#This Row],[TOTAL DE QUEBRA]]+BASE_DE_NOMES[[#This Row],[ADC. ANTIGUIDADE]]+BASE_DE_NOMES[[#This Row],[TOTAL DE TRIENIO]]+BASE_DE_NOMES[[#This Row],[CCT]]</f>
        <v>1743</v>
      </c>
      <c r="Z62">
        <f>BASE_DE_NOMES[[#This Row],[PAGAMENTOS]]+BASE_DE_NOMES[[#This Row],[GRATIFICAÇÃO]]</f>
        <v>0</v>
      </c>
      <c r="AA62" s="4">
        <f>_xlfn.XLOOKUP(BASE_DE_NOMES[[#This Row],[NOME2]],Planilha1!C:C,Planilha1!D:D)*Y62</f>
        <v>348.6</v>
      </c>
      <c r="AB62" s="4">
        <f>BASE_DE_NOMES[[#This Row],[IMPOSTOS]]+BASE_DE_NOMES[[#This Row],[SALARIO BASE]]+BASE_DE_NOMES[[#This Row],[FAMILIA]]</f>
        <v>2091.6</v>
      </c>
      <c r="AC62" t="str">
        <f>_xlfn.XLOOKUP(BASE_DE_NOMES[[#This Row],[Razão Social]],Planilha1!B:B,Planilha1!C:C)</f>
        <v>5K DECORAÇÕES</v>
      </c>
      <c r="AD62" t="e">
        <f>_xlfn.XLOOKUP(BASE_DE_NOMES[[#This Row],[Alocações]],Planilha1!B:B,Planilha1!C:C)</f>
        <v>#N/A</v>
      </c>
    </row>
    <row r="63" spans="1:30" x14ac:dyDescent="0.25">
      <c r="A63" t="s">
        <v>540</v>
      </c>
      <c r="B63" t="s">
        <v>213</v>
      </c>
      <c r="C63" t="s">
        <v>252</v>
      </c>
      <c r="D63" t="s">
        <v>252</v>
      </c>
      <c r="E63" s="1">
        <f>IFERROR(_xlfn.XLOOKUP(BASE_DE_NOMES[[#This Row],[Nome]],'Folha Rainha'!B:B,'Folha Rainha'!D:D),0)</f>
        <v>45444</v>
      </c>
      <c r="F63" t="str">
        <f>IFERROR(_xlfn.XLOOKUP(BASE_DE_NOMES[[#This Row],[Nome]],'Folha Rainha'!B:B,'Folha Rainha'!E:E)," ")</f>
        <v>Trabalhando</v>
      </c>
      <c r="G63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63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69</v>
      </c>
      <c r="I63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63" s="4">
        <f>BASE_DE_NOMES[[#This Row],[C.CHEQUE]]-BASE_DE_NOMES[[#This Row],[FALTAS]]-BASE_DE_NOMES[[#This Row],[DESCONTO ]]</f>
        <v>1449</v>
      </c>
      <c r="K63">
        <f>SUMIF(GRATIFICAÇÃO!A:A,BASE_DE_NOMES[[#This Row],[Nome]],GRATIFICAÇÃO!F:F)</f>
        <v>0</v>
      </c>
      <c r="L63">
        <f>SUMIF(PG!A:A,BASE_DE_NOMES[[#This Row],[Nome]],PG!E:E)</f>
        <v>0</v>
      </c>
      <c r="M63">
        <f>SUMIFS('Folha Rainha'!G:G,'Folha Rainha'!B:B,BASE_DE_NOMES[[#This Row],[Nome]],'Folha Rainha'!F:F,"*Quebra*",'Folha Rainha'!F:F,"*QUEBRA*")</f>
        <v>0</v>
      </c>
      <c r="N63">
        <f>SUMIFS('Folha Rainha'!G:G,'Folha Rainha'!B:B,BASE_DE_NOMES[[#This Row],[Nome]],'Folha Rainha'!F:F,"ADC. ANTIGUIDADE")</f>
        <v>0</v>
      </c>
      <c r="O63">
        <f>SUMIFS('Folha Rainha'!G:G,'Folha Rainha'!B:B,BASE_DE_NOMES[[#This Row],[Nome]],'Folha Rainha'!F:F,"*Trienio*")</f>
        <v>0</v>
      </c>
      <c r="P63">
        <f>SUMIFS('Folha Rainha'!G:G,'Folha Rainha'!B:B,BASE_DE_NOMES[[#This Row],[Nome]],'Folha Rainha'!F:F,"*TAXA*")</f>
        <v>0</v>
      </c>
      <c r="Q63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63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63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63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63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63">
        <f>BASE_DE_NOMES[[#This Row],[BOLSA DE AUXILIO]]+BASE_DE_NOMES[[#This Row],[VALE TRANSP]]+BASE_DE_NOMES[[#This Row],[PLANO DE SAUDE]]-BASE_DE_NOMES[[#This Row],[DESCONTOS]]</f>
        <v>0</v>
      </c>
      <c r="W63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63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63" s="4">
        <f>BASE_DE_NOMES[[#This Row],[TOTAL DE C.CHEQUE]]+BASE_DE_NOMES[[#This Row],[TOTAL DE QUEBRA]]+BASE_DE_NOMES[[#This Row],[ADC. ANTIGUIDADE]]+BASE_DE_NOMES[[#This Row],[TOTAL DE TRIENIO]]+BASE_DE_NOMES[[#This Row],[CCT]]</f>
        <v>1449</v>
      </c>
      <c r="Z63">
        <f>BASE_DE_NOMES[[#This Row],[PAGAMENTOS]]+BASE_DE_NOMES[[#This Row],[GRATIFICAÇÃO]]</f>
        <v>0</v>
      </c>
      <c r="AA63" s="4">
        <f>_xlfn.XLOOKUP(BASE_DE_NOMES[[#This Row],[NOME2]],Planilha1!C:C,Planilha1!D:D)*Y63</f>
        <v>729.2817</v>
      </c>
      <c r="AB63" s="4">
        <f>BASE_DE_NOMES[[#This Row],[IMPOSTOS]]+BASE_DE_NOMES[[#This Row],[SALARIO BASE]]+BASE_DE_NOMES[[#This Row],[FAMILIA]]</f>
        <v>2178.2817</v>
      </c>
      <c r="AC63" t="str">
        <f>_xlfn.XLOOKUP(BASE_DE_NOMES[[#This Row],[Razão Social]],Planilha1!B:B,Planilha1!C:C)</f>
        <v>FABRICA</v>
      </c>
      <c r="AD63" t="str">
        <f>_xlfn.XLOOKUP(BASE_DE_NOMES[[#This Row],[Alocações]],Planilha1!B:B,Planilha1!C:C)</f>
        <v>FABRICA</v>
      </c>
    </row>
    <row r="64" spans="1:30" x14ac:dyDescent="0.25">
      <c r="A64" t="s">
        <v>664</v>
      </c>
      <c r="B64" t="s">
        <v>407</v>
      </c>
      <c r="C64" t="s">
        <v>252</v>
      </c>
      <c r="D64" t="s">
        <v>252</v>
      </c>
      <c r="E64" s="1">
        <f>IFERROR(_xlfn.XLOOKUP(BASE_DE_NOMES[[#This Row],[Nome]],'Folha Rainha'!B:B,'Folha Rainha'!D:D),0)</f>
        <v>0</v>
      </c>
      <c r="F64" t="str">
        <f>IFERROR(_xlfn.XLOOKUP(BASE_DE_NOMES[[#This Row],[Nome]],'Folha Rainha'!B:B,'Folha Rainha'!E:E)," ")</f>
        <v xml:space="preserve"> </v>
      </c>
      <c r="G64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64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64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64" s="4">
        <f>BASE_DE_NOMES[[#This Row],[C.CHEQUE]]-BASE_DE_NOMES[[#This Row],[FALTAS]]-BASE_DE_NOMES[[#This Row],[DESCONTO ]]</f>
        <v>0</v>
      </c>
      <c r="K64">
        <f>SUMIF(GRATIFICAÇÃO!A:A,BASE_DE_NOMES[[#This Row],[Nome]],GRATIFICAÇÃO!F:F)</f>
        <v>0</v>
      </c>
      <c r="L64">
        <f>SUMIF(PG!A:A,BASE_DE_NOMES[[#This Row],[Nome]],PG!E:E)</f>
        <v>0</v>
      </c>
      <c r="M64">
        <f>SUMIFS('Folha Rainha'!G:G,'Folha Rainha'!B:B,BASE_DE_NOMES[[#This Row],[Nome]],'Folha Rainha'!F:F,"*Quebra*",'Folha Rainha'!F:F,"*QUEBRA*")</f>
        <v>0</v>
      </c>
      <c r="N64">
        <f>SUMIFS('Folha Rainha'!G:G,'Folha Rainha'!B:B,BASE_DE_NOMES[[#This Row],[Nome]],'Folha Rainha'!F:F,"ADC. ANTIGUIDADE")</f>
        <v>0</v>
      </c>
      <c r="O64">
        <f>SUMIFS('Folha Rainha'!G:G,'Folha Rainha'!B:B,BASE_DE_NOMES[[#This Row],[Nome]],'Folha Rainha'!F:F,"*Trienio*")</f>
        <v>0</v>
      </c>
      <c r="P64">
        <f>SUMIFS('Folha Rainha'!G:G,'Folha Rainha'!B:B,BASE_DE_NOMES[[#This Row],[Nome]],'Folha Rainha'!F:F,"*TAXA*")</f>
        <v>0</v>
      </c>
      <c r="Q64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64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64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64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64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64">
        <f>BASE_DE_NOMES[[#This Row],[BOLSA DE AUXILIO]]+BASE_DE_NOMES[[#This Row],[VALE TRANSP]]+BASE_DE_NOMES[[#This Row],[PLANO DE SAUDE]]-BASE_DE_NOMES[[#This Row],[DESCONTOS]]</f>
        <v>0</v>
      </c>
      <c r="W64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64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64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64">
        <f>BASE_DE_NOMES[[#This Row],[PAGAMENTOS]]+BASE_DE_NOMES[[#This Row],[GRATIFICAÇÃO]]</f>
        <v>0</v>
      </c>
      <c r="AA64" s="4">
        <f>_xlfn.XLOOKUP(BASE_DE_NOMES[[#This Row],[NOME2]],Planilha1!C:C,Planilha1!D:D)*Y64</f>
        <v>0</v>
      </c>
      <c r="AB64" s="4">
        <f>BASE_DE_NOMES[[#This Row],[IMPOSTOS]]+BASE_DE_NOMES[[#This Row],[SALARIO BASE]]+BASE_DE_NOMES[[#This Row],[FAMILIA]]</f>
        <v>0</v>
      </c>
      <c r="AC64" t="str">
        <f>_xlfn.XLOOKUP(BASE_DE_NOMES[[#This Row],[Razão Social]],Planilha1!B:B,Planilha1!C:C)</f>
        <v>FABRICA</v>
      </c>
      <c r="AD64" t="str">
        <f>_xlfn.XLOOKUP(BASE_DE_NOMES[[#This Row],[Alocações]],Planilha1!B:B,Planilha1!C:C)</f>
        <v>FABRICA</v>
      </c>
    </row>
    <row r="65" spans="1:30" x14ac:dyDescent="0.25">
      <c r="A65" t="s">
        <v>665</v>
      </c>
      <c r="B65" t="s">
        <v>213</v>
      </c>
      <c r="C65" t="s">
        <v>326</v>
      </c>
      <c r="D65" t="s">
        <v>252</v>
      </c>
      <c r="E65" s="1">
        <f>IFERROR(_xlfn.XLOOKUP(BASE_DE_NOMES[[#This Row],[Nome]],'Folha Rainha'!B:B,'Folha Rainha'!D:D),0)</f>
        <v>0</v>
      </c>
      <c r="F65" t="str">
        <f>IFERROR(_xlfn.XLOOKUP(BASE_DE_NOMES[[#This Row],[Nome]],'Folha Rainha'!B:B,'Folha Rainha'!E:E)," ")</f>
        <v xml:space="preserve"> </v>
      </c>
      <c r="G65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65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65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65" s="4">
        <f>BASE_DE_NOMES[[#This Row],[C.CHEQUE]]-BASE_DE_NOMES[[#This Row],[FALTAS]]-BASE_DE_NOMES[[#This Row],[DESCONTO ]]</f>
        <v>0</v>
      </c>
      <c r="K65">
        <f>SUMIF(GRATIFICAÇÃO!A:A,BASE_DE_NOMES[[#This Row],[Nome]],GRATIFICAÇÃO!F:F)</f>
        <v>0</v>
      </c>
      <c r="L65">
        <f>SUMIF(PG!A:A,BASE_DE_NOMES[[#This Row],[Nome]],PG!E:E)</f>
        <v>0</v>
      </c>
      <c r="M65">
        <f>SUMIFS('Folha Rainha'!G:G,'Folha Rainha'!B:B,BASE_DE_NOMES[[#This Row],[Nome]],'Folha Rainha'!F:F,"*Quebra*",'Folha Rainha'!F:F,"*QUEBRA*")</f>
        <v>0</v>
      </c>
      <c r="N65">
        <f>SUMIFS('Folha Rainha'!G:G,'Folha Rainha'!B:B,BASE_DE_NOMES[[#This Row],[Nome]],'Folha Rainha'!F:F,"ADC. ANTIGUIDADE")</f>
        <v>0</v>
      </c>
      <c r="O65">
        <f>SUMIFS('Folha Rainha'!G:G,'Folha Rainha'!B:B,BASE_DE_NOMES[[#This Row],[Nome]],'Folha Rainha'!F:F,"*Trienio*")</f>
        <v>0</v>
      </c>
      <c r="P65">
        <f>SUMIFS('Folha Rainha'!G:G,'Folha Rainha'!B:B,BASE_DE_NOMES[[#This Row],[Nome]],'Folha Rainha'!F:F,"*TAXA*")</f>
        <v>0</v>
      </c>
      <c r="Q65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65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65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65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65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65">
        <f>BASE_DE_NOMES[[#This Row],[BOLSA DE AUXILIO]]+BASE_DE_NOMES[[#This Row],[VALE TRANSP]]+BASE_DE_NOMES[[#This Row],[PLANO DE SAUDE]]-BASE_DE_NOMES[[#This Row],[DESCONTOS]]</f>
        <v>0</v>
      </c>
      <c r="W65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65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65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65">
        <f>BASE_DE_NOMES[[#This Row],[PAGAMENTOS]]+BASE_DE_NOMES[[#This Row],[GRATIFICAÇÃO]]</f>
        <v>0</v>
      </c>
      <c r="AA65" s="4">
        <f>_xlfn.XLOOKUP(BASE_DE_NOMES[[#This Row],[NOME2]],Planilha1!C:C,Planilha1!D:D)*Y65</f>
        <v>0</v>
      </c>
      <c r="AB65" s="4">
        <f>BASE_DE_NOMES[[#This Row],[IMPOSTOS]]+BASE_DE_NOMES[[#This Row],[SALARIO BASE]]+BASE_DE_NOMES[[#This Row],[FAMILIA]]</f>
        <v>0</v>
      </c>
      <c r="AC65" t="str">
        <f>_xlfn.XLOOKUP(BASE_DE_NOMES[[#This Row],[Razão Social]],Planilha1!B:B,Planilha1!C:C)</f>
        <v>VALE XEL</v>
      </c>
      <c r="AD65" t="str">
        <f>_xlfn.XLOOKUP(BASE_DE_NOMES[[#This Row],[Alocações]],Planilha1!B:B,Planilha1!C:C)</f>
        <v>FABRICA</v>
      </c>
    </row>
    <row r="66" spans="1:30" x14ac:dyDescent="0.25">
      <c r="A66" t="s">
        <v>180</v>
      </c>
      <c r="B66" t="s">
        <v>80</v>
      </c>
      <c r="C66" t="s">
        <v>556</v>
      </c>
      <c r="D66" t="s">
        <v>225</v>
      </c>
      <c r="E66" s="1">
        <f>IFERROR(_xlfn.XLOOKUP(BASE_DE_NOMES[[#This Row],[Nome]],'Folha Rainha'!B:B,'Folha Rainha'!D:D),0)</f>
        <v>40210</v>
      </c>
      <c r="F66" t="str">
        <f>IFERROR(_xlfn.XLOOKUP(BASE_DE_NOMES[[#This Row],[Nome]],'Folha Rainha'!B:B,'Folha Rainha'!E:E)," ")</f>
        <v>Trabalhando</v>
      </c>
      <c r="G66" s="4">
        <f>SUMIFS('Folha Rainha'!G:G,'Folha Rainha'!B:B,BASE_DE_NOMES[[#This Row],[Nome]],'Folha Rainha'!F:F,"Salário Base")+SUMIFS('Folha Rainha'!G:G,'Folha Rainha'!B:B,BASE_DE_NOMES[[#This Row],[Nome]],'Folha Rainha'!F:F,"Salário:")</f>
        <v>2092.21</v>
      </c>
      <c r="H66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66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66" s="4">
        <f>BASE_DE_NOMES[[#This Row],[C.CHEQUE]]-BASE_DE_NOMES[[#This Row],[FALTAS]]-BASE_DE_NOMES[[#This Row],[DESCONTO ]]</f>
        <v>2092.21</v>
      </c>
      <c r="K66">
        <f>SUMIF(GRATIFICAÇÃO!A:A,BASE_DE_NOMES[[#This Row],[Nome]],GRATIFICAÇÃO!F:F)</f>
        <v>300</v>
      </c>
      <c r="L66">
        <f>SUMIF(PG!A:A,BASE_DE_NOMES[[#This Row],[Nome]],PG!E:E)</f>
        <v>0</v>
      </c>
      <c r="M66">
        <f>SUMIFS('Folha Rainha'!G:G,'Folha Rainha'!B:B,BASE_DE_NOMES[[#This Row],[Nome]],'Folha Rainha'!F:F,"*Quebra*",'Folha Rainha'!F:F,"*QUEBRA*")</f>
        <v>0</v>
      </c>
      <c r="N66">
        <f>SUMIFS('Folha Rainha'!G:G,'Folha Rainha'!B:B,BASE_DE_NOMES[[#This Row],[Nome]],'Folha Rainha'!F:F,"ADC. ANTIGUIDADE")</f>
        <v>0</v>
      </c>
      <c r="O66">
        <f>SUMIFS('Folha Rainha'!G:G,'Folha Rainha'!B:B,BASE_DE_NOMES[[#This Row],[Nome]],'Folha Rainha'!F:F,"*Trienio*")</f>
        <v>313.83999999999997</v>
      </c>
      <c r="P66">
        <f>SUMIFS('Folha Rainha'!G:G,'Folha Rainha'!B:B,BASE_DE_NOMES[[#This Row],[Nome]],'Folha Rainha'!F:F,"*TAXA*")</f>
        <v>0</v>
      </c>
      <c r="Q66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66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66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66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66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66">
        <f>BASE_DE_NOMES[[#This Row],[BOLSA DE AUXILIO]]+BASE_DE_NOMES[[#This Row],[VALE TRANSP]]+BASE_DE_NOMES[[#This Row],[PLANO DE SAUDE]]-BASE_DE_NOMES[[#This Row],[DESCONTOS]]</f>
        <v>0</v>
      </c>
      <c r="W66" s="4">
        <f>SUMIFS('Folha Rainha'!G:G,'Folha Rainha'!B:B,BASE_DE_NOMES[[#This Row],[Nome]],'Folha Rainha'!F:F,"VALE COMPRAS")+SUMIFS('Folha Rainha'!G:G,'Folha Rainha'!B:B,BASE_DE_NOMES[[#This Row],[Nome]],'Folha Rainha'!F:F,"VALES")</f>
        <v>78.78</v>
      </c>
      <c r="X66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66" s="4">
        <f>BASE_DE_NOMES[[#This Row],[TOTAL DE C.CHEQUE]]+BASE_DE_NOMES[[#This Row],[TOTAL DE QUEBRA]]+BASE_DE_NOMES[[#This Row],[ADC. ANTIGUIDADE]]+BASE_DE_NOMES[[#This Row],[TOTAL DE TRIENIO]]+BASE_DE_NOMES[[#This Row],[CCT]]</f>
        <v>2406.0500000000002</v>
      </c>
      <c r="Z66">
        <f>BASE_DE_NOMES[[#This Row],[PAGAMENTOS]]+BASE_DE_NOMES[[#This Row],[GRATIFICAÇÃO]]</f>
        <v>300</v>
      </c>
      <c r="AA66" s="4">
        <f>_xlfn.XLOOKUP(BASE_DE_NOMES[[#This Row],[NOME2]],Planilha1!C:C,Planilha1!D:D)*Y66</f>
        <v>1210.9649650000001</v>
      </c>
      <c r="AB66" s="4">
        <f>BASE_DE_NOMES[[#This Row],[IMPOSTOS]]+BASE_DE_NOMES[[#This Row],[SALARIO BASE]]+BASE_DE_NOMES[[#This Row],[FAMILIA]]</f>
        <v>3617.0149650000003</v>
      </c>
      <c r="AC66" t="str">
        <f>_xlfn.XLOOKUP(BASE_DE_NOMES[[#This Row],[Razão Social]],Planilha1!B:B,Planilha1!C:C)</f>
        <v>SR PASSOS</v>
      </c>
      <c r="AD66" t="str">
        <f>_xlfn.XLOOKUP(BASE_DE_NOMES[[#This Row],[Alocações]],Planilha1!B:B,Planilha1!C:C)</f>
        <v>ESCRITORIO</v>
      </c>
    </row>
    <row r="67" spans="1:30" x14ac:dyDescent="0.25">
      <c r="A67" t="s">
        <v>443</v>
      </c>
      <c r="B67" t="s">
        <v>46</v>
      </c>
      <c r="C67" t="s">
        <v>229</v>
      </c>
      <c r="D67" t="s">
        <v>229</v>
      </c>
      <c r="E67" s="1">
        <f>IFERROR(_xlfn.XLOOKUP(BASE_DE_NOMES[[#This Row],[Nome]],'Folha Rainha'!B:B,'Folha Rainha'!D:D),0)</f>
        <v>45180</v>
      </c>
      <c r="F67" t="str">
        <f>IFERROR(_xlfn.XLOOKUP(BASE_DE_NOMES[[#This Row],[Nome]],'Folha Rainha'!B:B,'Folha Rainha'!E:E)," ")</f>
        <v>Trabalhando</v>
      </c>
      <c r="G67" s="4">
        <f>SUMIFS('Folha Rainha'!G:G,'Folha Rainha'!B:B,BASE_DE_NOMES[[#This Row],[Nome]],'Folha Rainha'!F:F,"Salário Base")+SUMIFS('Folha Rainha'!G:G,'Folha Rainha'!B:B,BASE_DE_NOMES[[#This Row],[Nome]],'Folha Rainha'!F:F,"Salário:")</f>
        <v>1885.86</v>
      </c>
      <c r="H67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67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67" s="4">
        <f>BASE_DE_NOMES[[#This Row],[C.CHEQUE]]-BASE_DE_NOMES[[#This Row],[FALTAS]]-BASE_DE_NOMES[[#This Row],[DESCONTO ]]</f>
        <v>1885.86</v>
      </c>
      <c r="K67">
        <f>SUMIF(GRATIFICAÇÃO!A:A,BASE_DE_NOMES[[#This Row],[Nome]],GRATIFICAÇÃO!F:F)</f>
        <v>0</v>
      </c>
      <c r="L67">
        <f>SUMIF(PG!A:A,BASE_DE_NOMES[[#This Row],[Nome]],PG!E:E)</f>
        <v>0</v>
      </c>
      <c r="M67">
        <f>SUMIFS('Folha Rainha'!G:G,'Folha Rainha'!B:B,BASE_DE_NOMES[[#This Row],[Nome]],'Folha Rainha'!F:F,"*Quebra*",'Folha Rainha'!F:F,"*QUEBRA*")</f>
        <v>0</v>
      </c>
      <c r="N67">
        <f>SUMIFS('Folha Rainha'!G:G,'Folha Rainha'!B:B,BASE_DE_NOMES[[#This Row],[Nome]],'Folha Rainha'!F:F,"ADC. ANTIGUIDADE")</f>
        <v>0</v>
      </c>
      <c r="O67">
        <f>SUMIFS('Folha Rainha'!G:G,'Folha Rainha'!B:B,BASE_DE_NOMES[[#This Row],[Nome]],'Folha Rainha'!F:F,"*Trienio*")</f>
        <v>0</v>
      </c>
      <c r="P67">
        <f>SUMIFS('Folha Rainha'!G:G,'Folha Rainha'!B:B,BASE_DE_NOMES[[#This Row],[Nome]],'Folha Rainha'!F:F,"*TAXA*")</f>
        <v>0</v>
      </c>
      <c r="Q67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67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67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67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67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67">
        <f>BASE_DE_NOMES[[#This Row],[BOLSA DE AUXILIO]]+BASE_DE_NOMES[[#This Row],[VALE TRANSP]]+BASE_DE_NOMES[[#This Row],[PLANO DE SAUDE]]-BASE_DE_NOMES[[#This Row],[DESCONTOS]]</f>
        <v>0</v>
      </c>
      <c r="W67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67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67" s="4">
        <f>BASE_DE_NOMES[[#This Row],[TOTAL DE C.CHEQUE]]+BASE_DE_NOMES[[#This Row],[TOTAL DE QUEBRA]]+BASE_DE_NOMES[[#This Row],[ADC. ANTIGUIDADE]]+BASE_DE_NOMES[[#This Row],[TOTAL DE TRIENIO]]+BASE_DE_NOMES[[#This Row],[CCT]]</f>
        <v>1885.86</v>
      </c>
      <c r="Z67">
        <f>BASE_DE_NOMES[[#This Row],[PAGAMENTOS]]+BASE_DE_NOMES[[#This Row],[GRATIFICAÇÃO]]</f>
        <v>0</v>
      </c>
      <c r="AA67" s="4">
        <f>_xlfn.XLOOKUP(BASE_DE_NOMES[[#This Row],[NOME2]],Planilha1!C:C,Planilha1!D:D)*Y67</f>
        <v>377.17200000000003</v>
      </c>
      <c r="AB67" s="4">
        <f>BASE_DE_NOMES[[#This Row],[IMPOSTOS]]+BASE_DE_NOMES[[#This Row],[SALARIO BASE]]+BASE_DE_NOMES[[#This Row],[FAMILIA]]</f>
        <v>2263.0320000000002</v>
      </c>
      <c r="AC67" t="str">
        <f>_xlfn.XLOOKUP(BASE_DE_NOMES[[#This Row],[Razão Social]],Planilha1!B:B,Planilha1!C:C)</f>
        <v>GRAND CANYON</v>
      </c>
      <c r="AD67" t="str">
        <f>_xlfn.XLOOKUP(BASE_DE_NOMES[[#This Row],[Alocações]],Planilha1!B:B,Planilha1!C:C)</f>
        <v>GRAND CANYON</v>
      </c>
    </row>
    <row r="68" spans="1:30" x14ac:dyDescent="0.25">
      <c r="A68" t="s">
        <v>666</v>
      </c>
      <c r="B68" t="s">
        <v>544</v>
      </c>
      <c r="C68" t="s">
        <v>252</v>
      </c>
      <c r="D68" t="s">
        <v>252</v>
      </c>
      <c r="E68" s="1">
        <f>IFERROR(_xlfn.XLOOKUP(BASE_DE_NOMES[[#This Row],[Nome]],'Folha Rainha'!B:B,'Folha Rainha'!D:D),0)</f>
        <v>0</v>
      </c>
      <c r="F68" t="str">
        <f>IFERROR(_xlfn.XLOOKUP(BASE_DE_NOMES[[#This Row],[Nome]],'Folha Rainha'!B:B,'Folha Rainha'!E:E)," ")</f>
        <v xml:space="preserve"> </v>
      </c>
      <c r="G68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68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68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68" s="4">
        <f>BASE_DE_NOMES[[#This Row],[C.CHEQUE]]-BASE_DE_NOMES[[#This Row],[FALTAS]]-BASE_DE_NOMES[[#This Row],[DESCONTO ]]</f>
        <v>0</v>
      </c>
      <c r="K68">
        <f>SUMIF(GRATIFICAÇÃO!A:A,BASE_DE_NOMES[[#This Row],[Nome]],GRATIFICAÇÃO!F:F)</f>
        <v>0</v>
      </c>
      <c r="L68">
        <f>SUMIF(PG!A:A,BASE_DE_NOMES[[#This Row],[Nome]],PG!E:E)</f>
        <v>0</v>
      </c>
      <c r="M68">
        <f>SUMIFS('Folha Rainha'!G:G,'Folha Rainha'!B:B,BASE_DE_NOMES[[#This Row],[Nome]],'Folha Rainha'!F:F,"*Quebra*",'Folha Rainha'!F:F,"*QUEBRA*")</f>
        <v>0</v>
      </c>
      <c r="N68">
        <f>SUMIFS('Folha Rainha'!G:G,'Folha Rainha'!B:B,BASE_DE_NOMES[[#This Row],[Nome]],'Folha Rainha'!F:F,"ADC. ANTIGUIDADE")</f>
        <v>0</v>
      </c>
      <c r="O68">
        <f>SUMIFS('Folha Rainha'!G:G,'Folha Rainha'!B:B,BASE_DE_NOMES[[#This Row],[Nome]],'Folha Rainha'!F:F,"*Trienio*")</f>
        <v>0</v>
      </c>
      <c r="P68">
        <f>SUMIFS('Folha Rainha'!G:G,'Folha Rainha'!B:B,BASE_DE_NOMES[[#This Row],[Nome]],'Folha Rainha'!F:F,"*TAXA*")</f>
        <v>0</v>
      </c>
      <c r="Q68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68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68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68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68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68">
        <f>BASE_DE_NOMES[[#This Row],[BOLSA DE AUXILIO]]+BASE_DE_NOMES[[#This Row],[VALE TRANSP]]+BASE_DE_NOMES[[#This Row],[PLANO DE SAUDE]]-BASE_DE_NOMES[[#This Row],[DESCONTOS]]</f>
        <v>0</v>
      </c>
      <c r="W68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68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68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68">
        <f>BASE_DE_NOMES[[#This Row],[PAGAMENTOS]]+BASE_DE_NOMES[[#This Row],[GRATIFICAÇÃO]]</f>
        <v>0</v>
      </c>
      <c r="AA68" s="4">
        <f>_xlfn.XLOOKUP(BASE_DE_NOMES[[#This Row],[NOME2]],Planilha1!C:C,Planilha1!D:D)*Y68</f>
        <v>0</v>
      </c>
      <c r="AB68" s="4">
        <f>BASE_DE_NOMES[[#This Row],[IMPOSTOS]]+BASE_DE_NOMES[[#This Row],[SALARIO BASE]]+BASE_DE_NOMES[[#This Row],[FAMILIA]]</f>
        <v>0</v>
      </c>
      <c r="AC68" t="str">
        <f>_xlfn.XLOOKUP(BASE_DE_NOMES[[#This Row],[Razão Social]],Planilha1!B:B,Planilha1!C:C)</f>
        <v>FABRICA</v>
      </c>
      <c r="AD68" t="str">
        <f>_xlfn.XLOOKUP(BASE_DE_NOMES[[#This Row],[Alocações]],Planilha1!B:B,Planilha1!C:C)</f>
        <v>FABRICA</v>
      </c>
    </row>
    <row r="69" spans="1:30" x14ac:dyDescent="0.25">
      <c r="A69" t="s">
        <v>71</v>
      </c>
      <c r="B69" t="s">
        <v>56</v>
      </c>
      <c r="C69" t="s">
        <v>322</v>
      </c>
      <c r="D69" t="s">
        <v>322</v>
      </c>
      <c r="E69" s="1">
        <f>IFERROR(_xlfn.XLOOKUP(BASE_DE_NOMES[[#This Row],[Nome]],'Folha Rainha'!B:B,'Folha Rainha'!D:D),0)</f>
        <v>43199</v>
      </c>
      <c r="F69" t="str">
        <f>IFERROR(_xlfn.XLOOKUP(BASE_DE_NOMES[[#This Row],[Nome]],'Folha Rainha'!B:B,'Folha Rainha'!E:E)," ")</f>
        <v>Trabalhando</v>
      </c>
      <c r="G69" s="4">
        <f>SUMIFS('Folha Rainha'!G:G,'Folha Rainha'!B:B,BASE_DE_NOMES[[#This Row],[Nome]],'Folha Rainha'!F:F,"Salário Base")+SUMIFS('Folha Rainha'!G:G,'Folha Rainha'!B:B,BASE_DE_NOMES[[#This Row],[Nome]],'Folha Rainha'!F:F,"Salário:")</f>
        <v>1694.35</v>
      </c>
      <c r="H69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69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69" s="4">
        <f>BASE_DE_NOMES[[#This Row],[C.CHEQUE]]-BASE_DE_NOMES[[#This Row],[FALTAS]]-BASE_DE_NOMES[[#This Row],[DESCONTO ]]</f>
        <v>1694.35</v>
      </c>
      <c r="K69">
        <f>SUMIF(GRATIFICAÇÃO!A:A,BASE_DE_NOMES[[#This Row],[Nome]],GRATIFICAÇÃO!F:F)</f>
        <v>0</v>
      </c>
      <c r="L69">
        <f>SUMIF(PG!A:A,BASE_DE_NOMES[[#This Row],[Nome]],PG!E:E)</f>
        <v>0</v>
      </c>
      <c r="M69">
        <f>SUMIFS('Folha Rainha'!G:G,'Folha Rainha'!B:B,BASE_DE_NOMES[[#This Row],[Nome]],'Folha Rainha'!F:F,"*Quebra*",'Folha Rainha'!F:F,"*QUEBRA*")</f>
        <v>169.44</v>
      </c>
      <c r="N69">
        <f>SUMIFS('Folha Rainha'!G:G,'Folha Rainha'!B:B,BASE_DE_NOMES[[#This Row],[Nome]],'Folha Rainha'!F:F,"ADC. ANTIGUIDADE")</f>
        <v>0</v>
      </c>
      <c r="O69">
        <f>SUMIFS('Folha Rainha'!G:G,'Folha Rainha'!B:B,BASE_DE_NOMES[[#This Row],[Nome]],'Folha Rainha'!F:F,"*Trienio*")</f>
        <v>101.66</v>
      </c>
      <c r="P69">
        <f>SUMIFS('Folha Rainha'!G:G,'Folha Rainha'!B:B,BASE_DE_NOMES[[#This Row],[Nome]],'Folha Rainha'!F:F,"*TAXA*")</f>
        <v>0</v>
      </c>
      <c r="Q69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69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69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69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69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69">
        <f>BASE_DE_NOMES[[#This Row],[BOLSA DE AUXILIO]]+BASE_DE_NOMES[[#This Row],[VALE TRANSP]]+BASE_DE_NOMES[[#This Row],[PLANO DE SAUDE]]-BASE_DE_NOMES[[#This Row],[DESCONTOS]]</f>
        <v>0</v>
      </c>
      <c r="W69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69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69" s="4">
        <f>BASE_DE_NOMES[[#This Row],[TOTAL DE C.CHEQUE]]+BASE_DE_NOMES[[#This Row],[TOTAL DE QUEBRA]]+BASE_DE_NOMES[[#This Row],[ADC. ANTIGUIDADE]]+BASE_DE_NOMES[[#This Row],[TOTAL DE TRIENIO]]+BASE_DE_NOMES[[#This Row],[CCT]]</f>
        <v>1965.45</v>
      </c>
      <c r="Z69">
        <f>BASE_DE_NOMES[[#This Row],[PAGAMENTOS]]+BASE_DE_NOMES[[#This Row],[GRATIFICAÇÃO]]</f>
        <v>0</v>
      </c>
      <c r="AA69" s="4">
        <f>_xlfn.XLOOKUP(BASE_DE_NOMES[[#This Row],[NOME2]],Planilha1!C:C,Planilha1!D:D)*Y69</f>
        <v>393.09000000000003</v>
      </c>
      <c r="AB69" s="4">
        <f>BASE_DE_NOMES[[#This Row],[IMPOSTOS]]+BASE_DE_NOMES[[#This Row],[SALARIO BASE]]+BASE_DE_NOMES[[#This Row],[FAMILIA]]</f>
        <v>2358.54</v>
      </c>
      <c r="AC69" t="str">
        <f>_xlfn.XLOOKUP(BASE_DE_NOMES[[#This Row],[Razão Social]],Planilha1!B:B,Planilha1!C:C)</f>
        <v>METANÓIA</v>
      </c>
      <c r="AD69" t="str">
        <f>_xlfn.XLOOKUP(BASE_DE_NOMES[[#This Row],[Alocações]],Planilha1!B:B,Planilha1!C:C)</f>
        <v>METANÓIA</v>
      </c>
    </row>
    <row r="70" spans="1:30" x14ac:dyDescent="0.25">
      <c r="A70" t="s">
        <v>208</v>
      </c>
      <c r="B70" t="s">
        <v>99</v>
      </c>
      <c r="C70" t="s">
        <v>228</v>
      </c>
      <c r="D70" t="s">
        <v>225</v>
      </c>
      <c r="E70" s="1">
        <f>IFERROR(_xlfn.XLOOKUP(BASE_DE_NOMES[[#This Row],[Nome]],'Folha Rainha'!B:B,'Folha Rainha'!D:D),0)</f>
        <v>39601</v>
      </c>
      <c r="F70">
        <f>IFERROR(_xlfn.XLOOKUP(BASE_DE_NOMES[[#This Row],[Nome]],'Folha Rainha'!B:B,'Folha Rainha'!E:E)," ")</f>
        <v>0</v>
      </c>
      <c r="G70" s="4">
        <f>SUMIFS('Folha Rainha'!G:G,'Folha Rainha'!B:B,BASE_DE_NOMES[[#This Row],[Nome]],'Folha Rainha'!F:F,"Salário Base")+SUMIFS('Folha Rainha'!G:G,'Folha Rainha'!B:B,BASE_DE_NOMES[[#This Row],[Nome]],'Folha Rainha'!F:F,"Salário:")</f>
        <v>3604.02</v>
      </c>
      <c r="H70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70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70" s="4">
        <f>BASE_DE_NOMES[[#This Row],[C.CHEQUE]]-BASE_DE_NOMES[[#This Row],[FALTAS]]-BASE_DE_NOMES[[#This Row],[DESCONTO ]]</f>
        <v>3604.02</v>
      </c>
      <c r="K70">
        <f>SUMIF(GRATIFICAÇÃO!A:A,BASE_DE_NOMES[[#This Row],[Nome]],GRATIFICAÇÃO!F:F)</f>
        <v>0</v>
      </c>
      <c r="L70">
        <f>SUMIF(PG!A:A,BASE_DE_NOMES[[#This Row],[Nome]],PG!E:E)</f>
        <v>0</v>
      </c>
      <c r="M70">
        <f>SUMIFS('Folha Rainha'!G:G,'Folha Rainha'!B:B,BASE_DE_NOMES[[#This Row],[Nome]],'Folha Rainha'!F:F,"*Quebra*",'Folha Rainha'!F:F,"*QUEBRA*")</f>
        <v>0</v>
      </c>
      <c r="N70">
        <f>SUMIFS('Folha Rainha'!G:G,'Folha Rainha'!B:B,BASE_DE_NOMES[[#This Row],[Nome]],'Folha Rainha'!F:F,"ADC. ANTIGUIDADE")</f>
        <v>0</v>
      </c>
      <c r="O70">
        <f>SUMIFS('Folha Rainha'!G:G,'Folha Rainha'!B:B,BASE_DE_NOMES[[#This Row],[Nome]],'Folha Rainha'!F:F,"*Trienio*")</f>
        <v>540.6</v>
      </c>
      <c r="P70">
        <f>SUMIFS('Folha Rainha'!G:G,'Folha Rainha'!B:B,BASE_DE_NOMES[[#This Row],[Nome]],'Folha Rainha'!F:F,"*TAXA*")</f>
        <v>0</v>
      </c>
      <c r="Q70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70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70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70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70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70">
        <f>BASE_DE_NOMES[[#This Row],[BOLSA DE AUXILIO]]+BASE_DE_NOMES[[#This Row],[VALE TRANSP]]+BASE_DE_NOMES[[#This Row],[PLANO DE SAUDE]]-BASE_DE_NOMES[[#This Row],[DESCONTOS]]</f>
        <v>0</v>
      </c>
      <c r="W70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70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70" s="4">
        <f>BASE_DE_NOMES[[#This Row],[TOTAL DE C.CHEQUE]]+BASE_DE_NOMES[[#This Row],[TOTAL DE QUEBRA]]+BASE_DE_NOMES[[#This Row],[ADC. ANTIGUIDADE]]+BASE_DE_NOMES[[#This Row],[TOTAL DE TRIENIO]]+BASE_DE_NOMES[[#This Row],[CCT]]</f>
        <v>4144.62</v>
      </c>
      <c r="Z70">
        <f>BASE_DE_NOMES[[#This Row],[PAGAMENTOS]]+BASE_DE_NOMES[[#This Row],[GRATIFICAÇÃO]]</f>
        <v>0</v>
      </c>
      <c r="AA70" s="4">
        <f>_xlfn.XLOOKUP(BASE_DE_NOMES[[#This Row],[NOME2]],Planilha1!C:C,Planilha1!D:D)*Y70</f>
        <v>828.92399999999998</v>
      </c>
      <c r="AB70" s="4">
        <f>BASE_DE_NOMES[[#This Row],[IMPOSTOS]]+BASE_DE_NOMES[[#This Row],[SALARIO BASE]]+BASE_DE_NOMES[[#This Row],[FAMILIA]]</f>
        <v>4973.5439999999999</v>
      </c>
      <c r="AC70" t="str">
        <f>_xlfn.XLOOKUP(BASE_DE_NOMES[[#This Row],[Razão Social]],Planilha1!B:B,Planilha1!C:C)</f>
        <v>GENESIS</v>
      </c>
      <c r="AD70" t="str">
        <f>_xlfn.XLOOKUP(BASE_DE_NOMES[[#This Row],[Alocações]],Planilha1!B:B,Planilha1!C:C)</f>
        <v>ESCRITORIO</v>
      </c>
    </row>
    <row r="71" spans="1:30" x14ac:dyDescent="0.25">
      <c r="A71" t="s">
        <v>119</v>
      </c>
      <c r="B71" t="s">
        <v>407</v>
      </c>
      <c r="C71" t="s">
        <v>252</v>
      </c>
      <c r="D71" t="s">
        <v>252</v>
      </c>
      <c r="E71" s="1">
        <f>IFERROR(_xlfn.XLOOKUP(BASE_DE_NOMES[[#This Row],[Nome]],'Folha Rainha'!B:B,'Folha Rainha'!D:D),0)</f>
        <v>44216</v>
      </c>
      <c r="F71" t="str">
        <f>IFERROR(_xlfn.XLOOKUP(BASE_DE_NOMES[[#This Row],[Nome]],'Folha Rainha'!B:B,'Folha Rainha'!E:E)," ")</f>
        <v>Trabalhando</v>
      </c>
      <c r="G71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71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71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71" s="4">
        <f>BASE_DE_NOMES[[#This Row],[C.CHEQUE]]-BASE_DE_NOMES[[#This Row],[FALTAS]]-BASE_DE_NOMES[[#This Row],[DESCONTO ]]</f>
        <v>1518</v>
      </c>
      <c r="K71">
        <f>SUMIF(GRATIFICAÇÃO!A:A,BASE_DE_NOMES[[#This Row],[Nome]],GRATIFICAÇÃO!F:F)</f>
        <v>0</v>
      </c>
      <c r="L71">
        <f>SUMIF(PG!A:A,BASE_DE_NOMES[[#This Row],[Nome]],PG!E:E)</f>
        <v>0</v>
      </c>
      <c r="M71">
        <f>SUMIFS('Folha Rainha'!G:G,'Folha Rainha'!B:B,BASE_DE_NOMES[[#This Row],[Nome]],'Folha Rainha'!F:F,"*Quebra*",'Folha Rainha'!F:F,"*QUEBRA*")</f>
        <v>0</v>
      </c>
      <c r="N71">
        <f>SUMIFS('Folha Rainha'!G:G,'Folha Rainha'!B:B,BASE_DE_NOMES[[#This Row],[Nome]],'Folha Rainha'!F:F,"ADC. ANTIGUIDADE")</f>
        <v>0</v>
      </c>
      <c r="O71">
        <f>SUMIFS('Folha Rainha'!G:G,'Folha Rainha'!B:B,BASE_DE_NOMES[[#This Row],[Nome]],'Folha Rainha'!F:F,"*Trienio*")</f>
        <v>0</v>
      </c>
      <c r="P71">
        <f>SUMIFS('Folha Rainha'!G:G,'Folha Rainha'!B:B,BASE_DE_NOMES[[#This Row],[Nome]],'Folha Rainha'!F:F,"*TAXA*")</f>
        <v>0</v>
      </c>
      <c r="Q71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71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71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71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71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71">
        <f>BASE_DE_NOMES[[#This Row],[BOLSA DE AUXILIO]]+BASE_DE_NOMES[[#This Row],[VALE TRANSP]]+BASE_DE_NOMES[[#This Row],[PLANO DE SAUDE]]-BASE_DE_NOMES[[#This Row],[DESCONTOS]]</f>
        <v>0</v>
      </c>
      <c r="W71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71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71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71">
        <f>BASE_DE_NOMES[[#This Row],[PAGAMENTOS]]+BASE_DE_NOMES[[#This Row],[GRATIFICAÇÃO]]</f>
        <v>0</v>
      </c>
      <c r="AA71" s="4">
        <f>_xlfn.XLOOKUP(BASE_DE_NOMES[[#This Row],[NOME2]],Planilha1!C:C,Planilha1!D:D)*Y71</f>
        <v>764.00939999999991</v>
      </c>
      <c r="AB71" s="4">
        <f>BASE_DE_NOMES[[#This Row],[IMPOSTOS]]+BASE_DE_NOMES[[#This Row],[SALARIO BASE]]+BASE_DE_NOMES[[#This Row],[FAMILIA]]</f>
        <v>2282.0093999999999</v>
      </c>
      <c r="AC71" t="str">
        <f>_xlfn.XLOOKUP(BASE_DE_NOMES[[#This Row],[Razão Social]],Planilha1!B:B,Planilha1!C:C)</f>
        <v>FABRICA</v>
      </c>
      <c r="AD71" t="str">
        <f>_xlfn.XLOOKUP(BASE_DE_NOMES[[#This Row],[Alocações]],Planilha1!B:B,Planilha1!C:C)</f>
        <v>FABRICA</v>
      </c>
    </row>
    <row r="72" spans="1:30" x14ac:dyDescent="0.25">
      <c r="A72" t="s">
        <v>532</v>
      </c>
      <c r="B72" t="s">
        <v>572</v>
      </c>
      <c r="C72" t="s">
        <v>427</v>
      </c>
      <c r="D72" t="s">
        <v>225</v>
      </c>
      <c r="E72" s="1">
        <f>IFERROR(_xlfn.XLOOKUP(BASE_DE_NOMES[[#This Row],[Nome]],'Folha Rainha'!B:B,'Folha Rainha'!D:D),0)</f>
        <v>0</v>
      </c>
      <c r="F72" t="str">
        <f>IFERROR(_xlfn.XLOOKUP(BASE_DE_NOMES[[#This Row],[Nome]],'Folha Rainha'!B:B,'Folha Rainha'!E:E)," ")</f>
        <v xml:space="preserve"> </v>
      </c>
      <c r="G72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72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72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72" s="4">
        <f>BASE_DE_NOMES[[#This Row],[C.CHEQUE]]-BASE_DE_NOMES[[#This Row],[FALTAS]]-BASE_DE_NOMES[[#This Row],[DESCONTO ]]</f>
        <v>0</v>
      </c>
      <c r="K72">
        <f>SUMIF(GRATIFICAÇÃO!A:A,BASE_DE_NOMES[[#This Row],[Nome]],GRATIFICAÇÃO!F:F)</f>
        <v>0</v>
      </c>
      <c r="L72">
        <f>SUMIF(PG!A:A,BASE_DE_NOMES[[#This Row],[Nome]],PG!E:E)</f>
        <v>2110</v>
      </c>
      <c r="M72">
        <f>SUMIFS('Folha Rainha'!G:G,'Folha Rainha'!B:B,BASE_DE_NOMES[[#This Row],[Nome]],'Folha Rainha'!F:F,"*Quebra*",'Folha Rainha'!F:F,"*QUEBRA*")</f>
        <v>0</v>
      </c>
      <c r="N72">
        <f>SUMIFS('Folha Rainha'!G:G,'Folha Rainha'!B:B,BASE_DE_NOMES[[#This Row],[Nome]],'Folha Rainha'!F:F,"ADC. ANTIGUIDADE")</f>
        <v>0</v>
      </c>
      <c r="O72">
        <f>SUMIFS('Folha Rainha'!G:G,'Folha Rainha'!B:B,BASE_DE_NOMES[[#This Row],[Nome]],'Folha Rainha'!F:F,"*Trienio*")</f>
        <v>0</v>
      </c>
      <c r="P72">
        <f>SUMIFS('Folha Rainha'!G:G,'Folha Rainha'!B:B,BASE_DE_NOMES[[#This Row],[Nome]],'Folha Rainha'!F:F,"*TAXA*")</f>
        <v>0</v>
      </c>
      <c r="Q72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72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72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72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72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72">
        <f>BASE_DE_NOMES[[#This Row],[BOLSA DE AUXILIO]]+BASE_DE_NOMES[[#This Row],[VALE TRANSP]]+BASE_DE_NOMES[[#This Row],[PLANO DE SAUDE]]-BASE_DE_NOMES[[#This Row],[DESCONTOS]]</f>
        <v>0</v>
      </c>
      <c r="W72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72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72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72">
        <f>BASE_DE_NOMES[[#This Row],[PAGAMENTOS]]+BASE_DE_NOMES[[#This Row],[GRATIFICAÇÃO]]</f>
        <v>2110</v>
      </c>
      <c r="AA72" s="4">
        <f>_xlfn.XLOOKUP(BASE_DE_NOMES[[#This Row],[NOME2]],Planilha1!C:C,Planilha1!D:D)*Y72</f>
        <v>0</v>
      </c>
      <c r="AB72" s="4">
        <f>BASE_DE_NOMES[[#This Row],[IMPOSTOS]]+BASE_DE_NOMES[[#This Row],[SALARIO BASE]]+BASE_DE_NOMES[[#This Row],[FAMILIA]]</f>
        <v>0</v>
      </c>
      <c r="AC72" t="str">
        <f>_xlfn.XLOOKUP(BASE_DE_NOMES[[#This Row],[Razão Social]],Planilha1!B:B,Planilha1!C:C)</f>
        <v>ESCRITORIO</v>
      </c>
      <c r="AD72" t="str">
        <f>_xlfn.XLOOKUP(BASE_DE_NOMES[[#This Row],[Alocações]],Planilha1!B:B,Planilha1!C:C)</f>
        <v>ESCRITORIO</v>
      </c>
    </row>
    <row r="73" spans="1:30" x14ac:dyDescent="0.25">
      <c r="A73" t="s">
        <v>667</v>
      </c>
      <c r="B73" t="s">
        <v>558</v>
      </c>
      <c r="C73" t="s">
        <v>427</v>
      </c>
      <c r="D73" t="s">
        <v>225</v>
      </c>
      <c r="E73" s="1">
        <f>IFERROR(_xlfn.XLOOKUP(BASE_DE_NOMES[[#This Row],[Nome]],'Folha Rainha'!B:B,'Folha Rainha'!D:D),0)</f>
        <v>0</v>
      </c>
      <c r="F73" t="str">
        <f>IFERROR(_xlfn.XLOOKUP(BASE_DE_NOMES[[#This Row],[Nome]],'Folha Rainha'!B:B,'Folha Rainha'!E:E)," ")</f>
        <v xml:space="preserve"> </v>
      </c>
      <c r="G73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73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73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73" s="4">
        <f>BASE_DE_NOMES[[#This Row],[C.CHEQUE]]-BASE_DE_NOMES[[#This Row],[FALTAS]]-BASE_DE_NOMES[[#This Row],[DESCONTO ]]</f>
        <v>0</v>
      </c>
      <c r="K73">
        <f>SUMIF(GRATIFICAÇÃO!A:A,BASE_DE_NOMES[[#This Row],[Nome]],GRATIFICAÇÃO!F:F)</f>
        <v>0</v>
      </c>
      <c r="L73">
        <f>SUMIF(PG!A:A,BASE_DE_NOMES[[#This Row],[Nome]],PG!E:E)</f>
        <v>1016.4739999999999</v>
      </c>
      <c r="M73">
        <f>SUMIFS('Folha Rainha'!G:G,'Folha Rainha'!B:B,BASE_DE_NOMES[[#This Row],[Nome]],'Folha Rainha'!F:F,"*Quebra*",'Folha Rainha'!F:F,"*QUEBRA*")</f>
        <v>0</v>
      </c>
      <c r="N73">
        <f>SUMIFS('Folha Rainha'!G:G,'Folha Rainha'!B:B,BASE_DE_NOMES[[#This Row],[Nome]],'Folha Rainha'!F:F,"ADC. ANTIGUIDADE")</f>
        <v>0</v>
      </c>
      <c r="O73">
        <f>SUMIFS('Folha Rainha'!G:G,'Folha Rainha'!B:B,BASE_DE_NOMES[[#This Row],[Nome]],'Folha Rainha'!F:F,"*Trienio*")</f>
        <v>0</v>
      </c>
      <c r="P73">
        <f>SUMIFS('Folha Rainha'!G:G,'Folha Rainha'!B:B,BASE_DE_NOMES[[#This Row],[Nome]],'Folha Rainha'!F:F,"*TAXA*")</f>
        <v>0</v>
      </c>
      <c r="Q73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73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73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73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73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73">
        <f>BASE_DE_NOMES[[#This Row],[BOLSA DE AUXILIO]]+BASE_DE_NOMES[[#This Row],[VALE TRANSP]]+BASE_DE_NOMES[[#This Row],[PLANO DE SAUDE]]-BASE_DE_NOMES[[#This Row],[DESCONTOS]]</f>
        <v>0</v>
      </c>
      <c r="W73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73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73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73">
        <f>BASE_DE_NOMES[[#This Row],[PAGAMENTOS]]+BASE_DE_NOMES[[#This Row],[GRATIFICAÇÃO]]</f>
        <v>1016.4739999999999</v>
      </c>
      <c r="AA73" s="4">
        <f>_xlfn.XLOOKUP(BASE_DE_NOMES[[#This Row],[NOME2]],Planilha1!C:C,Planilha1!D:D)*Y73</f>
        <v>0</v>
      </c>
      <c r="AB73" s="4">
        <f>BASE_DE_NOMES[[#This Row],[IMPOSTOS]]+BASE_DE_NOMES[[#This Row],[SALARIO BASE]]+BASE_DE_NOMES[[#This Row],[FAMILIA]]</f>
        <v>0</v>
      </c>
      <c r="AC73" t="str">
        <f>_xlfn.XLOOKUP(BASE_DE_NOMES[[#This Row],[Razão Social]],Planilha1!B:B,Planilha1!C:C)</f>
        <v>ESCRITORIO</v>
      </c>
      <c r="AD73" t="str">
        <f>_xlfn.XLOOKUP(BASE_DE_NOMES[[#This Row],[Alocações]],Planilha1!B:B,Planilha1!C:C)</f>
        <v>ESCRITORIO</v>
      </c>
    </row>
    <row r="74" spans="1:30" x14ac:dyDescent="0.25">
      <c r="A74" t="s">
        <v>668</v>
      </c>
      <c r="B74" t="s">
        <v>258</v>
      </c>
      <c r="C74" t="s">
        <v>228</v>
      </c>
      <c r="D74" t="s">
        <v>228</v>
      </c>
      <c r="E74" s="1">
        <f>IFERROR(_xlfn.XLOOKUP(BASE_DE_NOMES[[#This Row],[Nome]],'Folha Rainha'!B:B,'Folha Rainha'!D:D),0)</f>
        <v>0</v>
      </c>
      <c r="F74" t="str">
        <f>IFERROR(_xlfn.XLOOKUP(BASE_DE_NOMES[[#This Row],[Nome]],'Folha Rainha'!B:B,'Folha Rainha'!E:E)," ")</f>
        <v xml:space="preserve"> </v>
      </c>
      <c r="G74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74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74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74" s="4">
        <f>BASE_DE_NOMES[[#This Row],[C.CHEQUE]]-BASE_DE_NOMES[[#This Row],[FALTAS]]-BASE_DE_NOMES[[#This Row],[DESCONTO ]]</f>
        <v>0</v>
      </c>
      <c r="K74">
        <f>SUMIF(GRATIFICAÇÃO!A:A,BASE_DE_NOMES[[#This Row],[Nome]],GRATIFICAÇÃO!F:F)</f>
        <v>0</v>
      </c>
      <c r="L74">
        <f>SUMIF(PG!A:A,BASE_DE_NOMES[[#This Row],[Nome]],PG!E:E)</f>
        <v>0</v>
      </c>
      <c r="M74">
        <f>SUMIFS('Folha Rainha'!G:G,'Folha Rainha'!B:B,BASE_DE_NOMES[[#This Row],[Nome]],'Folha Rainha'!F:F,"*Quebra*",'Folha Rainha'!F:F,"*QUEBRA*")</f>
        <v>0</v>
      </c>
      <c r="N74">
        <f>SUMIFS('Folha Rainha'!G:G,'Folha Rainha'!B:B,BASE_DE_NOMES[[#This Row],[Nome]],'Folha Rainha'!F:F,"ADC. ANTIGUIDADE")</f>
        <v>0</v>
      </c>
      <c r="O74">
        <f>SUMIFS('Folha Rainha'!G:G,'Folha Rainha'!B:B,BASE_DE_NOMES[[#This Row],[Nome]],'Folha Rainha'!F:F,"*Trienio*")</f>
        <v>0</v>
      </c>
      <c r="P74">
        <f>SUMIFS('Folha Rainha'!G:G,'Folha Rainha'!B:B,BASE_DE_NOMES[[#This Row],[Nome]],'Folha Rainha'!F:F,"*TAXA*")</f>
        <v>0</v>
      </c>
      <c r="Q74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74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74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74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74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74">
        <f>BASE_DE_NOMES[[#This Row],[BOLSA DE AUXILIO]]+BASE_DE_NOMES[[#This Row],[VALE TRANSP]]+BASE_DE_NOMES[[#This Row],[PLANO DE SAUDE]]-BASE_DE_NOMES[[#This Row],[DESCONTOS]]</f>
        <v>0</v>
      </c>
      <c r="W74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74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74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74">
        <f>BASE_DE_NOMES[[#This Row],[PAGAMENTOS]]+BASE_DE_NOMES[[#This Row],[GRATIFICAÇÃO]]</f>
        <v>0</v>
      </c>
      <c r="AA74" s="4">
        <f>_xlfn.XLOOKUP(BASE_DE_NOMES[[#This Row],[NOME2]],Planilha1!C:C,Planilha1!D:D)*Y74</f>
        <v>0</v>
      </c>
      <c r="AB74" s="4">
        <f>BASE_DE_NOMES[[#This Row],[IMPOSTOS]]+BASE_DE_NOMES[[#This Row],[SALARIO BASE]]+BASE_DE_NOMES[[#This Row],[FAMILIA]]</f>
        <v>0</v>
      </c>
      <c r="AC74" t="str">
        <f>_xlfn.XLOOKUP(BASE_DE_NOMES[[#This Row],[Razão Social]],Planilha1!B:B,Planilha1!C:C)</f>
        <v>GENESIS</v>
      </c>
      <c r="AD74" t="str">
        <f>_xlfn.XLOOKUP(BASE_DE_NOMES[[#This Row],[Alocações]],Planilha1!B:B,Planilha1!C:C)</f>
        <v>GENESIS</v>
      </c>
    </row>
    <row r="75" spans="1:30" x14ac:dyDescent="0.25">
      <c r="A75" t="s">
        <v>603</v>
      </c>
      <c r="B75" t="s">
        <v>56</v>
      </c>
      <c r="C75" t="s">
        <v>224</v>
      </c>
      <c r="D75" t="s">
        <v>224</v>
      </c>
      <c r="E75" s="1">
        <f>IFERROR(_xlfn.XLOOKUP(BASE_DE_NOMES[[#This Row],[Nome]],'Folha Rainha'!B:B,'Folha Rainha'!D:D),0)</f>
        <v>45633</v>
      </c>
      <c r="F75" t="str">
        <f>IFERROR(_xlfn.XLOOKUP(BASE_DE_NOMES[[#This Row],[Nome]],'Folha Rainha'!B:B,'Folha Rainha'!E:E)," ")</f>
        <v>Trabalhando</v>
      </c>
      <c r="G75" s="4">
        <f>SUMIFS('Folha Rainha'!G:G,'Folha Rainha'!B:B,BASE_DE_NOMES[[#This Row],[Nome]],'Folha Rainha'!F:F,"Salário Base")+SUMIFS('Folha Rainha'!G:G,'Folha Rainha'!B:B,BASE_DE_NOMES[[#This Row],[Nome]],'Folha Rainha'!F:F,"Salário:")</f>
        <v>1528</v>
      </c>
      <c r="H75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101.82</v>
      </c>
      <c r="I75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75" s="4">
        <f>BASE_DE_NOMES[[#This Row],[C.CHEQUE]]-BASE_DE_NOMES[[#This Row],[FALTAS]]-BASE_DE_NOMES[[#This Row],[DESCONTO ]]</f>
        <v>1426.18</v>
      </c>
      <c r="K75">
        <f>SUMIF(GRATIFICAÇÃO!A:A,BASE_DE_NOMES[[#This Row],[Nome]],GRATIFICAÇÃO!F:F)</f>
        <v>0</v>
      </c>
      <c r="L75">
        <f>SUMIF(PG!A:A,BASE_DE_NOMES[[#This Row],[Nome]],PG!E:E)</f>
        <v>0</v>
      </c>
      <c r="M75">
        <f>SUMIFS('Folha Rainha'!G:G,'Folha Rainha'!B:B,BASE_DE_NOMES[[#This Row],[Nome]],'Folha Rainha'!F:F,"*Quebra*",'Folha Rainha'!F:F,"*QUEBRA*")</f>
        <v>171.14</v>
      </c>
      <c r="N75">
        <f>SUMIFS('Folha Rainha'!G:G,'Folha Rainha'!B:B,BASE_DE_NOMES[[#This Row],[Nome]],'Folha Rainha'!F:F,"ADC. ANTIGUIDADE")</f>
        <v>0</v>
      </c>
      <c r="O75">
        <f>SUMIFS('Folha Rainha'!G:G,'Folha Rainha'!B:B,BASE_DE_NOMES[[#This Row],[Nome]],'Folha Rainha'!F:F,"*Trienio*")</f>
        <v>0</v>
      </c>
      <c r="P75">
        <f>SUMIFS('Folha Rainha'!G:G,'Folha Rainha'!B:B,BASE_DE_NOMES[[#This Row],[Nome]],'Folha Rainha'!F:F,"*TAXA*")</f>
        <v>23</v>
      </c>
      <c r="Q75" s="4">
        <f>SUMIFS('Folha Rainha'!G:G,'Folha Rainha'!B:B,BASE_DE_NOMES[[#This Row],[Nome]],'Folha Rainha'!F:F,"SALARIO FAMILIA")+SUMIFS('Folha Rainha'!G:G,'Folha Rainha'!B:B,BASE_DE_NOMES[[#This Row],[Nome]],'Folha Rainha'!F:F,"Salário Família")</f>
        <v>65</v>
      </c>
      <c r="R75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75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75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75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23</v>
      </c>
      <c r="V75">
        <f>BASE_DE_NOMES[[#This Row],[BOLSA DE AUXILIO]]+BASE_DE_NOMES[[#This Row],[VALE TRANSP]]+BASE_DE_NOMES[[#This Row],[PLANO DE SAUDE]]-BASE_DE_NOMES[[#This Row],[DESCONTOS]]</f>
        <v>-23</v>
      </c>
      <c r="W75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75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75" s="4">
        <f>BASE_DE_NOMES[[#This Row],[TOTAL DE C.CHEQUE]]+BASE_DE_NOMES[[#This Row],[TOTAL DE QUEBRA]]+BASE_DE_NOMES[[#This Row],[ADC. ANTIGUIDADE]]+BASE_DE_NOMES[[#This Row],[TOTAL DE TRIENIO]]+BASE_DE_NOMES[[#This Row],[CCT]]</f>
        <v>1597.3200000000002</v>
      </c>
      <c r="Z75">
        <f>BASE_DE_NOMES[[#This Row],[PAGAMENTOS]]+BASE_DE_NOMES[[#This Row],[GRATIFICAÇÃO]]</f>
        <v>0</v>
      </c>
      <c r="AA75" s="4">
        <f>_xlfn.XLOOKUP(BASE_DE_NOMES[[#This Row],[NOME2]],Planilha1!C:C,Planilha1!D:D)*Y75</f>
        <v>319.46400000000006</v>
      </c>
      <c r="AB75" s="4">
        <f>BASE_DE_NOMES[[#This Row],[IMPOSTOS]]+BASE_DE_NOMES[[#This Row],[SALARIO BASE]]+BASE_DE_NOMES[[#This Row],[FAMILIA]]</f>
        <v>1981.7840000000001</v>
      </c>
      <c r="AC75" t="str">
        <f>_xlfn.XLOOKUP(BASE_DE_NOMES[[#This Row],[Razão Social]],Planilha1!B:B,Planilha1!C:C)</f>
        <v>AVANTE</v>
      </c>
      <c r="AD75" t="str">
        <f>_xlfn.XLOOKUP(BASE_DE_NOMES[[#This Row],[Alocações]],Planilha1!B:B,Planilha1!C:C)</f>
        <v>AVANTE</v>
      </c>
    </row>
    <row r="76" spans="1:30" x14ac:dyDescent="0.25">
      <c r="A76" t="s">
        <v>534</v>
      </c>
      <c r="B76" t="s">
        <v>407</v>
      </c>
      <c r="C76" t="s">
        <v>326</v>
      </c>
      <c r="D76" t="s">
        <v>252</v>
      </c>
      <c r="E76" s="1">
        <f>IFERROR(_xlfn.XLOOKUP(BASE_DE_NOMES[[#This Row],[Nome]],'Folha Rainha'!B:B,'Folha Rainha'!D:D),0)</f>
        <v>45390</v>
      </c>
      <c r="F76" t="str">
        <f>IFERROR(_xlfn.XLOOKUP(BASE_DE_NOMES[[#This Row],[Nome]],'Folha Rainha'!B:B,'Folha Rainha'!E:E)," ")</f>
        <v>Trabalhando</v>
      </c>
      <c r="G76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76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76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76" s="4">
        <f>BASE_DE_NOMES[[#This Row],[C.CHEQUE]]-BASE_DE_NOMES[[#This Row],[FALTAS]]-BASE_DE_NOMES[[#This Row],[DESCONTO ]]</f>
        <v>1518</v>
      </c>
      <c r="K76">
        <f>SUMIF(GRATIFICAÇÃO!A:A,BASE_DE_NOMES[[#This Row],[Nome]],GRATIFICAÇÃO!F:F)</f>
        <v>0</v>
      </c>
      <c r="L76">
        <f>SUMIF(PG!A:A,BASE_DE_NOMES[[#This Row],[Nome]],PG!E:E)</f>
        <v>0</v>
      </c>
      <c r="M76">
        <f>SUMIFS('Folha Rainha'!G:G,'Folha Rainha'!B:B,BASE_DE_NOMES[[#This Row],[Nome]],'Folha Rainha'!F:F,"*Quebra*",'Folha Rainha'!F:F,"*QUEBRA*")</f>
        <v>0</v>
      </c>
      <c r="N76">
        <f>SUMIFS('Folha Rainha'!G:G,'Folha Rainha'!B:B,BASE_DE_NOMES[[#This Row],[Nome]],'Folha Rainha'!F:F,"ADC. ANTIGUIDADE")</f>
        <v>0</v>
      </c>
      <c r="O76">
        <f>SUMIFS('Folha Rainha'!G:G,'Folha Rainha'!B:B,BASE_DE_NOMES[[#This Row],[Nome]],'Folha Rainha'!F:F,"*Trienio*")</f>
        <v>0</v>
      </c>
      <c r="P76">
        <f>SUMIFS('Folha Rainha'!G:G,'Folha Rainha'!B:B,BASE_DE_NOMES[[#This Row],[Nome]],'Folha Rainha'!F:F,"*TAXA*")</f>
        <v>0</v>
      </c>
      <c r="Q76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76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76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76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76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76">
        <f>BASE_DE_NOMES[[#This Row],[BOLSA DE AUXILIO]]+BASE_DE_NOMES[[#This Row],[VALE TRANSP]]+BASE_DE_NOMES[[#This Row],[PLANO DE SAUDE]]-BASE_DE_NOMES[[#This Row],[DESCONTOS]]</f>
        <v>0</v>
      </c>
      <c r="W76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76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76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76">
        <f>BASE_DE_NOMES[[#This Row],[PAGAMENTOS]]+BASE_DE_NOMES[[#This Row],[GRATIFICAÇÃO]]</f>
        <v>0</v>
      </c>
      <c r="AA76" s="4">
        <f>_xlfn.XLOOKUP(BASE_DE_NOMES[[#This Row],[NOME2]],Planilha1!C:C,Planilha1!D:D)*Y76</f>
        <v>303.60000000000002</v>
      </c>
      <c r="AB76" s="4">
        <f>BASE_DE_NOMES[[#This Row],[IMPOSTOS]]+BASE_DE_NOMES[[#This Row],[SALARIO BASE]]+BASE_DE_NOMES[[#This Row],[FAMILIA]]</f>
        <v>1821.6</v>
      </c>
      <c r="AC76" t="str">
        <f>_xlfn.XLOOKUP(BASE_DE_NOMES[[#This Row],[Razão Social]],Planilha1!B:B,Planilha1!C:C)</f>
        <v>VALE XEL</v>
      </c>
      <c r="AD76" t="str">
        <f>_xlfn.XLOOKUP(BASE_DE_NOMES[[#This Row],[Alocações]],Planilha1!B:B,Planilha1!C:C)</f>
        <v>FABRICA</v>
      </c>
    </row>
    <row r="77" spans="1:30" x14ac:dyDescent="0.25">
      <c r="A77" t="s">
        <v>120</v>
      </c>
      <c r="B77" t="s">
        <v>527</v>
      </c>
      <c r="C77" t="s">
        <v>252</v>
      </c>
      <c r="D77" t="s">
        <v>252</v>
      </c>
      <c r="E77" s="1">
        <f>IFERROR(_xlfn.XLOOKUP(BASE_DE_NOMES[[#This Row],[Nome]],'Folha Rainha'!B:B,'Folha Rainha'!D:D),0)</f>
        <v>41852</v>
      </c>
      <c r="F77" t="str">
        <f>IFERROR(_xlfn.XLOOKUP(BASE_DE_NOMES[[#This Row],[Nome]],'Folha Rainha'!B:B,'Folha Rainha'!E:E)," ")</f>
        <v>Trabalhando</v>
      </c>
      <c r="G77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77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77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77" s="4">
        <f>BASE_DE_NOMES[[#This Row],[C.CHEQUE]]-BASE_DE_NOMES[[#This Row],[FALTAS]]-BASE_DE_NOMES[[#This Row],[DESCONTO ]]</f>
        <v>1518</v>
      </c>
      <c r="K77">
        <f>SUMIF(GRATIFICAÇÃO!A:A,BASE_DE_NOMES[[#This Row],[Nome]],GRATIFICAÇÃO!F:F)</f>
        <v>200</v>
      </c>
      <c r="L77">
        <f>SUMIF(PG!A:A,BASE_DE_NOMES[[#This Row],[Nome]],PG!E:E)</f>
        <v>0</v>
      </c>
      <c r="M77">
        <f>SUMIFS('Folha Rainha'!G:G,'Folha Rainha'!B:B,BASE_DE_NOMES[[#This Row],[Nome]],'Folha Rainha'!F:F,"*Quebra*",'Folha Rainha'!F:F,"*QUEBRA*")</f>
        <v>0</v>
      </c>
      <c r="N77">
        <f>SUMIFS('Folha Rainha'!G:G,'Folha Rainha'!B:B,BASE_DE_NOMES[[#This Row],[Nome]],'Folha Rainha'!F:F,"ADC. ANTIGUIDADE")</f>
        <v>0</v>
      </c>
      <c r="O77">
        <f>SUMIFS('Folha Rainha'!G:G,'Folha Rainha'!B:B,BASE_DE_NOMES[[#This Row],[Nome]],'Folha Rainha'!F:F,"*Trienio*")</f>
        <v>0</v>
      </c>
      <c r="P77">
        <f>SUMIFS('Folha Rainha'!G:G,'Folha Rainha'!B:B,BASE_DE_NOMES[[#This Row],[Nome]],'Folha Rainha'!F:F,"*TAXA*")</f>
        <v>0</v>
      </c>
      <c r="Q77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77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77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77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77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77">
        <f>BASE_DE_NOMES[[#This Row],[BOLSA DE AUXILIO]]+BASE_DE_NOMES[[#This Row],[VALE TRANSP]]+BASE_DE_NOMES[[#This Row],[PLANO DE SAUDE]]-BASE_DE_NOMES[[#This Row],[DESCONTOS]]</f>
        <v>0</v>
      </c>
      <c r="W77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77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77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77">
        <f>BASE_DE_NOMES[[#This Row],[PAGAMENTOS]]+BASE_DE_NOMES[[#This Row],[GRATIFICAÇÃO]]</f>
        <v>200</v>
      </c>
      <c r="AA77" s="4">
        <f>_xlfn.XLOOKUP(BASE_DE_NOMES[[#This Row],[NOME2]],Planilha1!C:C,Planilha1!D:D)*Y77</f>
        <v>764.00939999999991</v>
      </c>
      <c r="AB77" s="4">
        <f>BASE_DE_NOMES[[#This Row],[IMPOSTOS]]+BASE_DE_NOMES[[#This Row],[SALARIO BASE]]+BASE_DE_NOMES[[#This Row],[FAMILIA]]</f>
        <v>2282.0093999999999</v>
      </c>
      <c r="AC77" t="str">
        <f>_xlfn.XLOOKUP(BASE_DE_NOMES[[#This Row],[Razão Social]],Planilha1!B:B,Planilha1!C:C)</f>
        <v>FABRICA</v>
      </c>
      <c r="AD77" t="str">
        <f>_xlfn.XLOOKUP(BASE_DE_NOMES[[#This Row],[Alocações]],Planilha1!B:B,Planilha1!C:C)</f>
        <v>FABRICA</v>
      </c>
    </row>
    <row r="78" spans="1:30" x14ac:dyDescent="0.25">
      <c r="A78" t="s">
        <v>121</v>
      </c>
      <c r="B78" t="s">
        <v>407</v>
      </c>
      <c r="C78" t="s">
        <v>252</v>
      </c>
      <c r="D78" t="s">
        <v>252</v>
      </c>
      <c r="E78" s="1">
        <f>IFERROR(_xlfn.XLOOKUP(BASE_DE_NOMES[[#This Row],[Nome]],'Folha Rainha'!B:B,'Folha Rainha'!D:D),0)</f>
        <v>44216</v>
      </c>
      <c r="F78" t="str">
        <f>IFERROR(_xlfn.XLOOKUP(BASE_DE_NOMES[[#This Row],[Nome]],'Folha Rainha'!B:B,'Folha Rainha'!E:E)," ")</f>
        <v>Trabalhando</v>
      </c>
      <c r="G78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78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78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78" s="4">
        <f>BASE_DE_NOMES[[#This Row],[C.CHEQUE]]-BASE_DE_NOMES[[#This Row],[FALTAS]]-BASE_DE_NOMES[[#This Row],[DESCONTO ]]</f>
        <v>1518</v>
      </c>
      <c r="K78">
        <f>SUMIF(GRATIFICAÇÃO!A:A,BASE_DE_NOMES[[#This Row],[Nome]],GRATIFICAÇÃO!F:F)</f>
        <v>100</v>
      </c>
      <c r="L78">
        <f>SUMIF(PG!A:A,BASE_DE_NOMES[[#This Row],[Nome]],PG!E:E)</f>
        <v>0</v>
      </c>
      <c r="M78">
        <f>SUMIFS('Folha Rainha'!G:G,'Folha Rainha'!B:B,BASE_DE_NOMES[[#This Row],[Nome]],'Folha Rainha'!F:F,"*Quebra*",'Folha Rainha'!F:F,"*QUEBRA*")</f>
        <v>0</v>
      </c>
      <c r="N78">
        <f>SUMIFS('Folha Rainha'!G:G,'Folha Rainha'!B:B,BASE_DE_NOMES[[#This Row],[Nome]],'Folha Rainha'!F:F,"ADC. ANTIGUIDADE")</f>
        <v>0</v>
      </c>
      <c r="O78">
        <f>SUMIFS('Folha Rainha'!G:G,'Folha Rainha'!B:B,BASE_DE_NOMES[[#This Row],[Nome]],'Folha Rainha'!F:F,"*Trienio*")</f>
        <v>0</v>
      </c>
      <c r="P78">
        <f>SUMIFS('Folha Rainha'!G:G,'Folha Rainha'!B:B,BASE_DE_NOMES[[#This Row],[Nome]],'Folha Rainha'!F:F,"*TAXA*")</f>
        <v>0</v>
      </c>
      <c r="Q78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78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78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78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78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78">
        <f>BASE_DE_NOMES[[#This Row],[BOLSA DE AUXILIO]]+BASE_DE_NOMES[[#This Row],[VALE TRANSP]]+BASE_DE_NOMES[[#This Row],[PLANO DE SAUDE]]-BASE_DE_NOMES[[#This Row],[DESCONTOS]]</f>
        <v>0</v>
      </c>
      <c r="W78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78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78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78">
        <f>BASE_DE_NOMES[[#This Row],[PAGAMENTOS]]+BASE_DE_NOMES[[#This Row],[GRATIFICAÇÃO]]</f>
        <v>100</v>
      </c>
      <c r="AA78" s="4">
        <f>_xlfn.XLOOKUP(BASE_DE_NOMES[[#This Row],[NOME2]],Planilha1!C:C,Planilha1!D:D)*Y78</f>
        <v>764.00939999999991</v>
      </c>
      <c r="AB78" s="4">
        <f>BASE_DE_NOMES[[#This Row],[IMPOSTOS]]+BASE_DE_NOMES[[#This Row],[SALARIO BASE]]+BASE_DE_NOMES[[#This Row],[FAMILIA]]</f>
        <v>2282.0093999999999</v>
      </c>
      <c r="AC78" t="str">
        <f>_xlfn.XLOOKUP(BASE_DE_NOMES[[#This Row],[Razão Social]],Planilha1!B:B,Planilha1!C:C)</f>
        <v>FABRICA</v>
      </c>
      <c r="AD78" t="str">
        <f>_xlfn.XLOOKUP(BASE_DE_NOMES[[#This Row],[Alocações]],Planilha1!B:B,Planilha1!C:C)</f>
        <v>FABRICA</v>
      </c>
    </row>
    <row r="79" spans="1:30" x14ac:dyDescent="0.25">
      <c r="A79" t="s">
        <v>669</v>
      </c>
      <c r="B79" t="s">
        <v>210</v>
      </c>
      <c r="C79" t="s">
        <v>228</v>
      </c>
      <c r="D79" t="s">
        <v>225</v>
      </c>
      <c r="E79" s="1">
        <f>IFERROR(_xlfn.XLOOKUP(BASE_DE_NOMES[[#This Row],[Nome]],'Folha Rainha'!B:B,'Folha Rainha'!D:D),0)</f>
        <v>0</v>
      </c>
      <c r="F79" t="str">
        <f>IFERROR(_xlfn.XLOOKUP(BASE_DE_NOMES[[#This Row],[Nome]],'Folha Rainha'!B:B,'Folha Rainha'!E:E)," ")</f>
        <v xml:space="preserve"> </v>
      </c>
      <c r="G79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79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79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79" s="4">
        <f>BASE_DE_NOMES[[#This Row],[C.CHEQUE]]-BASE_DE_NOMES[[#This Row],[FALTAS]]-BASE_DE_NOMES[[#This Row],[DESCONTO ]]</f>
        <v>0</v>
      </c>
      <c r="K79">
        <f>SUMIF(GRATIFICAÇÃO!A:A,BASE_DE_NOMES[[#This Row],[Nome]],GRATIFICAÇÃO!F:F)</f>
        <v>0</v>
      </c>
      <c r="L79">
        <f>SUMIF(PG!A:A,BASE_DE_NOMES[[#This Row],[Nome]],PG!E:E)</f>
        <v>0</v>
      </c>
      <c r="M79">
        <f>SUMIFS('Folha Rainha'!G:G,'Folha Rainha'!B:B,BASE_DE_NOMES[[#This Row],[Nome]],'Folha Rainha'!F:F,"*Quebra*",'Folha Rainha'!F:F,"*QUEBRA*")</f>
        <v>0</v>
      </c>
      <c r="N79">
        <f>SUMIFS('Folha Rainha'!G:G,'Folha Rainha'!B:B,BASE_DE_NOMES[[#This Row],[Nome]],'Folha Rainha'!F:F,"ADC. ANTIGUIDADE")</f>
        <v>0</v>
      </c>
      <c r="O79">
        <f>SUMIFS('Folha Rainha'!G:G,'Folha Rainha'!B:B,BASE_DE_NOMES[[#This Row],[Nome]],'Folha Rainha'!F:F,"*Trienio*")</f>
        <v>0</v>
      </c>
      <c r="P79">
        <f>SUMIFS('Folha Rainha'!G:G,'Folha Rainha'!B:B,BASE_DE_NOMES[[#This Row],[Nome]],'Folha Rainha'!F:F,"*TAXA*")</f>
        <v>0</v>
      </c>
      <c r="Q79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79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79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79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79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79">
        <f>BASE_DE_NOMES[[#This Row],[BOLSA DE AUXILIO]]+BASE_DE_NOMES[[#This Row],[VALE TRANSP]]+BASE_DE_NOMES[[#This Row],[PLANO DE SAUDE]]-BASE_DE_NOMES[[#This Row],[DESCONTOS]]</f>
        <v>0</v>
      </c>
      <c r="W79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79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79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79">
        <f>BASE_DE_NOMES[[#This Row],[PAGAMENTOS]]+BASE_DE_NOMES[[#This Row],[GRATIFICAÇÃO]]</f>
        <v>0</v>
      </c>
      <c r="AA79" s="4">
        <f>_xlfn.XLOOKUP(BASE_DE_NOMES[[#This Row],[NOME2]],Planilha1!C:C,Planilha1!D:D)*Y79</f>
        <v>0</v>
      </c>
      <c r="AB79" s="4">
        <f>BASE_DE_NOMES[[#This Row],[IMPOSTOS]]+BASE_DE_NOMES[[#This Row],[SALARIO BASE]]+BASE_DE_NOMES[[#This Row],[FAMILIA]]</f>
        <v>0</v>
      </c>
      <c r="AC79" t="str">
        <f>_xlfn.XLOOKUP(BASE_DE_NOMES[[#This Row],[Razão Social]],Planilha1!B:B,Planilha1!C:C)</f>
        <v>GENESIS</v>
      </c>
      <c r="AD79" t="str">
        <f>_xlfn.XLOOKUP(BASE_DE_NOMES[[#This Row],[Alocações]],Planilha1!B:B,Planilha1!C:C)</f>
        <v>ESCRITORIO</v>
      </c>
    </row>
    <row r="80" spans="1:30" x14ac:dyDescent="0.25">
      <c r="A80" t="s">
        <v>670</v>
      </c>
      <c r="B80" t="s">
        <v>213</v>
      </c>
      <c r="C80" t="s">
        <v>252</v>
      </c>
      <c r="D80" t="s">
        <v>252</v>
      </c>
      <c r="E80" s="1">
        <f>IFERROR(_xlfn.XLOOKUP(BASE_DE_NOMES[[#This Row],[Nome]],'Folha Rainha'!B:B,'Folha Rainha'!D:D),0)</f>
        <v>0</v>
      </c>
      <c r="F80" t="str">
        <f>IFERROR(_xlfn.XLOOKUP(BASE_DE_NOMES[[#This Row],[Nome]],'Folha Rainha'!B:B,'Folha Rainha'!E:E)," ")</f>
        <v xml:space="preserve"> </v>
      </c>
      <c r="G80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80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80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80" s="4">
        <f>BASE_DE_NOMES[[#This Row],[C.CHEQUE]]-BASE_DE_NOMES[[#This Row],[FALTAS]]-BASE_DE_NOMES[[#This Row],[DESCONTO ]]</f>
        <v>0</v>
      </c>
      <c r="K80">
        <f>SUMIF(GRATIFICAÇÃO!A:A,BASE_DE_NOMES[[#This Row],[Nome]],GRATIFICAÇÃO!F:F)</f>
        <v>0</v>
      </c>
      <c r="L80">
        <f>SUMIF(PG!A:A,BASE_DE_NOMES[[#This Row],[Nome]],PG!E:E)</f>
        <v>0</v>
      </c>
      <c r="M80">
        <f>SUMIFS('Folha Rainha'!G:G,'Folha Rainha'!B:B,BASE_DE_NOMES[[#This Row],[Nome]],'Folha Rainha'!F:F,"*Quebra*",'Folha Rainha'!F:F,"*QUEBRA*")</f>
        <v>0</v>
      </c>
      <c r="N80">
        <f>SUMIFS('Folha Rainha'!G:G,'Folha Rainha'!B:B,BASE_DE_NOMES[[#This Row],[Nome]],'Folha Rainha'!F:F,"ADC. ANTIGUIDADE")</f>
        <v>0</v>
      </c>
      <c r="O80">
        <f>SUMIFS('Folha Rainha'!G:G,'Folha Rainha'!B:B,BASE_DE_NOMES[[#This Row],[Nome]],'Folha Rainha'!F:F,"*Trienio*")</f>
        <v>0</v>
      </c>
      <c r="P80">
        <f>SUMIFS('Folha Rainha'!G:G,'Folha Rainha'!B:B,BASE_DE_NOMES[[#This Row],[Nome]],'Folha Rainha'!F:F,"*TAXA*")</f>
        <v>0</v>
      </c>
      <c r="Q80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80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80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80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80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80">
        <f>BASE_DE_NOMES[[#This Row],[BOLSA DE AUXILIO]]+BASE_DE_NOMES[[#This Row],[VALE TRANSP]]+BASE_DE_NOMES[[#This Row],[PLANO DE SAUDE]]-BASE_DE_NOMES[[#This Row],[DESCONTOS]]</f>
        <v>0</v>
      </c>
      <c r="W80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80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80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80">
        <f>BASE_DE_NOMES[[#This Row],[PAGAMENTOS]]+BASE_DE_NOMES[[#This Row],[GRATIFICAÇÃO]]</f>
        <v>0</v>
      </c>
      <c r="AA80" s="4">
        <f>_xlfn.XLOOKUP(BASE_DE_NOMES[[#This Row],[NOME2]],Planilha1!C:C,Planilha1!D:D)*Y80</f>
        <v>0</v>
      </c>
      <c r="AB80" s="4">
        <f>BASE_DE_NOMES[[#This Row],[IMPOSTOS]]+BASE_DE_NOMES[[#This Row],[SALARIO BASE]]+BASE_DE_NOMES[[#This Row],[FAMILIA]]</f>
        <v>0</v>
      </c>
      <c r="AC80" t="str">
        <f>_xlfn.XLOOKUP(BASE_DE_NOMES[[#This Row],[Razão Social]],Planilha1!B:B,Planilha1!C:C)</f>
        <v>FABRICA</v>
      </c>
      <c r="AD80" t="str">
        <f>_xlfn.XLOOKUP(BASE_DE_NOMES[[#This Row],[Alocações]],Planilha1!B:B,Planilha1!C:C)</f>
        <v>FABRICA</v>
      </c>
    </row>
    <row r="81" spans="1:30" x14ac:dyDescent="0.25">
      <c r="A81" t="s">
        <v>123</v>
      </c>
      <c r="B81" t="s">
        <v>124</v>
      </c>
      <c r="C81" t="s">
        <v>252</v>
      </c>
      <c r="D81" t="s">
        <v>252</v>
      </c>
      <c r="E81" s="1">
        <f>IFERROR(_xlfn.XLOOKUP(BASE_DE_NOMES[[#This Row],[Nome]],'Folha Rainha'!B:B,'Folha Rainha'!D:D),0)</f>
        <v>40392</v>
      </c>
      <c r="F81" t="str">
        <f>IFERROR(_xlfn.XLOOKUP(BASE_DE_NOMES[[#This Row],[Nome]],'Folha Rainha'!B:B,'Folha Rainha'!E:E)," ")</f>
        <v>Trabalhando</v>
      </c>
      <c r="G81" s="4">
        <f>SUMIFS('Folha Rainha'!G:G,'Folha Rainha'!B:B,BASE_DE_NOMES[[#This Row],[Nome]],'Folha Rainha'!F:F,"Salário Base")+SUMIFS('Folha Rainha'!G:G,'Folha Rainha'!B:B,BASE_DE_NOMES[[#This Row],[Nome]],'Folha Rainha'!F:F,"Salário:")</f>
        <v>2300</v>
      </c>
      <c r="H81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81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81" s="4">
        <f>BASE_DE_NOMES[[#This Row],[C.CHEQUE]]-BASE_DE_NOMES[[#This Row],[FALTAS]]-BASE_DE_NOMES[[#This Row],[DESCONTO ]]</f>
        <v>2300</v>
      </c>
      <c r="K81">
        <f>SUMIF(GRATIFICAÇÃO!A:A,BASE_DE_NOMES[[#This Row],[Nome]],GRATIFICAÇÃO!F:F)</f>
        <v>0</v>
      </c>
      <c r="L81">
        <f>SUMIF(PG!A:A,BASE_DE_NOMES[[#This Row],[Nome]],PG!E:E)</f>
        <v>821.44</v>
      </c>
      <c r="M81">
        <f>SUMIFS('Folha Rainha'!G:G,'Folha Rainha'!B:B,BASE_DE_NOMES[[#This Row],[Nome]],'Folha Rainha'!F:F,"*Quebra*",'Folha Rainha'!F:F,"*QUEBRA*")</f>
        <v>0</v>
      </c>
      <c r="N81">
        <f>SUMIFS('Folha Rainha'!G:G,'Folha Rainha'!B:B,BASE_DE_NOMES[[#This Row],[Nome]],'Folha Rainha'!F:F,"ADC. ANTIGUIDADE")</f>
        <v>0</v>
      </c>
      <c r="O81">
        <f>SUMIFS('Folha Rainha'!G:G,'Folha Rainha'!B:B,BASE_DE_NOMES[[#This Row],[Nome]],'Folha Rainha'!F:F,"*Trienio*")</f>
        <v>69</v>
      </c>
      <c r="P81">
        <f>SUMIFS('Folha Rainha'!G:G,'Folha Rainha'!B:B,BASE_DE_NOMES[[#This Row],[Nome]],'Folha Rainha'!F:F,"*TAXA*")</f>
        <v>0</v>
      </c>
      <c r="Q81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81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81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81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81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81">
        <f>BASE_DE_NOMES[[#This Row],[BOLSA DE AUXILIO]]+BASE_DE_NOMES[[#This Row],[VALE TRANSP]]+BASE_DE_NOMES[[#This Row],[PLANO DE SAUDE]]-BASE_DE_NOMES[[#This Row],[DESCONTOS]]</f>
        <v>0</v>
      </c>
      <c r="W81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81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81" s="4">
        <f>BASE_DE_NOMES[[#This Row],[TOTAL DE C.CHEQUE]]+BASE_DE_NOMES[[#This Row],[TOTAL DE QUEBRA]]+BASE_DE_NOMES[[#This Row],[ADC. ANTIGUIDADE]]+BASE_DE_NOMES[[#This Row],[TOTAL DE TRIENIO]]+BASE_DE_NOMES[[#This Row],[CCT]]</f>
        <v>2369</v>
      </c>
      <c r="Z81">
        <f>BASE_DE_NOMES[[#This Row],[PAGAMENTOS]]+BASE_DE_NOMES[[#This Row],[GRATIFICAÇÃO]]</f>
        <v>821.44</v>
      </c>
      <c r="AA81" s="4">
        <f>_xlfn.XLOOKUP(BASE_DE_NOMES[[#This Row],[NOME2]],Planilha1!C:C,Planilha1!D:D)*Y81</f>
        <v>1192.3176999999998</v>
      </c>
      <c r="AB81" s="4">
        <f>BASE_DE_NOMES[[#This Row],[IMPOSTOS]]+BASE_DE_NOMES[[#This Row],[SALARIO BASE]]+BASE_DE_NOMES[[#This Row],[FAMILIA]]</f>
        <v>3561.3176999999996</v>
      </c>
      <c r="AC81" t="str">
        <f>_xlfn.XLOOKUP(BASE_DE_NOMES[[#This Row],[Razão Social]],Planilha1!B:B,Planilha1!C:C)</f>
        <v>FABRICA</v>
      </c>
      <c r="AD81" t="str">
        <f>_xlfn.XLOOKUP(BASE_DE_NOMES[[#This Row],[Alocações]],Planilha1!B:B,Planilha1!C:C)</f>
        <v>FABRICA</v>
      </c>
    </row>
    <row r="82" spans="1:30" x14ac:dyDescent="0.25">
      <c r="A82" t="s">
        <v>126</v>
      </c>
      <c r="B82" t="s">
        <v>407</v>
      </c>
      <c r="C82" t="s">
        <v>252</v>
      </c>
      <c r="D82" t="s">
        <v>252</v>
      </c>
      <c r="E82" s="1">
        <f>IFERROR(_xlfn.XLOOKUP(BASE_DE_NOMES[[#This Row],[Nome]],'Folha Rainha'!B:B,'Folha Rainha'!D:D),0)</f>
        <v>39234</v>
      </c>
      <c r="F82" t="str">
        <f>IFERROR(_xlfn.XLOOKUP(BASE_DE_NOMES[[#This Row],[Nome]],'Folha Rainha'!B:B,'Folha Rainha'!E:E)," ")</f>
        <v>Trabalhando</v>
      </c>
      <c r="G82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82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82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82" s="4">
        <f>BASE_DE_NOMES[[#This Row],[C.CHEQUE]]-BASE_DE_NOMES[[#This Row],[FALTAS]]-BASE_DE_NOMES[[#This Row],[DESCONTO ]]</f>
        <v>1518</v>
      </c>
      <c r="K82">
        <f>SUMIF(GRATIFICAÇÃO!A:A,BASE_DE_NOMES[[#This Row],[Nome]],GRATIFICAÇÃO!F:F)</f>
        <v>0</v>
      </c>
      <c r="L82">
        <f>SUMIF(PG!A:A,BASE_DE_NOMES[[#This Row],[Nome]],PG!E:E)</f>
        <v>0</v>
      </c>
      <c r="M82">
        <f>SUMIFS('Folha Rainha'!G:G,'Folha Rainha'!B:B,BASE_DE_NOMES[[#This Row],[Nome]],'Folha Rainha'!F:F,"*Quebra*",'Folha Rainha'!F:F,"*QUEBRA*")</f>
        <v>0</v>
      </c>
      <c r="N82">
        <f>SUMIFS('Folha Rainha'!G:G,'Folha Rainha'!B:B,BASE_DE_NOMES[[#This Row],[Nome]],'Folha Rainha'!F:F,"ADC. ANTIGUIDADE")</f>
        <v>0</v>
      </c>
      <c r="O82">
        <f>SUMIFS('Folha Rainha'!G:G,'Folha Rainha'!B:B,BASE_DE_NOMES[[#This Row],[Nome]],'Folha Rainha'!F:F,"*Trienio*")</f>
        <v>45.54</v>
      </c>
      <c r="P82">
        <f>SUMIFS('Folha Rainha'!G:G,'Folha Rainha'!B:B,BASE_DE_NOMES[[#This Row],[Nome]],'Folha Rainha'!F:F,"*TAXA*")</f>
        <v>0</v>
      </c>
      <c r="Q82" s="4">
        <f>SUMIFS('Folha Rainha'!G:G,'Folha Rainha'!B:B,BASE_DE_NOMES[[#This Row],[Nome]],'Folha Rainha'!F:F,"SALARIO FAMILIA")+SUMIFS('Folha Rainha'!G:G,'Folha Rainha'!B:B,BASE_DE_NOMES[[#This Row],[Nome]],'Folha Rainha'!F:F,"Salário Família")</f>
        <v>65</v>
      </c>
      <c r="R82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82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82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82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82">
        <f>BASE_DE_NOMES[[#This Row],[BOLSA DE AUXILIO]]+BASE_DE_NOMES[[#This Row],[VALE TRANSP]]+BASE_DE_NOMES[[#This Row],[PLANO DE SAUDE]]-BASE_DE_NOMES[[#This Row],[DESCONTOS]]</f>
        <v>0</v>
      </c>
      <c r="W82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82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82" s="4">
        <f>BASE_DE_NOMES[[#This Row],[TOTAL DE C.CHEQUE]]+BASE_DE_NOMES[[#This Row],[TOTAL DE QUEBRA]]+BASE_DE_NOMES[[#This Row],[ADC. ANTIGUIDADE]]+BASE_DE_NOMES[[#This Row],[TOTAL DE TRIENIO]]+BASE_DE_NOMES[[#This Row],[CCT]]</f>
        <v>1563.54</v>
      </c>
      <c r="Z82">
        <f>BASE_DE_NOMES[[#This Row],[PAGAMENTOS]]+BASE_DE_NOMES[[#This Row],[GRATIFICAÇÃO]]</f>
        <v>0</v>
      </c>
      <c r="AA82" s="4">
        <f>_xlfn.XLOOKUP(BASE_DE_NOMES[[#This Row],[NOME2]],Planilha1!C:C,Planilha1!D:D)*Y82</f>
        <v>786.92968199999996</v>
      </c>
      <c r="AB82" s="4">
        <f>BASE_DE_NOMES[[#This Row],[IMPOSTOS]]+BASE_DE_NOMES[[#This Row],[SALARIO BASE]]+BASE_DE_NOMES[[#This Row],[FAMILIA]]</f>
        <v>2415.4696819999999</v>
      </c>
      <c r="AC82" t="str">
        <f>_xlfn.XLOOKUP(BASE_DE_NOMES[[#This Row],[Razão Social]],Planilha1!B:B,Planilha1!C:C)</f>
        <v>FABRICA</v>
      </c>
      <c r="AD82" t="str">
        <f>_xlfn.XLOOKUP(BASE_DE_NOMES[[#This Row],[Alocações]],Planilha1!B:B,Planilha1!C:C)</f>
        <v>FABRICA</v>
      </c>
    </row>
    <row r="83" spans="1:30" x14ac:dyDescent="0.25">
      <c r="A83" t="s">
        <v>281</v>
      </c>
      <c r="B83" t="s">
        <v>407</v>
      </c>
      <c r="C83" t="s">
        <v>326</v>
      </c>
      <c r="D83" t="s">
        <v>542</v>
      </c>
      <c r="E83" s="1">
        <f>IFERROR(_xlfn.XLOOKUP(BASE_DE_NOMES[[#This Row],[Nome]],'Folha Rainha'!B:B,'Folha Rainha'!D:D),0)</f>
        <v>44774</v>
      </c>
      <c r="F83" t="str">
        <f>IFERROR(_xlfn.XLOOKUP(BASE_DE_NOMES[[#This Row],[Nome]],'Folha Rainha'!B:B,'Folha Rainha'!E:E)," ")</f>
        <v>Trabalhando</v>
      </c>
      <c r="G83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83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83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83" s="4">
        <f>BASE_DE_NOMES[[#This Row],[C.CHEQUE]]-BASE_DE_NOMES[[#This Row],[FALTAS]]-BASE_DE_NOMES[[#This Row],[DESCONTO ]]</f>
        <v>1518</v>
      </c>
      <c r="K83">
        <f>SUMIF(GRATIFICAÇÃO!A:A,BASE_DE_NOMES[[#This Row],[Nome]],GRATIFICAÇÃO!F:F)</f>
        <v>531</v>
      </c>
      <c r="L83">
        <f>SUMIF(PG!A:A,BASE_DE_NOMES[[#This Row],[Nome]],PG!E:E)</f>
        <v>0</v>
      </c>
      <c r="M83">
        <f>SUMIFS('Folha Rainha'!G:G,'Folha Rainha'!B:B,BASE_DE_NOMES[[#This Row],[Nome]],'Folha Rainha'!F:F,"*Quebra*",'Folha Rainha'!F:F,"*QUEBRA*")</f>
        <v>0</v>
      </c>
      <c r="N83">
        <f>SUMIFS('Folha Rainha'!G:G,'Folha Rainha'!B:B,BASE_DE_NOMES[[#This Row],[Nome]],'Folha Rainha'!F:F,"ADC. ANTIGUIDADE")</f>
        <v>0</v>
      </c>
      <c r="O83">
        <f>SUMIFS('Folha Rainha'!G:G,'Folha Rainha'!B:B,BASE_DE_NOMES[[#This Row],[Nome]],'Folha Rainha'!F:F,"*Trienio*")</f>
        <v>0</v>
      </c>
      <c r="P83">
        <f>SUMIFS('Folha Rainha'!G:G,'Folha Rainha'!B:B,BASE_DE_NOMES[[#This Row],[Nome]],'Folha Rainha'!F:F,"*TAXA*")</f>
        <v>0</v>
      </c>
      <c r="Q83" s="4">
        <f>SUMIFS('Folha Rainha'!G:G,'Folha Rainha'!B:B,BASE_DE_NOMES[[#This Row],[Nome]],'Folha Rainha'!F:F,"SALARIO FAMILIA")+SUMIFS('Folha Rainha'!G:G,'Folha Rainha'!B:B,BASE_DE_NOMES[[#This Row],[Nome]],'Folha Rainha'!F:F,"Salário Família")</f>
        <v>65</v>
      </c>
      <c r="R83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83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83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83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83">
        <f>BASE_DE_NOMES[[#This Row],[BOLSA DE AUXILIO]]+BASE_DE_NOMES[[#This Row],[VALE TRANSP]]+BASE_DE_NOMES[[#This Row],[PLANO DE SAUDE]]-BASE_DE_NOMES[[#This Row],[DESCONTOS]]</f>
        <v>0</v>
      </c>
      <c r="W83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83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83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83">
        <f>BASE_DE_NOMES[[#This Row],[PAGAMENTOS]]+BASE_DE_NOMES[[#This Row],[GRATIFICAÇÃO]]</f>
        <v>531</v>
      </c>
      <c r="AA83" s="4">
        <f>_xlfn.XLOOKUP(BASE_DE_NOMES[[#This Row],[NOME2]],Planilha1!C:C,Planilha1!D:D)*Y83</f>
        <v>303.60000000000002</v>
      </c>
      <c r="AB83" s="4">
        <f>BASE_DE_NOMES[[#This Row],[IMPOSTOS]]+BASE_DE_NOMES[[#This Row],[SALARIO BASE]]+BASE_DE_NOMES[[#This Row],[FAMILIA]]</f>
        <v>1886.6</v>
      </c>
      <c r="AC83" t="str">
        <f>_xlfn.XLOOKUP(BASE_DE_NOMES[[#This Row],[Razão Social]],Planilha1!B:B,Planilha1!C:C)</f>
        <v>VALE XEL</v>
      </c>
      <c r="AD83" t="str">
        <f>_xlfn.XLOOKUP(BASE_DE_NOMES[[#This Row],[Alocações]],Planilha1!B:B,Planilha1!C:C)</f>
        <v xml:space="preserve">30 K </v>
      </c>
    </row>
    <row r="84" spans="1:30" x14ac:dyDescent="0.25">
      <c r="A84" t="s">
        <v>591</v>
      </c>
      <c r="B84" t="s">
        <v>213</v>
      </c>
      <c r="C84" t="s">
        <v>252</v>
      </c>
      <c r="D84" t="s">
        <v>252</v>
      </c>
      <c r="E84" s="1">
        <f>IFERROR(_xlfn.XLOOKUP(BASE_DE_NOMES[[#This Row],[Nome]],'Folha Rainha'!B:B,'Folha Rainha'!D:D),0)</f>
        <v>45731</v>
      </c>
      <c r="F84" t="str">
        <f>IFERROR(_xlfn.XLOOKUP(BASE_DE_NOMES[[#This Row],[Nome]],'Folha Rainha'!B:B,'Folha Rainha'!E:E)," ")</f>
        <v>Trabalhando</v>
      </c>
      <c r="G84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84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84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84" s="4">
        <f>BASE_DE_NOMES[[#This Row],[C.CHEQUE]]-BASE_DE_NOMES[[#This Row],[FALTAS]]-BASE_DE_NOMES[[#This Row],[DESCONTO ]]</f>
        <v>1518</v>
      </c>
      <c r="K84">
        <f>SUMIF(GRATIFICAÇÃO!A:A,BASE_DE_NOMES[[#This Row],[Nome]],GRATIFICAÇÃO!F:F)</f>
        <v>0</v>
      </c>
      <c r="L84">
        <f>SUMIF(PG!A:A,BASE_DE_NOMES[[#This Row],[Nome]],PG!E:E)</f>
        <v>0</v>
      </c>
      <c r="M84">
        <f>SUMIFS('Folha Rainha'!G:G,'Folha Rainha'!B:B,BASE_DE_NOMES[[#This Row],[Nome]],'Folha Rainha'!F:F,"*Quebra*",'Folha Rainha'!F:F,"*QUEBRA*")</f>
        <v>0</v>
      </c>
      <c r="N84">
        <f>SUMIFS('Folha Rainha'!G:G,'Folha Rainha'!B:B,BASE_DE_NOMES[[#This Row],[Nome]],'Folha Rainha'!F:F,"ADC. ANTIGUIDADE")</f>
        <v>0</v>
      </c>
      <c r="O84">
        <f>SUMIFS('Folha Rainha'!G:G,'Folha Rainha'!B:B,BASE_DE_NOMES[[#This Row],[Nome]],'Folha Rainha'!F:F,"*Trienio*")</f>
        <v>0</v>
      </c>
      <c r="P84">
        <f>SUMIFS('Folha Rainha'!G:G,'Folha Rainha'!B:B,BASE_DE_NOMES[[#This Row],[Nome]],'Folha Rainha'!F:F,"*TAXA*")</f>
        <v>0</v>
      </c>
      <c r="Q84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84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84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84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84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84">
        <f>BASE_DE_NOMES[[#This Row],[BOLSA DE AUXILIO]]+BASE_DE_NOMES[[#This Row],[VALE TRANSP]]+BASE_DE_NOMES[[#This Row],[PLANO DE SAUDE]]-BASE_DE_NOMES[[#This Row],[DESCONTOS]]</f>
        <v>0</v>
      </c>
      <c r="W84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84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84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84">
        <f>BASE_DE_NOMES[[#This Row],[PAGAMENTOS]]+BASE_DE_NOMES[[#This Row],[GRATIFICAÇÃO]]</f>
        <v>0</v>
      </c>
      <c r="AA84" s="4">
        <f>_xlfn.XLOOKUP(BASE_DE_NOMES[[#This Row],[NOME2]],Planilha1!C:C,Planilha1!D:D)*Y84</f>
        <v>764.00939999999991</v>
      </c>
      <c r="AB84" s="4">
        <f>BASE_DE_NOMES[[#This Row],[IMPOSTOS]]+BASE_DE_NOMES[[#This Row],[SALARIO BASE]]+BASE_DE_NOMES[[#This Row],[FAMILIA]]</f>
        <v>2282.0093999999999</v>
      </c>
      <c r="AC84" t="str">
        <f>_xlfn.XLOOKUP(BASE_DE_NOMES[[#This Row],[Razão Social]],Planilha1!B:B,Planilha1!C:C)</f>
        <v>FABRICA</v>
      </c>
      <c r="AD84" t="str">
        <f>_xlfn.XLOOKUP(BASE_DE_NOMES[[#This Row],[Alocações]],Planilha1!B:B,Planilha1!C:C)</f>
        <v>FABRICA</v>
      </c>
    </row>
    <row r="85" spans="1:30" x14ac:dyDescent="0.25">
      <c r="A85" t="s">
        <v>132</v>
      </c>
      <c r="B85" t="s">
        <v>213</v>
      </c>
      <c r="C85" t="s">
        <v>252</v>
      </c>
      <c r="D85" t="s">
        <v>252</v>
      </c>
      <c r="E85" s="1">
        <f>IFERROR(_xlfn.XLOOKUP(BASE_DE_NOMES[[#This Row],[Nome]],'Folha Rainha'!B:B,'Folha Rainha'!D:D),0)</f>
        <v>39356</v>
      </c>
      <c r="F85" t="str">
        <f>IFERROR(_xlfn.XLOOKUP(BASE_DE_NOMES[[#This Row],[Nome]],'Folha Rainha'!B:B,'Folha Rainha'!E:E)," ")</f>
        <v>Trabalhando</v>
      </c>
      <c r="G85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85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85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85" s="4">
        <f>BASE_DE_NOMES[[#This Row],[C.CHEQUE]]-BASE_DE_NOMES[[#This Row],[FALTAS]]-BASE_DE_NOMES[[#This Row],[DESCONTO ]]</f>
        <v>1518</v>
      </c>
      <c r="K85">
        <f>SUMIF(GRATIFICAÇÃO!A:A,BASE_DE_NOMES[[#This Row],[Nome]],GRATIFICAÇÃO!F:F)</f>
        <v>200</v>
      </c>
      <c r="L85">
        <f>SUMIF(PG!A:A,BASE_DE_NOMES[[#This Row],[Nome]],PG!E:E)</f>
        <v>0</v>
      </c>
      <c r="M85">
        <f>SUMIFS('Folha Rainha'!G:G,'Folha Rainha'!B:B,BASE_DE_NOMES[[#This Row],[Nome]],'Folha Rainha'!F:F,"*Quebra*",'Folha Rainha'!F:F,"*QUEBRA*")</f>
        <v>0</v>
      </c>
      <c r="N85">
        <f>SUMIFS('Folha Rainha'!G:G,'Folha Rainha'!B:B,BASE_DE_NOMES[[#This Row],[Nome]],'Folha Rainha'!F:F,"ADC. ANTIGUIDADE")</f>
        <v>0</v>
      </c>
      <c r="O85">
        <f>SUMIFS('Folha Rainha'!G:G,'Folha Rainha'!B:B,BASE_DE_NOMES[[#This Row],[Nome]],'Folha Rainha'!F:F,"*Trienio*")</f>
        <v>45.54</v>
      </c>
      <c r="P85">
        <f>SUMIFS('Folha Rainha'!G:G,'Folha Rainha'!B:B,BASE_DE_NOMES[[#This Row],[Nome]],'Folha Rainha'!F:F,"*TAXA*")</f>
        <v>0</v>
      </c>
      <c r="Q85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85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85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85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85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85">
        <f>BASE_DE_NOMES[[#This Row],[BOLSA DE AUXILIO]]+BASE_DE_NOMES[[#This Row],[VALE TRANSP]]+BASE_DE_NOMES[[#This Row],[PLANO DE SAUDE]]-BASE_DE_NOMES[[#This Row],[DESCONTOS]]</f>
        <v>0</v>
      </c>
      <c r="W85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85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85" s="4">
        <f>BASE_DE_NOMES[[#This Row],[TOTAL DE C.CHEQUE]]+BASE_DE_NOMES[[#This Row],[TOTAL DE QUEBRA]]+BASE_DE_NOMES[[#This Row],[ADC. ANTIGUIDADE]]+BASE_DE_NOMES[[#This Row],[TOTAL DE TRIENIO]]+BASE_DE_NOMES[[#This Row],[CCT]]</f>
        <v>1563.54</v>
      </c>
      <c r="Z85">
        <f>BASE_DE_NOMES[[#This Row],[PAGAMENTOS]]+BASE_DE_NOMES[[#This Row],[GRATIFICAÇÃO]]</f>
        <v>200</v>
      </c>
      <c r="AA85" s="4">
        <f>_xlfn.XLOOKUP(BASE_DE_NOMES[[#This Row],[NOME2]],Planilha1!C:C,Planilha1!D:D)*Y85</f>
        <v>786.92968199999996</v>
      </c>
      <c r="AB85" s="4">
        <f>BASE_DE_NOMES[[#This Row],[IMPOSTOS]]+BASE_DE_NOMES[[#This Row],[SALARIO BASE]]+BASE_DE_NOMES[[#This Row],[FAMILIA]]</f>
        <v>2350.4696819999999</v>
      </c>
      <c r="AC85" t="str">
        <f>_xlfn.XLOOKUP(BASE_DE_NOMES[[#This Row],[Razão Social]],Planilha1!B:B,Planilha1!C:C)</f>
        <v>FABRICA</v>
      </c>
      <c r="AD85" t="str">
        <f>_xlfn.XLOOKUP(BASE_DE_NOMES[[#This Row],[Alocações]],Planilha1!B:B,Planilha1!C:C)</f>
        <v>FABRICA</v>
      </c>
    </row>
    <row r="86" spans="1:30" x14ac:dyDescent="0.25">
      <c r="A86" t="s">
        <v>244</v>
      </c>
      <c r="B86" t="s">
        <v>213</v>
      </c>
      <c r="C86" t="s">
        <v>326</v>
      </c>
      <c r="D86" t="s">
        <v>252</v>
      </c>
      <c r="E86" s="1">
        <f>IFERROR(_xlfn.XLOOKUP(BASE_DE_NOMES[[#This Row],[Nome]],'Folha Rainha'!B:B,'Folha Rainha'!D:D),0)</f>
        <v>44774</v>
      </c>
      <c r="F86" t="str">
        <f>IFERROR(_xlfn.XLOOKUP(BASE_DE_NOMES[[#This Row],[Nome]],'Folha Rainha'!B:B,'Folha Rainha'!E:E)," ")</f>
        <v>Trabalhando</v>
      </c>
      <c r="G86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86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86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86" s="4">
        <f>BASE_DE_NOMES[[#This Row],[C.CHEQUE]]-BASE_DE_NOMES[[#This Row],[FALTAS]]-BASE_DE_NOMES[[#This Row],[DESCONTO ]]</f>
        <v>1518</v>
      </c>
      <c r="K86">
        <f>SUMIF(GRATIFICAÇÃO!A:A,BASE_DE_NOMES[[#This Row],[Nome]],GRATIFICAÇÃO!F:F)</f>
        <v>0</v>
      </c>
      <c r="L86">
        <f>SUMIF(PG!A:A,BASE_DE_NOMES[[#This Row],[Nome]],PG!E:E)</f>
        <v>0</v>
      </c>
      <c r="M86">
        <f>SUMIFS('Folha Rainha'!G:G,'Folha Rainha'!B:B,BASE_DE_NOMES[[#This Row],[Nome]],'Folha Rainha'!F:F,"*Quebra*",'Folha Rainha'!F:F,"*QUEBRA*")</f>
        <v>0</v>
      </c>
      <c r="N86">
        <f>SUMIFS('Folha Rainha'!G:G,'Folha Rainha'!B:B,BASE_DE_NOMES[[#This Row],[Nome]],'Folha Rainha'!F:F,"ADC. ANTIGUIDADE")</f>
        <v>0</v>
      </c>
      <c r="O86">
        <f>SUMIFS('Folha Rainha'!G:G,'Folha Rainha'!B:B,BASE_DE_NOMES[[#This Row],[Nome]],'Folha Rainha'!F:F,"*Trienio*")</f>
        <v>0</v>
      </c>
      <c r="P86">
        <f>SUMIFS('Folha Rainha'!G:G,'Folha Rainha'!B:B,BASE_DE_NOMES[[#This Row],[Nome]],'Folha Rainha'!F:F,"*TAXA*")</f>
        <v>0</v>
      </c>
      <c r="Q86" s="4">
        <f>SUMIFS('Folha Rainha'!G:G,'Folha Rainha'!B:B,BASE_DE_NOMES[[#This Row],[Nome]],'Folha Rainha'!F:F,"SALARIO FAMILIA")+SUMIFS('Folha Rainha'!G:G,'Folha Rainha'!B:B,BASE_DE_NOMES[[#This Row],[Nome]],'Folha Rainha'!F:F,"Salário Família")</f>
        <v>65</v>
      </c>
      <c r="R86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86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86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86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86">
        <f>BASE_DE_NOMES[[#This Row],[BOLSA DE AUXILIO]]+BASE_DE_NOMES[[#This Row],[VALE TRANSP]]+BASE_DE_NOMES[[#This Row],[PLANO DE SAUDE]]-BASE_DE_NOMES[[#This Row],[DESCONTOS]]</f>
        <v>0</v>
      </c>
      <c r="W86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86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86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86">
        <f>BASE_DE_NOMES[[#This Row],[PAGAMENTOS]]+BASE_DE_NOMES[[#This Row],[GRATIFICAÇÃO]]</f>
        <v>0</v>
      </c>
      <c r="AA86" s="4">
        <f>_xlfn.XLOOKUP(BASE_DE_NOMES[[#This Row],[NOME2]],Planilha1!C:C,Planilha1!D:D)*Y86</f>
        <v>303.60000000000002</v>
      </c>
      <c r="AB86" s="4">
        <f>BASE_DE_NOMES[[#This Row],[IMPOSTOS]]+BASE_DE_NOMES[[#This Row],[SALARIO BASE]]+BASE_DE_NOMES[[#This Row],[FAMILIA]]</f>
        <v>1886.6</v>
      </c>
      <c r="AC86" t="str">
        <f>_xlfn.XLOOKUP(BASE_DE_NOMES[[#This Row],[Razão Social]],Planilha1!B:B,Planilha1!C:C)</f>
        <v>VALE XEL</v>
      </c>
      <c r="AD86" t="str">
        <f>_xlfn.XLOOKUP(BASE_DE_NOMES[[#This Row],[Alocações]],Planilha1!B:B,Planilha1!C:C)</f>
        <v>FABRICA</v>
      </c>
    </row>
    <row r="87" spans="1:30" x14ac:dyDescent="0.25">
      <c r="A87" t="s">
        <v>133</v>
      </c>
      <c r="B87" t="s">
        <v>407</v>
      </c>
      <c r="C87" t="s">
        <v>252</v>
      </c>
      <c r="D87" t="s">
        <v>252</v>
      </c>
      <c r="E87" s="1">
        <f>IFERROR(_xlfn.XLOOKUP(BASE_DE_NOMES[[#This Row],[Nome]],'Folha Rainha'!B:B,'Folha Rainha'!D:D),0)</f>
        <v>41650</v>
      </c>
      <c r="F87" t="str">
        <f>IFERROR(_xlfn.XLOOKUP(BASE_DE_NOMES[[#This Row],[Nome]],'Folha Rainha'!B:B,'Folha Rainha'!E:E)," ")</f>
        <v>Trabalhando</v>
      </c>
      <c r="G87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87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87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87" s="4">
        <f>BASE_DE_NOMES[[#This Row],[C.CHEQUE]]-BASE_DE_NOMES[[#This Row],[FALTAS]]-BASE_DE_NOMES[[#This Row],[DESCONTO ]]</f>
        <v>1518</v>
      </c>
      <c r="K87">
        <f>SUMIF(GRATIFICAÇÃO!A:A,BASE_DE_NOMES[[#This Row],[Nome]],GRATIFICAÇÃO!F:F)</f>
        <v>100</v>
      </c>
      <c r="L87">
        <f>SUMIF(PG!A:A,BASE_DE_NOMES[[#This Row],[Nome]],PG!E:E)</f>
        <v>0</v>
      </c>
      <c r="M87">
        <f>SUMIFS('Folha Rainha'!G:G,'Folha Rainha'!B:B,BASE_DE_NOMES[[#This Row],[Nome]],'Folha Rainha'!F:F,"*Quebra*",'Folha Rainha'!F:F,"*QUEBRA*")</f>
        <v>0</v>
      </c>
      <c r="N87">
        <f>SUMIFS('Folha Rainha'!G:G,'Folha Rainha'!B:B,BASE_DE_NOMES[[#This Row],[Nome]],'Folha Rainha'!F:F,"ADC. ANTIGUIDADE")</f>
        <v>0</v>
      </c>
      <c r="O87">
        <f>SUMIFS('Folha Rainha'!G:G,'Folha Rainha'!B:B,BASE_DE_NOMES[[#This Row],[Nome]],'Folha Rainha'!F:F,"*Trienio*")</f>
        <v>0</v>
      </c>
      <c r="P87">
        <f>SUMIFS('Folha Rainha'!G:G,'Folha Rainha'!B:B,BASE_DE_NOMES[[#This Row],[Nome]],'Folha Rainha'!F:F,"*TAXA*")</f>
        <v>0</v>
      </c>
      <c r="Q87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87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87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87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87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87">
        <f>BASE_DE_NOMES[[#This Row],[BOLSA DE AUXILIO]]+BASE_DE_NOMES[[#This Row],[VALE TRANSP]]+BASE_DE_NOMES[[#This Row],[PLANO DE SAUDE]]-BASE_DE_NOMES[[#This Row],[DESCONTOS]]</f>
        <v>0</v>
      </c>
      <c r="W87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87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87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87">
        <f>BASE_DE_NOMES[[#This Row],[PAGAMENTOS]]+BASE_DE_NOMES[[#This Row],[GRATIFICAÇÃO]]</f>
        <v>100</v>
      </c>
      <c r="AA87" s="4">
        <f>_xlfn.XLOOKUP(BASE_DE_NOMES[[#This Row],[NOME2]],Planilha1!C:C,Planilha1!D:D)*Y87</f>
        <v>764.00939999999991</v>
      </c>
      <c r="AB87" s="4">
        <f>BASE_DE_NOMES[[#This Row],[IMPOSTOS]]+BASE_DE_NOMES[[#This Row],[SALARIO BASE]]+BASE_DE_NOMES[[#This Row],[FAMILIA]]</f>
        <v>2282.0093999999999</v>
      </c>
      <c r="AC87" t="str">
        <f>_xlfn.XLOOKUP(BASE_DE_NOMES[[#This Row],[Razão Social]],Planilha1!B:B,Planilha1!C:C)</f>
        <v>FABRICA</v>
      </c>
      <c r="AD87" t="str">
        <f>_xlfn.XLOOKUP(BASE_DE_NOMES[[#This Row],[Alocações]],Planilha1!B:B,Planilha1!C:C)</f>
        <v>FABRICA</v>
      </c>
    </row>
    <row r="88" spans="1:30" x14ac:dyDescent="0.25">
      <c r="A88" t="s">
        <v>671</v>
      </c>
      <c r="B88" t="s">
        <v>544</v>
      </c>
      <c r="C88" t="s">
        <v>252</v>
      </c>
      <c r="D88" t="s">
        <v>252</v>
      </c>
      <c r="E88" s="1">
        <f>IFERROR(_xlfn.XLOOKUP(BASE_DE_NOMES[[#This Row],[Nome]],'Folha Rainha'!B:B,'Folha Rainha'!D:D),0)</f>
        <v>0</v>
      </c>
      <c r="F88" t="str">
        <f>IFERROR(_xlfn.XLOOKUP(BASE_DE_NOMES[[#This Row],[Nome]],'Folha Rainha'!B:B,'Folha Rainha'!E:E)," ")</f>
        <v xml:space="preserve"> </v>
      </c>
      <c r="G88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88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88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88" s="4">
        <f>BASE_DE_NOMES[[#This Row],[C.CHEQUE]]-BASE_DE_NOMES[[#This Row],[FALTAS]]-BASE_DE_NOMES[[#This Row],[DESCONTO ]]</f>
        <v>0</v>
      </c>
      <c r="K88">
        <f>SUMIF(GRATIFICAÇÃO!A:A,BASE_DE_NOMES[[#This Row],[Nome]],GRATIFICAÇÃO!F:F)</f>
        <v>0</v>
      </c>
      <c r="L88">
        <f>SUMIF(PG!A:A,BASE_DE_NOMES[[#This Row],[Nome]],PG!E:E)</f>
        <v>0</v>
      </c>
      <c r="M88">
        <f>SUMIFS('Folha Rainha'!G:G,'Folha Rainha'!B:B,BASE_DE_NOMES[[#This Row],[Nome]],'Folha Rainha'!F:F,"*Quebra*",'Folha Rainha'!F:F,"*QUEBRA*")</f>
        <v>0</v>
      </c>
      <c r="N88">
        <f>SUMIFS('Folha Rainha'!G:G,'Folha Rainha'!B:B,BASE_DE_NOMES[[#This Row],[Nome]],'Folha Rainha'!F:F,"ADC. ANTIGUIDADE")</f>
        <v>0</v>
      </c>
      <c r="O88">
        <f>SUMIFS('Folha Rainha'!G:G,'Folha Rainha'!B:B,BASE_DE_NOMES[[#This Row],[Nome]],'Folha Rainha'!F:F,"*Trienio*")</f>
        <v>0</v>
      </c>
      <c r="P88">
        <f>SUMIFS('Folha Rainha'!G:G,'Folha Rainha'!B:B,BASE_DE_NOMES[[#This Row],[Nome]],'Folha Rainha'!F:F,"*TAXA*")</f>
        <v>0</v>
      </c>
      <c r="Q88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88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88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88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88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88">
        <f>BASE_DE_NOMES[[#This Row],[BOLSA DE AUXILIO]]+BASE_DE_NOMES[[#This Row],[VALE TRANSP]]+BASE_DE_NOMES[[#This Row],[PLANO DE SAUDE]]-BASE_DE_NOMES[[#This Row],[DESCONTOS]]</f>
        <v>0</v>
      </c>
      <c r="W88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88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88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88">
        <f>BASE_DE_NOMES[[#This Row],[PAGAMENTOS]]+BASE_DE_NOMES[[#This Row],[GRATIFICAÇÃO]]</f>
        <v>0</v>
      </c>
      <c r="AA88" s="4">
        <f>_xlfn.XLOOKUP(BASE_DE_NOMES[[#This Row],[NOME2]],Planilha1!C:C,Planilha1!D:D)*Y88</f>
        <v>0</v>
      </c>
      <c r="AB88" s="4">
        <f>BASE_DE_NOMES[[#This Row],[IMPOSTOS]]+BASE_DE_NOMES[[#This Row],[SALARIO BASE]]+BASE_DE_NOMES[[#This Row],[FAMILIA]]</f>
        <v>0</v>
      </c>
      <c r="AC88" t="str">
        <f>_xlfn.XLOOKUP(BASE_DE_NOMES[[#This Row],[Razão Social]],Planilha1!B:B,Planilha1!C:C)</f>
        <v>FABRICA</v>
      </c>
      <c r="AD88" t="str">
        <f>_xlfn.XLOOKUP(BASE_DE_NOMES[[#This Row],[Alocações]],Planilha1!B:B,Planilha1!C:C)</f>
        <v>FABRICA</v>
      </c>
    </row>
    <row r="89" spans="1:30" x14ac:dyDescent="0.25">
      <c r="A89" t="s">
        <v>672</v>
      </c>
      <c r="B89" t="s">
        <v>544</v>
      </c>
      <c r="C89" t="s">
        <v>252</v>
      </c>
      <c r="D89" t="s">
        <v>252</v>
      </c>
      <c r="E89" s="1">
        <f>IFERROR(_xlfn.XLOOKUP(BASE_DE_NOMES[[#This Row],[Nome]],'Folha Rainha'!B:B,'Folha Rainha'!D:D),0)</f>
        <v>0</v>
      </c>
      <c r="F89" t="str">
        <f>IFERROR(_xlfn.XLOOKUP(BASE_DE_NOMES[[#This Row],[Nome]],'Folha Rainha'!B:B,'Folha Rainha'!E:E)," ")</f>
        <v xml:space="preserve"> </v>
      </c>
      <c r="G89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89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89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89" s="4">
        <f>BASE_DE_NOMES[[#This Row],[C.CHEQUE]]-BASE_DE_NOMES[[#This Row],[FALTAS]]-BASE_DE_NOMES[[#This Row],[DESCONTO ]]</f>
        <v>0</v>
      </c>
      <c r="K89">
        <f>SUMIF(GRATIFICAÇÃO!A:A,BASE_DE_NOMES[[#This Row],[Nome]],GRATIFICAÇÃO!F:F)</f>
        <v>0</v>
      </c>
      <c r="L89">
        <f>SUMIF(PG!A:A,BASE_DE_NOMES[[#This Row],[Nome]],PG!E:E)</f>
        <v>0</v>
      </c>
      <c r="M89">
        <f>SUMIFS('Folha Rainha'!G:G,'Folha Rainha'!B:B,BASE_DE_NOMES[[#This Row],[Nome]],'Folha Rainha'!F:F,"*Quebra*",'Folha Rainha'!F:F,"*QUEBRA*")</f>
        <v>0</v>
      </c>
      <c r="N89">
        <f>SUMIFS('Folha Rainha'!G:G,'Folha Rainha'!B:B,BASE_DE_NOMES[[#This Row],[Nome]],'Folha Rainha'!F:F,"ADC. ANTIGUIDADE")</f>
        <v>0</v>
      </c>
      <c r="O89">
        <f>SUMIFS('Folha Rainha'!G:G,'Folha Rainha'!B:B,BASE_DE_NOMES[[#This Row],[Nome]],'Folha Rainha'!F:F,"*Trienio*")</f>
        <v>0</v>
      </c>
      <c r="P89">
        <f>SUMIFS('Folha Rainha'!G:G,'Folha Rainha'!B:B,BASE_DE_NOMES[[#This Row],[Nome]],'Folha Rainha'!F:F,"*TAXA*")</f>
        <v>0</v>
      </c>
      <c r="Q89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89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89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89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89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89">
        <f>BASE_DE_NOMES[[#This Row],[BOLSA DE AUXILIO]]+BASE_DE_NOMES[[#This Row],[VALE TRANSP]]+BASE_DE_NOMES[[#This Row],[PLANO DE SAUDE]]-BASE_DE_NOMES[[#This Row],[DESCONTOS]]</f>
        <v>0</v>
      </c>
      <c r="W89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89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89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89">
        <f>BASE_DE_NOMES[[#This Row],[PAGAMENTOS]]+BASE_DE_NOMES[[#This Row],[GRATIFICAÇÃO]]</f>
        <v>0</v>
      </c>
      <c r="AA89" s="4">
        <f>_xlfn.XLOOKUP(BASE_DE_NOMES[[#This Row],[NOME2]],Planilha1!C:C,Planilha1!D:D)*Y89</f>
        <v>0</v>
      </c>
      <c r="AB89" s="4">
        <f>BASE_DE_NOMES[[#This Row],[IMPOSTOS]]+BASE_DE_NOMES[[#This Row],[SALARIO BASE]]+BASE_DE_NOMES[[#This Row],[FAMILIA]]</f>
        <v>0</v>
      </c>
      <c r="AC89" t="str">
        <f>_xlfn.XLOOKUP(BASE_DE_NOMES[[#This Row],[Razão Social]],Planilha1!B:B,Planilha1!C:C)</f>
        <v>FABRICA</v>
      </c>
      <c r="AD89" t="str">
        <f>_xlfn.XLOOKUP(BASE_DE_NOMES[[#This Row],[Alocações]],Planilha1!B:B,Planilha1!C:C)</f>
        <v>FABRICA</v>
      </c>
    </row>
    <row r="90" spans="1:30" x14ac:dyDescent="0.25">
      <c r="A90" t="s">
        <v>673</v>
      </c>
      <c r="B90" t="s">
        <v>212</v>
      </c>
      <c r="C90" t="s">
        <v>508</v>
      </c>
      <c r="D90" t="s">
        <v>663</v>
      </c>
      <c r="E90" s="1">
        <f>IFERROR(_xlfn.XLOOKUP(BASE_DE_NOMES[[#This Row],[Nome]],'Folha Rainha'!B:B,'Folha Rainha'!D:D),0)</f>
        <v>0</v>
      </c>
      <c r="F90" t="str">
        <f>IFERROR(_xlfn.XLOOKUP(BASE_DE_NOMES[[#This Row],[Nome]],'Folha Rainha'!B:B,'Folha Rainha'!E:E)," ")</f>
        <v xml:space="preserve"> </v>
      </c>
      <c r="G90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90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90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90" s="4">
        <f>BASE_DE_NOMES[[#This Row],[C.CHEQUE]]-BASE_DE_NOMES[[#This Row],[FALTAS]]-BASE_DE_NOMES[[#This Row],[DESCONTO ]]</f>
        <v>0</v>
      </c>
      <c r="K90">
        <f>SUMIF(GRATIFICAÇÃO!A:A,BASE_DE_NOMES[[#This Row],[Nome]],GRATIFICAÇÃO!F:F)</f>
        <v>0</v>
      </c>
      <c r="L90">
        <f>SUMIF(PG!A:A,BASE_DE_NOMES[[#This Row],[Nome]],PG!E:E)</f>
        <v>0</v>
      </c>
      <c r="M90">
        <f>SUMIFS('Folha Rainha'!G:G,'Folha Rainha'!B:B,BASE_DE_NOMES[[#This Row],[Nome]],'Folha Rainha'!F:F,"*Quebra*",'Folha Rainha'!F:F,"*QUEBRA*")</f>
        <v>0</v>
      </c>
      <c r="N90">
        <f>SUMIFS('Folha Rainha'!G:G,'Folha Rainha'!B:B,BASE_DE_NOMES[[#This Row],[Nome]],'Folha Rainha'!F:F,"ADC. ANTIGUIDADE")</f>
        <v>0</v>
      </c>
      <c r="O90">
        <f>SUMIFS('Folha Rainha'!G:G,'Folha Rainha'!B:B,BASE_DE_NOMES[[#This Row],[Nome]],'Folha Rainha'!F:F,"*Trienio*")</f>
        <v>0</v>
      </c>
      <c r="P90">
        <f>SUMIFS('Folha Rainha'!G:G,'Folha Rainha'!B:B,BASE_DE_NOMES[[#This Row],[Nome]],'Folha Rainha'!F:F,"*TAXA*")</f>
        <v>0</v>
      </c>
      <c r="Q90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90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90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90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90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90">
        <f>BASE_DE_NOMES[[#This Row],[BOLSA DE AUXILIO]]+BASE_DE_NOMES[[#This Row],[VALE TRANSP]]+BASE_DE_NOMES[[#This Row],[PLANO DE SAUDE]]-BASE_DE_NOMES[[#This Row],[DESCONTOS]]</f>
        <v>0</v>
      </c>
      <c r="W90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90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90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90">
        <f>BASE_DE_NOMES[[#This Row],[PAGAMENTOS]]+BASE_DE_NOMES[[#This Row],[GRATIFICAÇÃO]]</f>
        <v>0</v>
      </c>
      <c r="AA90" s="4">
        <f>_xlfn.XLOOKUP(BASE_DE_NOMES[[#This Row],[NOME2]],Planilha1!C:C,Planilha1!D:D)*Y90</f>
        <v>0</v>
      </c>
      <c r="AB90" s="4">
        <f>BASE_DE_NOMES[[#This Row],[IMPOSTOS]]+BASE_DE_NOMES[[#This Row],[SALARIO BASE]]+BASE_DE_NOMES[[#This Row],[FAMILIA]]</f>
        <v>0</v>
      </c>
      <c r="AC90" t="str">
        <f>_xlfn.XLOOKUP(BASE_DE_NOMES[[#This Row],[Razão Social]],Planilha1!B:B,Planilha1!C:C)</f>
        <v>5K DECORAÇÕES</v>
      </c>
      <c r="AD90" t="e">
        <f>_xlfn.XLOOKUP(BASE_DE_NOMES[[#This Row],[Alocações]],Planilha1!B:B,Planilha1!C:C)</f>
        <v>#N/A</v>
      </c>
    </row>
    <row r="91" spans="1:30" x14ac:dyDescent="0.25">
      <c r="A91" t="s">
        <v>674</v>
      </c>
      <c r="B91" t="s">
        <v>407</v>
      </c>
      <c r="C91" t="s">
        <v>252</v>
      </c>
      <c r="D91" t="s">
        <v>252</v>
      </c>
      <c r="E91" s="1">
        <f>IFERROR(_xlfn.XLOOKUP(BASE_DE_NOMES[[#This Row],[Nome]],'Folha Rainha'!B:B,'Folha Rainha'!D:D),0)</f>
        <v>0</v>
      </c>
      <c r="F91" t="str">
        <f>IFERROR(_xlfn.XLOOKUP(BASE_DE_NOMES[[#This Row],[Nome]],'Folha Rainha'!B:B,'Folha Rainha'!E:E)," ")</f>
        <v xml:space="preserve"> </v>
      </c>
      <c r="G91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91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91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91" s="4">
        <f>BASE_DE_NOMES[[#This Row],[C.CHEQUE]]-BASE_DE_NOMES[[#This Row],[FALTAS]]-BASE_DE_NOMES[[#This Row],[DESCONTO ]]</f>
        <v>0</v>
      </c>
      <c r="K91">
        <f>SUMIF(GRATIFICAÇÃO!A:A,BASE_DE_NOMES[[#This Row],[Nome]],GRATIFICAÇÃO!F:F)</f>
        <v>0</v>
      </c>
      <c r="L91">
        <f>SUMIF(PG!A:A,BASE_DE_NOMES[[#This Row],[Nome]],PG!E:E)</f>
        <v>0</v>
      </c>
      <c r="M91">
        <f>SUMIFS('Folha Rainha'!G:G,'Folha Rainha'!B:B,BASE_DE_NOMES[[#This Row],[Nome]],'Folha Rainha'!F:F,"*Quebra*",'Folha Rainha'!F:F,"*QUEBRA*")</f>
        <v>0</v>
      </c>
      <c r="N91">
        <f>SUMIFS('Folha Rainha'!G:G,'Folha Rainha'!B:B,BASE_DE_NOMES[[#This Row],[Nome]],'Folha Rainha'!F:F,"ADC. ANTIGUIDADE")</f>
        <v>0</v>
      </c>
      <c r="O91">
        <f>SUMIFS('Folha Rainha'!G:G,'Folha Rainha'!B:B,BASE_DE_NOMES[[#This Row],[Nome]],'Folha Rainha'!F:F,"*Trienio*")</f>
        <v>0</v>
      </c>
      <c r="P91">
        <f>SUMIFS('Folha Rainha'!G:G,'Folha Rainha'!B:B,BASE_DE_NOMES[[#This Row],[Nome]],'Folha Rainha'!F:F,"*TAXA*")</f>
        <v>0</v>
      </c>
      <c r="Q91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91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91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91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91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91">
        <f>BASE_DE_NOMES[[#This Row],[BOLSA DE AUXILIO]]+BASE_DE_NOMES[[#This Row],[VALE TRANSP]]+BASE_DE_NOMES[[#This Row],[PLANO DE SAUDE]]-BASE_DE_NOMES[[#This Row],[DESCONTOS]]</f>
        <v>0</v>
      </c>
      <c r="W91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91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91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91">
        <f>BASE_DE_NOMES[[#This Row],[PAGAMENTOS]]+BASE_DE_NOMES[[#This Row],[GRATIFICAÇÃO]]</f>
        <v>0</v>
      </c>
      <c r="AA91" s="4">
        <f>_xlfn.XLOOKUP(BASE_DE_NOMES[[#This Row],[NOME2]],Planilha1!C:C,Planilha1!D:D)*Y91</f>
        <v>0</v>
      </c>
      <c r="AB91" s="4">
        <f>BASE_DE_NOMES[[#This Row],[IMPOSTOS]]+BASE_DE_NOMES[[#This Row],[SALARIO BASE]]+BASE_DE_NOMES[[#This Row],[FAMILIA]]</f>
        <v>0</v>
      </c>
      <c r="AC91" t="str">
        <f>_xlfn.XLOOKUP(BASE_DE_NOMES[[#This Row],[Razão Social]],Planilha1!B:B,Planilha1!C:C)</f>
        <v>FABRICA</v>
      </c>
      <c r="AD91" t="str">
        <f>_xlfn.XLOOKUP(BASE_DE_NOMES[[#This Row],[Alocações]],Planilha1!B:B,Planilha1!C:C)</f>
        <v>FABRICA</v>
      </c>
    </row>
    <row r="92" spans="1:30" x14ac:dyDescent="0.25">
      <c r="A92" t="s">
        <v>675</v>
      </c>
      <c r="B92" t="s">
        <v>544</v>
      </c>
      <c r="C92" t="s">
        <v>252</v>
      </c>
      <c r="D92" t="s">
        <v>252</v>
      </c>
      <c r="E92" s="1">
        <f>IFERROR(_xlfn.XLOOKUP(BASE_DE_NOMES[[#This Row],[Nome]],'Folha Rainha'!B:B,'Folha Rainha'!D:D),0)</f>
        <v>0</v>
      </c>
      <c r="F92" t="str">
        <f>IFERROR(_xlfn.XLOOKUP(BASE_DE_NOMES[[#This Row],[Nome]],'Folha Rainha'!B:B,'Folha Rainha'!E:E)," ")</f>
        <v xml:space="preserve"> </v>
      </c>
      <c r="G92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92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92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92" s="4">
        <f>BASE_DE_NOMES[[#This Row],[C.CHEQUE]]-BASE_DE_NOMES[[#This Row],[FALTAS]]-BASE_DE_NOMES[[#This Row],[DESCONTO ]]</f>
        <v>0</v>
      </c>
      <c r="K92">
        <f>SUMIF(GRATIFICAÇÃO!A:A,BASE_DE_NOMES[[#This Row],[Nome]],GRATIFICAÇÃO!F:F)</f>
        <v>0</v>
      </c>
      <c r="L92">
        <f>SUMIF(PG!A:A,BASE_DE_NOMES[[#This Row],[Nome]],PG!E:E)</f>
        <v>0</v>
      </c>
      <c r="M92">
        <f>SUMIFS('Folha Rainha'!G:G,'Folha Rainha'!B:B,BASE_DE_NOMES[[#This Row],[Nome]],'Folha Rainha'!F:F,"*Quebra*",'Folha Rainha'!F:F,"*QUEBRA*")</f>
        <v>0</v>
      </c>
      <c r="N92">
        <f>SUMIFS('Folha Rainha'!G:G,'Folha Rainha'!B:B,BASE_DE_NOMES[[#This Row],[Nome]],'Folha Rainha'!F:F,"ADC. ANTIGUIDADE")</f>
        <v>0</v>
      </c>
      <c r="O92">
        <f>SUMIFS('Folha Rainha'!G:G,'Folha Rainha'!B:B,BASE_DE_NOMES[[#This Row],[Nome]],'Folha Rainha'!F:F,"*Trienio*")</f>
        <v>0</v>
      </c>
      <c r="P92">
        <f>SUMIFS('Folha Rainha'!G:G,'Folha Rainha'!B:B,BASE_DE_NOMES[[#This Row],[Nome]],'Folha Rainha'!F:F,"*TAXA*")</f>
        <v>0</v>
      </c>
      <c r="Q92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92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92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92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92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92">
        <f>BASE_DE_NOMES[[#This Row],[BOLSA DE AUXILIO]]+BASE_DE_NOMES[[#This Row],[VALE TRANSP]]+BASE_DE_NOMES[[#This Row],[PLANO DE SAUDE]]-BASE_DE_NOMES[[#This Row],[DESCONTOS]]</f>
        <v>0</v>
      </c>
      <c r="W92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92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92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92">
        <f>BASE_DE_NOMES[[#This Row],[PAGAMENTOS]]+BASE_DE_NOMES[[#This Row],[GRATIFICAÇÃO]]</f>
        <v>0</v>
      </c>
      <c r="AA92" s="4">
        <f>_xlfn.XLOOKUP(BASE_DE_NOMES[[#This Row],[NOME2]],Planilha1!C:C,Planilha1!D:D)*Y92</f>
        <v>0</v>
      </c>
      <c r="AB92" s="4">
        <f>BASE_DE_NOMES[[#This Row],[IMPOSTOS]]+BASE_DE_NOMES[[#This Row],[SALARIO BASE]]+BASE_DE_NOMES[[#This Row],[FAMILIA]]</f>
        <v>0</v>
      </c>
      <c r="AC92" t="str">
        <f>_xlfn.XLOOKUP(BASE_DE_NOMES[[#This Row],[Razão Social]],Planilha1!B:B,Planilha1!C:C)</f>
        <v>FABRICA</v>
      </c>
      <c r="AD92" t="str">
        <f>_xlfn.XLOOKUP(BASE_DE_NOMES[[#This Row],[Alocações]],Planilha1!B:B,Planilha1!C:C)</f>
        <v>FABRICA</v>
      </c>
    </row>
    <row r="93" spans="1:30" x14ac:dyDescent="0.25">
      <c r="A93" t="s">
        <v>245</v>
      </c>
      <c r="B93" t="s">
        <v>213</v>
      </c>
      <c r="C93" t="s">
        <v>326</v>
      </c>
      <c r="D93" t="s">
        <v>252</v>
      </c>
      <c r="E93" s="1">
        <f>IFERROR(_xlfn.XLOOKUP(BASE_DE_NOMES[[#This Row],[Nome]],'Folha Rainha'!B:B,'Folha Rainha'!D:D),0)</f>
        <v>44774</v>
      </c>
      <c r="F93" t="str">
        <f>IFERROR(_xlfn.XLOOKUP(BASE_DE_NOMES[[#This Row],[Nome]],'Folha Rainha'!B:B,'Folha Rainha'!E:E)," ")</f>
        <v>Trabalhando</v>
      </c>
      <c r="G93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93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93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93" s="4">
        <f>BASE_DE_NOMES[[#This Row],[C.CHEQUE]]-BASE_DE_NOMES[[#This Row],[FALTAS]]-BASE_DE_NOMES[[#This Row],[DESCONTO ]]</f>
        <v>1518</v>
      </c>
      <c r="K93">
        <f>SUMIF(GRATIFICAÇÃO!A:A,BASE_DE_NOMES[[#This Row],[Nome]],GRATIFICAÇÃO!F:F)</f>
        <v>0</v>
      </c>
      <c r="L93">
        <f>SUMIF(PG!A:A,BASE_DE_NOMES[[#This Row],[Nome]],PG!E:E)</f>
        <v>0</v>
      </c>
      <c r="M93">
        <f>SUMIFS('Folha Rainha'!G:G,'Folha Rainha'!B:B,BASE_DE_NOMES[[#This Row],[Nome]],'Folha Rainha'!F:F,"*Quebra*",'Folha Rainha'!F:F,"*QUEBRA*")</f>
        <v>0</v>
      </c>
      <c r="N93">
        <f>SUMIFS('Folha Rainha'!G:G,'Folha Rainha'!B:B,BASE_DE_NOMES[[#This Row],[Nome]],'Folha Rainha'!F:F,"ADC. ANTIGUIDADE")</f>
        <v>0</v>
      </c>
      <c r="O93">
        <f>SUMIFS('Folha Rainha'!G:G,'Folha Rainha'!B:B,BASE_DE_NOMES[[#This Row],[Nome]],'Folha Rainha'!F:F,"*Trienio*")</f>
        <v>0</v>
      </c>
      <c r="P93">
        <f>SUMIFS('Folha Rainha'!G:G,'Folha Rainha'!B:B,BASE_DE_NOMES[[#This Row],[Nome]],'Folha Rainha'!F:F,"*TAXA*")</f>
        <v>0</v>
      </c>
      <c r="Q93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93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93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93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93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93">
        <f>BASE_DE_NOMES[[#This Row],[BOLSA DE AUXILIO]]+BASE_DE_NOMES[[#This Row],[VALE TRANSP]]+BASE_DE_NOMES[[#This Row],[PLANO DE SAUDE]]-BASE_DE_NOMES[[#This Row],[DESCONTOS]]</f>
        <v>0</v>
      </c>
      <c r="W93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93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93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93">
        <f>BASE_DE_NOMES[[#This Row],[PAGAMENTOS]]+BASE_DE_NOMES[[#This Row],[GRATIFICAÇÃO]]</f>
        <v>0</v>
      </c>
      <c r="AA93" s="4">
        <f>_xlfn.XLOOKUP(BASE_DE_NOMES[[#This Row],[NOME2]],Planilha1!C:C,Planilha1!D:D)*Y93</f>
        <v>303.60000000000002</v>
      </c>
      <c r="AB93" s="4">
        <f>BASE_DE_NOMES[[#This Row],[IMPOSTOS]]+BASE_DE_NOMES[[#This Row],[SALARIO BASE]]+BASE_DE_NOMES[[#This Row],[FAMILIA]]</f>
        <v>1821.6</v>
      </c>
      <c r="AC93" t="str">
        <f>_xlfn.XLOOKUP(BASE_DE_NOMES[[#This Row],[Razão Social]],Planilha1!B:B,Planilha1!C:C)</f>
        <v>VALE XEL</v>
      </c>
      <c r="AD93" t="str">
        <f>_xlfn.XLOOKUP(BASE_DE_NOMES[[#This Row],[Alocações]],Planilha1!B:B,Planilha1!C:C)</f>
        <v>FABRICA</v>
      </c>
    </row>
    <row r="94" spans="1:30" x14ac:dyDescent="0.25">
      <c r="A94" t="s">
        <v>166</v>
      </c>
      <c r="B94" t="s">
        <v>56</v>
      </c>
      <c r="C94" t="s">
        <v>253</v>
      </c>
      <c r="D94" t="s">
        <v>228</v>
      </c>
      <c r="E94" s="1">
        <f>IFERROR(_xlfn.XLOOKUP(BASE_DE_NOMES[[#This Row],[Nome]],'Folha Rainha'!B:B,'Folha Rainha'!D:D),0)</f>
        <v>44663</v>
      </c>
      <c r="F94" t="str">
        <f>IFERROR(_xlfn.XLOOKUP(BASE_DE_NOMES[[#This Row],[Nome]],'Folha Rainha'!B:B,'Folha Rainha'!E:E)," ")</f>
        <v>Trabalhando</v>
      </c>
      <c r="G94" s="4">
        <f>SUMIFS('Folha Rainha'!G:G,'Folha Rainha'!B:B,BASE_DE_NOMES[[#This Row],[Nome]],'Folha Rainha'!F:F,"Salário Base")+SUMIFS('Folha Rainha'!G:G,'Folha Rainha'!B:B,BASE_DE_NOMES[[#This Row],[Nome]],'Folha Rainha'!F:F,"Salário:")</f>
        <v>1660</v>
      </c>
      <c r="H94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94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94" s="4">
        <f>BASE_DE_NOMES[[#This Row],[C.CHEQUE]]-BASE_DE_NOMES[[#This Row],[FALTAS]]-BASE_DE_NOMES[[#This Row],[DESCONTO ]]</f>
        <v>1660</v>
      </c>
      <c r="K94">
        <f>SUMIF(GRATIFICAÇÃO!A:A,BASE_DE_NOMES[[#This Row],[Nome]],GRATIFICAÇÃO!F:F)</f>
        <v>0</v>
      </c>
      <c r="L94">
        <f>SUMIF(PG!A:A,BASE_DE_NOMES[[#This Row],[Nome]],PG!E:E)</f>
        <v>0</v>
      </c>
      <c r="M94">
        <f>SUMIFS('Folha Rainha'!G:G,'Folha Rainha'!B:B,BASE_DE_NOMES[[#This Row],[Nome]],'Folha Rainha'!F:F,"*Quebra*",'Folha Rainha'!F:F,"*QUEBRA*")</f>
        <v>168.76</v>
      </c>
      <c r="N94">
        <f>SUMIFS('Folha Rainha'!G:G,'Folha Rainha'!B:B,BASE_DE_NOMES[[#This Row],[Nome]],'Folha Rainha'!F:F,"ADC. ANTIGUIDADE")</f>
        <v>0</v>
      </c>
      <c r="O94">
        <f>SUMIFS('Folha Rainha'!G:G,'Folha Rainha'!B:B,BASE_DE_NOMES[[#This Row],[Nome]],'Folha Rainha'!F:F,"*Trienio*")</f>
        <v>83</v>
      </c>
      <c r="P94">
        <f>SUMIFS('Folha Rainha'!G:G,'Folha Rainha'!B:B,BASE_DE_NOMES[[#This Row],[Nome]],'Folha Rainha'!F:F,"*TAXA*")</f>
        <v>20</v>
      </c>
      <c r="Q94" s="4">
        <f>SUMIFS('Folha Rainha'!G:G,'Folha Rainha'!B:B,BASE_DE_NOMES[[#This Row],[Nome]],'Folha Rainha'!F:F,"SALARIO FAMILIA")+SUMIFS('Folha Rainha'!G:G,'Folha Rainha'!B:B,BASE_DE_NOMES[[#This Row],[Nome]],'Folha Rainha'!F:F,"Salário Família")</f>
        <v>65</v>
      </c>
      <c r="R94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94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94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94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20</v>
      </c>
      <c r="V94">
        <f>BASE_DE_NOMES[[#This Row],[BOLSA DE AUXILIO]]+BASE_DE_NOMES[[#This Row],[VALE TRANSP]]+BASE_DE_NOMES[[#This Row],[PLANO DE SAUDE]]-BASE_DE_NOMES[[#This Row],[DESCONTOS]]</f>
        <v>-20</v>
      </c>
      <c r="W94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94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94" s="4">
        <f>BASE_DE_NOMES[[#This Row],[TOTAL DE C.CHEQUE]]+BASE_DE_NOMES[[#This Row],[TOTAL DE QUEBRA]]+BASE_DE_NOMES[[#This Row],[ADC. ANTIGUIDADE]]+BASE_DE_NOMES[[#This Row],[TOTAL DE TRIENIO]]+BASE_DE_NOMES[[#This Row],[CCT]]</f>
        <v>1911.76</v>
      </c>
      <c r="Z94">
        <f>BASE_DE_NOMES[[#This Row],[PAGAMENTOS]]+BASE_DE_NOMES[[#This Row],[GRATIFICAÇÃO]]</f>
        <v>0</v>
      </c>
      <c r="AA94" s="4">
        <f>_xlfn.XLOOKUP(BASE_DE_NOMES[[#This Row],[NOME2]],Planilha1!C:C,Planilha1!D:D)*Y94</f>
        <v>382.35200000000003</v>
      </c>
      <c r="AB94" s="4">
        <f>BASE_DE_NOMES[[#This Row],[IMPOSTOS]]+BASE_DE_NOMES[[#This Row],[SALARIO BASE]]+BASE_DE_NOMES[[#This Row],[FAMILIA]]</f>
        <v>2359.1120000000001</v>
      </c>
      <c r="AC94" t="str">
        <f>_xlfn.XLOOKUP(BASE_DE_NOMES[[#This Row],[Razão Social]],Planilha1!B:B,Planilha1!C:C)</f>
        <v>HOME CENTER</v>
      </c>
      <c r="AD94" t="str">
        <f>_xlfn.XLOOKUP(BASE_DE_NOMES[[#This Row],[Alocações]],Planilha1!B:B,Planilha1!C:C)</f>
        <v>GENESIS</v>
      </c>
    </row>
    <row r="95" spans="1:30" x14ac:dyDescent="0.25">
      <c r="A95" t="s">
        <v>451</v>
      </c>
      <c r="B95" t="s">
        <v>616</v>
      </c>
      <c r="C95" t="s">
        <v>427</v>
      </c>
      <c r="D95" t="s">
        <v>225</v>
      </c>
      <c r="E95" s="1">
        <f>IFERROR(_xlfn.XLOOKUP(BASE_DE_NOMES[[#This Row],[Nome]],'Folha Rainha'!B:B,'Folha Rainha'!D:D),0)</f>
        <v>0</v>
      </c>
      <c r="F95" t="str">
        <f>IFERROR(_xlfn.XLOOKUP(BASE_DE_NOMES[[#This Row],[Nome]],'Folha Rainha'!B:B,'Folha Rainha'!E:E)," ")</f>
        <v xml:space="preserve"> </v>
      </c>
      <c r="G95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95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95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95" s="4">
        <f>BASE_DE_NOMES[[#This Row],[C.CHEQUE]]-BASE_DE_NOMES[[#This Row],[FALTAS]]-BASE_DE_NOMES[[#This Row],[DESCONTO ]]</f>
        <v>0</v>
      </c>
      <c r="K95">
        <f>SUMIF(GRATIFICAÇÃO!A:A,BASE_DE_NOMES[[#This Row],[Nome]],GRATIFICAÇÃO!F:F)</f>
        <v>0</v>
      </c>
      <c r="L95">
        <f>SUMIF(PG!A:A,BASE_DE_NOMES[[#This Row],[Nome]],PG!E:E)</f>
        <v>0</v>
      </c>
      <c r="M95">
        <f>SUMIFS('Folha Rainha'!G:G,'Folha Rainha'!B:B,BASE_DE_NOMES[[#This Row],[Nome]],'Folha Rainha'!F:F,"*Quebra*",'Folha Rainha'!F:F,"*QUEBRA*")</f>
        <v>0</v>
      </c>
      <c r="N95">
        <f>SUMIFS('Folha Rainha'!G:G,'Folha Rainha'!B:B,BASE_DE_NOMES[[#This Row],[Nome]],'Folha Rainha'!F:F,"ADC. ANTIGUIDADE")</f>
        <v>0</v>
      </c>
      <c r="O95">
        <f>SUMIFS('Folha Rainha'!G:G,'Folha Rainha'!B:B,BASE_DE_NOMES[[#This Row],[Nome]],'Folha Rainha'!F:F,"*Trienio*")</f>
        <v>0</v>
      </c>
      <c r="P95">
        <f>SUMIFS('Folha Rainha'!G:G,'Folha Rainha'!B:B,BASE_DE_NOMES[[#This Row],[Nome]],'Folha Rainha'!F:F,"*TAXA*")</f>
        <v>0</v>
      </c>
      <c r="Q95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95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95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95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95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95">
        <f>BASE_DE_NOMES[[#This Row],[BOLSA DE AUXILIO]]+BASE_DE_NOMES[[#This Row],[VALE TRANSP]]+BASE_DE_NOMES[[#This Row],[PLANO DE SAUDE]]-BASE_DE_NOMES[[#This Row],[DESCONTOS]]</f>
        <v>0</v>
      </c>
      <c r="W95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95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95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95">
        <f>BASE_DE_NOMES[[#This Row],[PAGAMENTOS]]+BASE_DE_NOMES[[#This Row],[GRATIFICAÇÃO]]</f>
        <v>0</v>
      </c>
      <c r="AA95" s="4">
        <f>_xlfn.XLOOKUP(BASE_DE_NOMES[[#This Row],[NOME2]],Planilha1!C:C,Planilha1!D:D)*Y95</f>
        <v>0</v>
      </c>
      <c r="AB95" s="4">
        <f>BASE_DE_NOMES[[#This Row],[IMPOSTOS]]+BASE_DE_NOMES[[#This Row],[SALARIO BASE]]+BASE_DE_NOMES[[#This Row],[FAMILIA]]</f>
        <v>0</v>
      </c>
      <c r="AC95" t="str">
        <f>_xlfn.XLOOKUP(BASE_DE_NOMES[[#This Row],[Razão Social]],Planilha1!B:B,Planilha1!C:C)</f>
        <v>ESCRITORIO</v>
      </c>
      <c r="AD95" t="str">
        <f>_xlfn.XLOOKUP(BASE_DE_NOMES[[#This Row],[Alocações]],Planilha1!B:B,Planilha1!C:C)</f>
        <v>ESCRITORIO</v>
      </c>
    </row>
    <row r="96" spans="1:30" x14ac:dyDescent="0.25">
      <c r="A96" t="s">
        <v>66</v>
      </c>
      <c r="B96" t="s">
        <v>99</v>
      </c>
      <c r="C96" t="s">
        <v>229</v>
      </c>
      <c r="D96" t="s">
        <v>229</v>
      </c>
      <c r="E96" s="1">
        <f>IFERROR(_xlfn.XLOOKUP(BASE_DE_NOMES[[#This Row],[Nome]],'Folha Rainha'!B:B,'Folha Rainha'!D:D),0)</f>
        <v>43383</v>
      </c>
      <c r="F96" t="str">
        <f>IFERROR(_xlfn.XLOOKUP(BASE_DE_NOMES[[#This Row],[Nome]],'Folha Rainha'!B:B,'Folha Rainha'!E:E)," ")</f>
        <v>Trabalhando</v>
      </c>
      <c r="G96" s="4">
        <f>SUMIFS('Folha Rainha'!G:G,'Folha Rainha'!B:B,BASE_DE_NOMES[[#This Row],[Nome]],'Folha Rainha'!F:F,"Salário Base")+SUMIFS('Folha Rainha'!G:G,'Folha Rainha'!B:B,BASE_DE_NOMES[[#This Row],[Nome]],'Folha Rainha'!F:F,"Salário:")</f>
        <v>2667.41</v>
      </c>
      <c r="H96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96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96" s="4">
        <f>BASE_DE_NOMES[[#This Row],[C.CHEQUE]]-BASE_DE_NOMES[[#This Row],[FALTAS]]-BASE_DE_NOMES[[#This Row],[DESCONTO ]]</f>
        <v>2667.41</v>
      </c>
      <c r="K96">
        <f>SUMIF(GRATIFICAÇÃO!A:A,BASE_DE_NOMES[[#This Row],[Nome]],GRATIFICAÇÃO!F:F)</f>
        <v>500</v>
      </c>
      <c r="L96">
        <f>SUMIF(PG!A:A,BASE_DE_NOMES[[#This Row],[Nome]],PG!E:E)</f>
        <v>0</v>
      </c>
      <c r="M96">
        <f>SUMIFS('Folha Rainha'!G:G,'Folha Rainha'!B:B,BASE_DE_NOMES[[#This Row],[Nome]],'Folha Rainha'!F:F,"*Quebra*",'Folha Rainha'!F:F,"*QUEBRA*")</f>
        <v>0</v>
      </c>
      <c r="N96">
        <f>SUMIFS('Folha Rainha'!G:G,'Folha Rainha'!B:B,BASE_DE_NOMES[[#This Row],[Nome]],'Folha Rainha'!F:F,"ADC. ANTIGUIDADE")</f>
        <v>0</v>
      </c>
      <c r="O96">
        <f>SUMIFS('Folha Rainha'!G:G,'Folha Rainha'!B:B,BASE_DE_NOMES[[#This Row],[Nome]],'Folha Rainha'!F:F,"*Trienio*")</f>
        <v>0</v>
      </c>
      <c r="P96">
        <f>SUMIFS('Folha Rainha'!G:G,'Folha Rainha'!B:B,BASE_DE_NOMES[[#This Row],[Nome]],'Folha Rainha'!F:F,"*TAXA*")</f>
        <v>0</v>
      </c>
      <c r="Q96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96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96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96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96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96">
        <f>BASE_DE_NOMES[[#This Row],[BOLSA DE AUXILIO]]+BASE_DE_NOMES[[#This Row],[VALE TRANSP]]+BASE_DE_NOMES[[#This Row],[PLANO DE SAUDE]]-BASE_DE_NOMES[[#This Row],[DESCONTOS]]</f>
        <v>0</v>
      </c>
      <c r="W96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96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96" s="4">
        <f>BASE_DE_NOMES[[#This Row],[TOTAL DE C.CHEQUE]]+BASE_DE_NOMES[[#This Row],[TOTAL DE QUEBRA]]+BASE_DE_NOMES[[#This Row],[ADC. ANTIGUIDADE]]+BASE_DE_NOMES[[#This Row],[TOTAL DE TRIENIO]]+BASE_DE_NOMES[[#This Row],[CCT]]</f>
        <v>2667.41</v>
      </c>
      <c r="Z96">
        <f>BASE_DE_NOMES[[#This Row],[PAGAMENTOS]]+BASE_DE_NOMES[[#This Row],[GRATIFICAÇÃO]]</f>
        <v>500</v>
      </c>
      <c r="AA96" s="4">
        <f>_xlfn.XLOOKUP(BASE_DE_NOMES[[#This Row],[NOME2]],Planilha1!C:C,Planilha1!D:D)*Y96</f>
        <v>533.48199999999997</v>
      </c>
      <c r="AB96" s="4">
        <f>BASE_DE_NOMES[[#This Row],[IMPOSTOS]]+BASE_DE_NOMES[[#This Row],[SALARIO BASE]]+BASE_DE_NOMES[[#This Row],[FAMILIA]]</f>
        <v>3200.8919999999998</v>
      </c>
      <c r="AC96" t="str">
        <f>_xlfn.XLOOKUP(BASE_DE_NOMES[[#This Row],[Razão Social]],Planilha1!B:B,Planilha1!C:C)</f>
        <v>GRAND CANYON</v>
      </c>
      <c r="AD96" t="str">
        <f>_xlfn.XLOOKUP(BASE_DE_NOMES[[#This Row],[Alocações]],Planilha1!B:B,Planilha1!C:C)</f>
        <v>GRAND CANYON</v>
      </c>
    </row>
    <row r="97" spans="1:30" x14ac:dyDescent="0.25">
      <c r="A97" t="s">
        <v>314</v>
      </c>
      <c r="B97" t="s">
        <v>407</v>
      </c>
      <c r="C97" t="s">
        <v>326</v>
      </c>
      <c r="D97" t="s">
        <v>252</v>
      </c>
      <c r="E97" s="1">
        <f>IFERROR(_xlfn.XLOOKUP(BASE_DE_NOMES[[#This Row],[Nome]],'Folha Rainha'!B:B,'Folha Rainha'!D:D),0)</f>
        <v>44774</v>
      </c>
      <c r="F97" t="str">
        <f>IFERROR(_xlfn.XLOOKUP(BASE_DE_NOMES[[#This Row],[Nome]],'Folha Rainha'!B:B,'Folha Rainha'!E:E)," ")</f>
        <v>Trabalhando</v>
      </c>
      <c r="G97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97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97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97" s="4">
        <f>BASE_DE_NOMES[[#This Row],[C.CHEQUE]]-BASE_DE_NOMES[[#This Row],[FALTAS]]-BASE_DE_NOMES[[#This Row],[DESCONTO ]]</f>
        <v>1518</v>
      </c>
      <c r="K97">
        <f>SUMIF(GRATIFICAÇÃO!A:A,BASE_DE_NOMES[[#This Row],[Nome]],GRATIFICAÇÃO!F:F)</f>
        <v>0</v>
      </c>
      <c r="L97">
        <f>SUMIF(PG!A:A,BASE_DE_NOMES[[#This Row],[Nome]],PG!E:E)</f>
        <v>0</v>
      </c>
      <c r="M97">
        <f>SUMIFS('Folha Rainha'!G:G,'Folha Rainha'!B:B,BASE_DE_NOMES[[#This Row],[Nome]],'Folha Rainha'!F:F,"*Quebra*",'Folha Rainha'!F:F,"*QUEBRA*")</f>
        <v>0</v>
      </c>
      <c r="N97">
        <f>SUMIFS('Folha Rainha'!G:G,'Folha Rainha'!B:B,BASE_DE_NOMES[[#This Row],[Nome]],'Folha Rainha'!F:F,"ADC. ANTIGUIDADE")</f>
        <v>0</v>
      </c>
      <c r="O97">
        <f>SUMIFS('Folha Rainha'!G:G,'Folha Rainha'!B:B,BASE_DE_NOMES[[#This Row],[Nome]],'Folha Rainha'!F:F,"*Trienio*")</f>
        <v>0</v>
      </c>
      <c r="P97">
        <f>SUMIFS('Folha Rainha'!G:G,'Folha Rainha'!B:B,BASE_DE_NOMES[[#This Row],[Nome]],'Folha Rainha'!F:F,"*TAXA*")</f>
        <v>0</v>
      </c>
      <c r="Q97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97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97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97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97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97">
        <f>BASE_DE_NOMES[[#This Row],[BOLSA DE AUXILIO]]+BASE_DE_NOMES[[#This Row],[VALE TRANSP]]+BASE_DE_NOMES[[#This Row],[PLANO DE SAUDE]]-BASE_DE_NOMES[[#This Row],[DESCONTOS]]</f>
        <v>0</v>
      </c>
      <c r="W97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97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97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97">
        <f>BASE_DE_NOMES[[#This Row],[PAGAMENTOS]]+BASE_DE_NOMES[[#This Row],[GRATIFICAÇÃO]]</f>
        <v>0</v>
      </c>
      <c r="AA97" s="4">
        <f>_xlfn.XLOOKUP(BASE_DE_NOMES[[#This Row],[NOME2]],Planilha1!C:C,Planilha1!D:D)*Y97</f>
        <v>303.60000000000002</v>
      </c>
      <c r="AB97" s="4">
        <f>BASE_DE_NOMES[[#This Row],[IMPOSTOS]]+BASE_DE_NOMES[[#This Row],[SALARIO BASE]]+BASE_DE_NOMES[[#This Row],[FAMILIA]]</f>
        <v>1821.6</v>
      </c>
      <c r="AC97" t="str">
        <f>_xlfn.XLOOKUP(BASE_DE_NOMES[[#This Row],[Razão Social]],Planilha1!B:B,Planilha1!C:C)</f>
        <v>VALE XEL</v>
      </c>
      <c r="AD97" t="str">
        <f>_xlfn.XLOOKUP(BASE_DE_NOMES[[#This Row],[Alocações]],Planilha1!B:B,Planilha1!C:C)</f>
        <v>FABRICA</v>
      </c>
    </row>
    <row r="98" spans="1:30" x14ac:dyDescent="0.25">
      <c r="A98" t="s">
        <v>676</v>
      </c>
      <c r="B98" t="s">
        <v>544</v>
      </c>
      <c r="C98" t="s">
        <v>252</v>
      </c>
      <c r="D98" t="s">
        <v>252</v>
      </c>
      <c r="E98" s="1">
        <f>IFERROR(_xlfn.XLOOKUP(BASE_DE_NOMES[[#This Row],[Nome]],'Folha Rainha'!B:B,'Folha Rainha'!D:D),0)</f>
        <v>0</v>
      </c>
      <c r="F98" t="str">
        <f>IFERROR(_xlfn.XLOOKUP(BASE_DE_NOMES[[#This Row],[Nome]],'Folha Rainha'!B:B,'Folha Rainha'!E:E)," ")</f>
        <v xml:space="preserve"> </v>
      </c>
      <c r="G98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98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98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98" s="4">
        <f>BASE_DE_NOMES[[#This Row],[C.CHEQUE]]-BASE_DE_NOMES[[#This Row],[FALTAS]]-BASE_DE_NOMES[[#This Row],[DESCONTO ]]</f>
        <v>0</v>
      </c>
      <c r="K98">
        <f>SUMIF(GRATIFICAÇÃO!A:A,BASE_DE_NOMES[[#This Row],[Nome]],GRATIFICAÇÃO!F:F)</f>
        <v>0</v>
      </c>
      <c r="L98">
        <f>SUMIF(PG!A:A,BASE_DE_NOMES[[#This Row],[Nome]],PG!E:E)</f>
        <v>0</v>
      </c>
      <c r="M98">
        <f>SUMIFS('Folha Rainha'!G:G,'Folha Rainha'!B:B,BASE_DE_NOMES[[#This Row],[Nome]],'Folha Rainha'!F:F,"*Quebra*",'Folha Rainha'!F:F,"*QUEBRA*")</f>
        <v>0</v>
      </c>
      <c r="N98">
        <f>SUMIFS('Folha Rainha'!G:G,'Folha Rainha'!B:B,BASE_DE_NOMES[[#This Row],[Nome]],'Folha Rainha'!F:F,"ADC. ANTIGUIDADE")</f>
        <v>0</v>
      </c>
      <c r="O98">
        <f>SUMIFS('Folha Rainha'!G:G,'Folha Rainha'!B:B,BASE_DE_NOMES[[#This Row],[Nome]],'Folha Rainha'!F:F,"*Trienio*")</f>
        <v>0</v>
      </c>
      <c r="P98">
        <f>SUMIFS('Folha Rainha'!G:G,'Folha Rainha'!B:B,BASE_DE_NOMES[[#This Row],[Nome]],'Folha Rainha'!F:F,"*TAXA*")</f>
        <v>0</v>
      </c>
      <c r="Q98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98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98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98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98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98">
        <f>BASE_DE_NOMES[[#This Row],[BOLSA DE AUXILIO]]+BASE_DE_NOMES[[#This Row],[VALE TRANSP]]+BASE_DE_NOMES[[#This Row],[PLANO DE SAUDE]]-BASE_DE_NOMES[[#This Row],[DESCONTOS]]</f>
        <v>0</v>
      </c>
      <c r="W98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98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98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98">
        <f>BASE_DE_NOMES[[#This Row],[PAGAMENTOS]]+BASE_DE_NOMES[[#This Row],[GRATIFICAÇÃO]]</f>
        <v>0</v>
      </c>
      <c r="AA98" s="4">
        <f>_xlfn.XLOOKUP(BASE_DE_NOMES[[#This Row],[NOME2]],Planilha1!C:C,Planilha1!D:D)*Y98</f>
        <v>0</v>
      </c>
      <c r="AB98" s="4">
        <f>BASE_DE_NOMES[[#This Row],[IMPOSTOS]]+BASE_DE_NOMES[[#This Row],[SALARIO BASE]]+BASE_DE_NOMES[[#This Row],[FAMILIA]]</f>
        <v>0</v>
      </c>
      <c r="AC98" t="str">
        <f>_xlfn.XLOOKUP(BASE_DE_NOMES[[#This Row],[Razão Social]],Planilha1!B:B,Planilha1!C:C)</f>
        <v>FABRICA</v>
      </c>
      <c r="AD98" t="str">
        <f>_xlfn.XLOOKUP(BASE_DE_NOMES[[#This Row],[Alocações]],Planilha1!B:B,Planilha1!C:C)</f>
        <v>FABRICA</v>
      </c>
    </row>
    <row r="99" spans="1:30" x14ac:dyDescent="0.25">
      <c r="A99" t="s">
        <v>406</v>
      </c>
      <c r="B99" t="s">
        <v>596</v>
      </c>
      <c r="C99" t="s">
        <v>555</v>
      </c>
      <c r="D99" t="s">
        <v>225</v>
      </c>
      <c r="E99" s="1">
        <f>IFERROR(_xlfn.XLOOKUP(BASE_DE_NOMES[[#This Row],[Nome]],'Folha Rainha'!B:B,'Folha Rainha'!D:D),0)</f>
        <v>44844</v>
      </c>
      <c r="F99" t="str">
        <f>IFERROR(_xlfn.XLOOKUP(BASE_DE_NOMES[[#This Row],[Nome]],'Folha Rainha'!B:B,'Folha Rainha'!E:E)," ")</f>
        <v>Transferido</v>
      </c>
      <c r="G99" s="4">
        <f>SUMIFS('Folha Rainha'!G:G,'Folha Rainha'!B:B,BASE_DE_NOMES[[#This Row],[Nome]],'Folha Rainha'!F:F,"Salário Base")+SUMIFS('Folha Rainha'!G:G,'Folha Rainha'!B:B,BASE_DE_NOMES[[#This Row],[Nome]],'Folha Rainha'!F:F,"Salário:")</f>
        <v>2110</v>
      </c>
      <c r="H99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99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99" s="4">
        <f>BASE_DE_NOMES[[#This Row],[C.CHEQUE]]-BASE_DE_NOMES[[#This Row],[FALTAS]]-BASE_DE_NOMES[[#This Row],[DESCONTO ]]</f>
        <v>2110</v>
      </c>
      <c r="K99">
        <f>SUMIF(GRATIFICAÇÃO!A:A,BASE_DE_NOMES[[#This Row],[Nome]],GRATIFICAÇÃO!F:F)</f>
        <v>0</v>
      </c>
      <c r="L99">
        <f>SUMIF(PG!A:A,BASE_DE_NOMES[[#This Row],[Nome]],PG!E:E)</f>
        <v>0</v>
      </c>
      <c r="M99">
        <f>SUMIFS('Folha Rainha'!G:G,'Folha Rainha'!B:B,BASE_DE_NOMES[[#This Row],[Nome]],'Folha Rainha'!F:F,"*Quebra*",'Folha Rainha'!F:F,"*QUEBRA*")</f>
        <v>0</v>
      </c>
      <c r="N99">
        <f>SUMIFS('Folha Rainha'!G:G,'Folha Rainha'!B:B,BASE_DE_NOMES[[#This Row],[Nome]],'Folha Rainha'!F:F,"ADC. ANTIGUIDADE")</f>
        <v>0</v>
      </c>
      <c r="O99">
        <f>SUMIFS('Folha Rainha'!G:G,'Folha Rainha'!B:B,BASE_DE_NOMES[[#This Row],[Nome]],'Folha Rainha'!F:F,"*Trienio*")</f>
        <v>0</v>
      </c>
      <c r="P99">
        <f>SUMIFS('Folha Rainha'!G:G,'Folha Rainha'!B:B,BASE_DE_NOMES[[#This Row],[Nome]],'Folha Rainha'!F:F,"*TAXA*")</f>
        <v>0</v>
      </c>
      <c r="Q99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99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99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99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99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99">
        <f>BASE_DE_NOMES[[#This Row],[BOLSA DE AUXILIO]]+BASE_DE_NOMES[[#This Row],[VALE TRANSP]]+BASE_DE_NOMES[[#This Row],[PLANO DE SAUDE]]-BASE_DE_NOMES[[#This Row],[DESCONTOS]]</f>
        <v>0</v>
      </c>
      <c r="W99" s="4">
        <f>SUMIFS('Folha Rainha'!G:G,'Folha Rainha'!B:B,BASE_DE_NOMES[[#This Row],[Nome]],'Folha Rainha'!F:F,"VALE COMPRAS")+SUMIFS('Folha Rainha'!G:G,'Folha Rainha'!B:B,BASE_DE_NOMES[[#This Row],[Nome]],'Folha Rainha'!F:F,"VALES")</f>
        <v>103.4</v>
      </c>
      <c r="X99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99" s="4">
        <f>BASE_DE_NOMES[[#This Row],[TOTAL DE C.CHEQUE]]+BASE_DE_NOMES[[#This Row],[TOTAL DE QUEBRA]]+BASE_DE_NOMES[[#This Row],[ADC. ANTIGUIDADE]]+BASE_DE_NOMES[[#This Row],[TOTAL DE TRIENIO]]+BASE_DE_NOMES[[#This Row],[CCT]]</f>
        <v>2110</v>
      </c>
      <c r="Z99">
        <f>BASE_DE_NOMES[[#This Row],[PAGAMENTOS]]+BASE_DE_NOMES[[#This Row],[GRATIFICAÇÃO]]</f>
        <v>0</v>
      </c>
      <c r="AA99" s="4">
        <f>_xlfn.XLOOKUP(BASE_DE_NOMES[[#This Row],[NOME2]],Planilha1!C:C,Planilha1!D:D)*Y99</f>
        <v>422</v>
      </c>
      <c r="AB99" s="4">
        <f>BASE_DE_NOMES[[#This Row],[IMPOSTOS]]+BASE_DE_NOMES[[#This Row],[SALARIO BASE]]+BASE_DE_NOMES[[#This Row],[FAMILIA]]</f>
        <v>2532</v>
      </c>
      <c r="AC99" t="str">
        <f>_xlfn.XLOOKUP(BASE_DE_NOMES[[#This Row],[Razão Social]],Planilha1!B:B,Planilha1!C:C)</f>
        <v>PRATTIKA</v>
      </c>
      <c r="AD99" t="str">
        <f>_xlfn.XLOOKUP(BASE_DE_NOMES[[#This Row],[Alocações]],Planilha1!B:B,Planilha1!C:C)</f>
        <v>ESCRITORIO</v>
      </c>
    </row>
    <row r="100" spans="1:30" x14ac:dyDescent="0.25">
      <c r="A100" t="s">
        <v>173</v>
      </c>
      <c r="B100" t="s">
        <v>258</v>
      </c>
      <c r="C100" t="s">
        <v>253</v>
      </c>
      <c r="D100" t="s">
        <v>228</v>
      </c>
      <c r="E100" s="1">
        <f>IFERROR(_xlfn.XLOOKUP(BASE_DE_NOMES[[#This Row],[Nome]],'Folha Rainha'!B:B,'Folha Rainha'!D:D),0)</f>
        <v>43056</v>
      </c>
      <c r="F100" t="str">
        <f>IFERROR(_xlfn.XLOOKUP(BASE_DE_NOMES[[#This Row],[Nome]],'Folha Rainha'!B:B,'Folha Rainha'!E:E)," ")</f>
        <v>Trabalhando</v>
      </c>
      <c r="G100" s="4">
        <f>SUMIFS('Folha Rainha'!G:G,'Folha Rainha'!B:B,BASE_DE_NOMES[[#This Row],[Nome]],'Folha Rainha'!F:F,"Salário Base")+SUMIFS('Folha Rainha'!G:G,'Folha Rainha'!B:B,BASE_DE_NOMES[[#This Row],[Nome]],'Folha Rainha'!F:F,"Salário:")</f>
        <v>1660</v>
      </c>
      <c r="H100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00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00" s="4">
        <f>BASE_DE_NOMES[[#This Row],[C.CHEQUE]]-BASE_DE_NOMES[[#This Row],[FALTAS]]-BASE_DE_NOMES[[#This Row],[DESCONTO ]]</f>
        <v>1660</v>
      </c>
      <c r="K100">
        <f>SUMIF(GRATIFICAÇÃO!A:A,BASE_DE_NOMES[[#This Row],[Nome]],GRATIFICAÇÃO!F:F)</f>
        <v>0</v>
      </c>
      <c r="L100">
        <f>SUMIF(PG!A:A,BASE_DE_NOMES[[#This Row],[Nome]],PG!E:E)</f>
        <v>0</v>
      </c>
      <c r="M100">
        <f>SUMIFS('Folha Rainha'!G:G,'Folha Rainha'!B:B,BASE_DE_NOMES[[#This Row],[Nome]],'Folha Rainha'!F:F,"*Quebra*",'Folha Rainha'!F:F,"*QUEBRA*")</f>
        <v>0</v>
      </c>
      <c r="N100">
        <f>SUMIFS('Folha Rainha'!G:G,'Folha Rainha'!B:B,BASE_DE_NOMES[[#This Row],[Nome]],'Folha Rainha'!F:F,"ADC. ANTIGUIDADE")</f>
        <v>0</v>
      </c>
      <c r="O100">
        <f>SUMIFS('Folha Rainha'!G:G,'Folha Rainha'!B:B,BASE_DE_NOMES[[#This Row],[Nome]],'Folha Rainha'!F:F,"*Trienio*")</f>
        <v>166</v>
      </c>
      <c r="P100">
        <f>SUMIFS('Folha Rainha'!G:G,'Folha Rainha'!B:B,BASE_DE_NOMES[[#This Row],[Nome]],'Folha Rainha'!F:F,"*TAXA*")</f>
        <v>20</v>
      </c>
      <c r="Q100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00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00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99.6</v>
      </c>
      <c r="T100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00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20</v>
      </c>
      <c r="V100">
        <f>BASE_DE_NOMES[[#This Row],[BOLSA DE AUXILIO]]+BASE_DE_NOMES[[#This Row],[VALE TRANSP]]+BASE_DE_NOMES[[#This Row],[PLANO DE SAUDE]]-BASE_DE_NOMES[[#This Row],[DESCONTOS]]</f>
        <v>79.599999999999994</v>
      </c>
      <c r="W100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00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00" s="4">
        <f>BASE_DE_NOMES[[#This Row],[TOTAL DE C.CHEQUE]]+BASE_DE_NOMES[[#This Row],[TOTAL DE QUEBRA]]+BASE_DE_NOMES[[#This Row],[ADC. ANTIGUIDADE]]+BASE_DE_NOMES[[#This Row],[TOTAL DE TRIENIO]]+BASE_DE_NOMES[[#This Row],[CCT]]</f>
        <v>1826</v>
      </c>
      <c r="Z100">
        <f>BASE_DE_NOMES[[#This Row],[PAGAMENTOS]]+BASE_DE_NOMES[[#This Row],[GRATIFICAÇÃO]]</f>
        <v>0</v>
      </c>
      <c r="AA100" s="4">
        <f>_xlfn.XLOOKUP(BASE_DE_NOMES[[#This Row],[NOME2]],Planilha1!C:C,Planilha1!D:D)*Y100</f>
        <v>365.20000000000005</v>
      </c>
      <c r="AB100" s="4">
        <f>BASE_DE_NOMES[[#This Row],[IMPOSTOS]]+BASE_DE_NOMES[[#This Row],[SALARIO BASE]]+BASE_DE_NOMES[[#This Row],[FAMILIA]]</f>
        <v>2191.1999999999998</v>
      </c>
      <c r="AC100" t="str">
        <f>_xlfn.XLOOKUP(BASE_DE_NOMES[[#This Row],[Razão Social]],Planilha1!B:B,Planilha1!C:C)</f>
        <v>HOME CENTER</v>
      </c>
      <c r="AD100" t="str">
        <f>_xlfn.XLOOKUP(BASE_DE_NOMES[[#This Row],[Alocações]],Planilha1!B:B,Planilha1!C:C)</f>
        <v>GENESIS</v>
      </c>
    </row>
    <row r="101" spans="1:30" x14ac:dyDescent="0.25">
      <c r="A101" t="s">
        <v>677</v>
      </c>
      <c r="B101" t="s">
        <v>311</v>
      </c>
      <c r="C101" t="s">
        <v>427</v>
      </c>
      <c r="D101" t="s">
        <v>556</v>
      </c>
      <c r="E101" s="1">
        <f>IFERROR(_xlfn.XLOOKUP(BASE_DE_NOMES[[#This Row],[Nome]],'Folha Rainha'!B:B,'Folha Rainha'!D:D),0)</f>
        <v>0</v>
      </c>
      <c r="F101" t="str">
        <f>IFERROR(_xlfn.XLOOKUP(BASE_DE_NOMES[[#This Row],[Nome]],'Folha Rainha'!B:B,'Folha Rainha'!E:E)," ")</f>
        <v xml:space="preserve"> </v>
      </c>
      <c r="G101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01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01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01" s="4">
        <f>BASE_DE_NOMES[[#This Row],[C.CHEQUE]]-BASE_DE_NOMES[[#This Row],[FALTAS]]-BASE_DE_NOMES[[#This Row],[DESCONTO ]]</f>
        <v>0</v>
      </c>
      <c r="K101">
        <f>SUMIF(GRATIFICAÇÃO!A:A,BASE_DE_NOMES[[#This Row],[Nome]],GRATIFICAÇÃO!F:F)</f>
        <v>0</v>
      </c>
      <c r="L101">
        <f>SUMIF(PG!A:A,BASE_DE_NOMES[[#This Row],[Nome]],PG!E:E)</f>
        <v>1750</v>
      </c>
      <c r="M101">
        <f>SUMIFS('Folha Rainha'!G:G,'Folha Rainha'!B:B,BASE_DE_NOMES[[#This Row],[Nome]],'Folha Rainha'!F:F,"*Quebra*",'Folha Rainha'!F:F,"*QUEBRA*")</f>
        <v>0</v>
      </c>
      <c r="N101">
        <f>SUMIFS('Folha Rainha'!G:G,'Folha Rainha'!B:B,BASE_DE_NOMES[[#This Row],[Nome]],'Folha Rainha'!F:F,"ADC. ANTIGUIDADE")</f>
        <v>0</v>
      </c>
      <c r="O101">
        <f>SUMIFS('Folha Rainha'!G:G,'Folha Rainha'!B:B,BASE_DE_NOMES[[#This Row],[Nome]],'Folha Rainha'!F:F,"*Trienio*")</f>
        <v>0</v>
      </c>
      <c r="P101">
        <f>SUMIFS('Folha Rainha'!G:G,'Folha Rainha'!B:B,BASE_DE_NOMES[[#This Row],[Nome]],'Folha Rainha'!F:F,"*TAXA*")</f>
        <v>0</v>
      </c>
      <c r="Q101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01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01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01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01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01">
        <f>BASE_DE_NOMES[[#This Row],[BOLSA DE AUXILIO]]+BASE_DE_NOMES[[#This Row],[VALE TRANSP]]+BASE_DE_NOMES[[#This Row],[PLANO DE SAUDE]]-BASE_DE_NOMES[[#This Row],[DESCONTOS]]</f>
        <v>0</v>
      </c>
      <c r="W101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01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01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01">
        <f>BASE_DE_NOMES[[#This Row],[PAGAMENTOS]]+BASE_DE_NOMES[[#This Row],[GRATIFICAÇÃO]]</f>
        <v>1750</v>
      </c>
      <c r="AA101" s="4">
        <f>_xlfn.XLOOKUP(BASE_DE_NOMES[[#This Row],[NOME2]],Planilha1!C:C,Planilha1!D:D)*Y101</f>
        <v>0</v>
      </c>
      <c r="AB101" s="4">
        <f>BASE_DE_NOMES[[#This Row],[IMPOSTOS]]+BASE_DE_NOMES[[#This Row],[SALARIO BASE]]+BASE_DE_NOMES[[#This Row],[FAMILIA]]</f>
        <v>0</v>
      </c>
      <c r="AC101" t="str">
        <f>_xlfn.XLOOKUP(BASE_DE_NOMES[[#This Row],[Razão Social]],Planilha1!B:B,Planilha1!C:C)</f>
        <v>ESCRITORIO</v>
      </c>
      <c r="AD101" t="str">
        <f>_xlfn.XLOOKUP(BASE_DE_NOMES[[#This Row],[Alocações]],Planilha1!B:B,Planilha1!C:C)</f>
        <v>SR PASSOS</v>
      </c>
    </row>
    <row r="102" spans="1:30" x14ac:dyDescent="0.25">
      <c r="A102" t="s">
        <v>174</v>
      </c>
      <c r="B102" t="s">
        <v>80</v>
      </c>
      <c r="C102" t="s">
        <v>253</v>
      </c>
      <c r="D102" t="s">
        <v>225</v>
      </c>
      <c r="E102" s="1">
        <f>IFERROR(_xlfn.XLOOKUP(BASE_DE_NOMES[[#This Row],[Nome]],'Folha Rainha'!B:B,'Folha Rainha'!D:D),0)</f>
        <v>42851</v>
      </c>
      <c r="F102" t="str">
        <f>IFERROR(_xlfn.XLOOKUP(BASE_DE_NOMES[[#This Row],[Nome]],'Folha Rainha'!B:B,'Folha Rainha'!E:E)," ")</f>
        <v>Trabalhando</v>
      </c>
      <c r="G102" s="4">
        <f>SUMIFS('Folha Rainha'!G:G,'Folha Rainha'!B:B,BASE_DE_NOMES[[#This Row],[Nome]],'Folha Rainha'!F:F,"Salário Base")+SUMIFS('Folha Rainha'!G:G,'Folha Rainha'!B:B,BASE_DE_NOMES[[#This Row],[Nome]],'Folha Rainha'!F:F,"Salário:")</f>
        <v>2092.21</v>
      </c>
      <c r="H102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02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02" s="4">
        <f>BASE_DE_NOMES[[#This Row],[C.CHEQUE]]-BASE_DE_NOMES[[#This Row],[FALTAS]]-BASE_DE_NOMES[[#This Row],[DESCONTO ]]</f>
        <v>2092.21</v>
      </c>
      <c r="K102">
        <f>SUMIF(GRATIFICAÇÃO!A:A,BASE_DE_NOMES[[#This Row],[Nome]],GRATIFICAÇÃO!F:F)</f>
        <v>0</v>
      </c>
      <c r="L102">
        <f>SUMIF(PG!A:A,BASE_DE_NOMES[[#This Row],[Nome]],PG!E:E)</f>
        <v>0</v>
      </c>
      <c r="M102">
        <f>SUMIFS('Folha Rainha'!G:G,'Folha Rainha'!B:B,BASE_DE_NOMES[[#This Row],[Nome]],'Folha Rainha'!F:F,"*Quebra*",'Folha Rainha'!F:F,"*QUEBRA*")</f>
        <v>0</v>
      </c>
      <c r="N102">
        <f>SUMIFS('Folha Rainha'!G:G,'Folha Rainha'!B:B,BASE_DE_NOMES[[#This Row],[Nome]],'Folha Rainha'!F:F,"ADC. ANTIGUIDADE")</f>
        <v>0</v>
      </c>
      <c r="O102">
        <f>SUMIFS('Folha Rainha'!G:G,'Folha Rainha'!B:B,BASE_DE_NOMES[[#This Row],[Nome]],'Folha Rainha'!F:F,"*Trienio*")</f>
        <v>209.22</v>
      </c>
      <c r="P102">
        <f>SUMIFS('Folha Rainha'!G:G,'Folha Rainha'!B:B,BASE_DE_NOMES[[#This Row],[Nome]],'Folha Rainha'!F:F,"*TAXA*")</f>
        <v>20</v>
      </c>
      <c r="Q102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02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02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02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02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20</v>
      </c>
      <c r="V102">
        <f>BASE_DE_NOMES[[#This Row],[BOLSA DE AUXILIO]]+BASE_DE_NOMES[[#This Row],[VALE TRANSP]]+BASE_DE_NOMES[[#This Row],[PLANO DE SAUDE]]-BASE_DE_NOMES[[#This Row],[DESCONTOS]]</f>
        <v>-20</v>
      </c>
      <c r="W102" s="4">
        <f>SUMIFS('Folha Rainha'!G:G,'Folha Rainha'!B:B,BASE_DE_NOMES[[#This Row],[Nome]],'Folha Rainha'!F:F,"VALE COMPRAS")+SUMIFS('Folha Rainha'!G:G,'Folha Rainha'!B:B,BASE_DE_NOMES[[#This Row],[Nome]],'Folha Rainha'!F:F,"VALES")</f>
        <v>48</v>
      </c>
      <c r="X102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02" s="4">
        <f>BASE_DE_NOMES[[#This Row],[TOTAL DE C.CHEQUE]]+BASE_DE_NOMES[[#This Row],[TOTAL DE QUEBRA]]+BASE_DE_NOMES[[#This Row],[ADC. ANTIGUIDADE]]+BASE_DE_NOMES[[#This Row],[TOTAL DE TRIENIO]]+BASE_DE_NOMES[[#This Row],[CCT]]</f>
        <v>2301.4299999999998</v>
      </c>
      <c r="Z102">
        <f>BASE_DE_NOMES[[#This Row],[PAGAMENTOS]]+BASE_DE_NOMES[[#This Row],[GRATIFICAÇÃO]]</f>
        <v>0</v>
      </c>
      <c r="AA102" s="4">
        <f>_xlfn.XLOOKUP(BASE_DE_NOMES[[#This Row],[NOME2]],Planilha1!C:C,Planilha1!D:D)*Y102</f>
        <v>460.286</v>
      </c>
      <c r="AB102" s="4">
        <f>BASE_DE_NOMES[[#This Row],[IMPOSTOS]]+BASE_DE_NOMES[[#This Row],[SALARIO BASE]]+BASE_DE_NOMES[[#This Row],[FAMILIA]]</f>
        <v>2761.7159999999999</v>
      </c>
      <c r="AC102" t="str">
        <f>_xlfn.XLOOKUP(BASE_DE_NOMES[[#This Row],[Razão Social]],Planilha1!B:B,Planilha1!C:C)</f>
        <v>HOME CENTER</v>
      </c>
      <c r="AD102" t="str">
        <f>_xlfn.XLOOKUP(BASE_DE_NOMES[[#This Row],[Alocações]],Planilha1!B:B,Planilha1!C:C)</f>
        <v>ESCRITORIO</v>
      </c>
    </row>
    <row r="103" spans="1:30" x14ac:dyDescent="0.25">
      <c r="A103" t="s">
        <v>463</v>
      </c>
      <c r="B103" t="s">
        <v>258</v>
      </c>
      <c r="C103" t="s">
        <v>584</v>
      </c>
      <c r="D103" t="s">
        <v>584</v>
      </c>
      <c r="E103" s="1">
        <f>IFERROR(_xlfn.XLOOKUP(BASE_DE_NOMES[[#This Row],[Nome]],'Folha Rainha'!B:B,'Folha Rainha'!D:D),0)</f>
        <v>45236</v>
      </c>
      <c r="F103" t="str">
        <f>IFERROR(_xlfn.XLOOKUP(BASE_DE_NOMES[[#This Row],[Nome]],'Folha Rainha'!B:B,'Folha Rainha'!E:E)," ")</f>
        <v>Trabalhando</v>
      </c>
      <c r="G103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103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03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03" s="4">
        <f>BASE_DE_NOMES[[#This Row],[C.CHEQUE]]-BASE_DE_NOMES[[#This Row],[FALTAS]]-BASE_DE_NOMES[[#This Row],[DESCONTO ]]</f>
        <v>1518</v>
      </c>
      <c r="K103">
        <f>SUMIF(GRATIFICAÇÃO!A:A,BASE_DE_NOMES[[#This Row],[Nome]],GRATIFICAÇÃO!F:F)</f>
        <v>0</v>
      </c>
      <c r="L103">
        <f>SUMIF(PG!A:A,BASE_DE_NOMES[[#This Row],[Nome]],PG!E:E)</f>
        <v>0</v>
      </c>
      <c r="M103">
        <f>SUMIFS('Folha Rainha'!G:G,'Folha Rainha'!B:B,BASE_DE_NOMES[[#This Row],[Nome]],'Folha Rainha'!F:F,"*Quebra*",'Folha Rainha'!F:F,"*QUEBRA*")</f>
        <v>0</v>
      </c>
      <c r="N103">
        <f>SUMIFS('Folha Rainha'!G:G,'Folha Rainha'!B:B,BASE_DE_NOMES[[#This Row],[Nome]],'Folha Rainha'!F:F,"ADC. ANTIGUIDADE")</f>
        <v>0</v>
      </c>
      <c r="O103">
        <f>SUMIFS('Folha Rainha'!G:G,'Folha Rainha'!B:B,BASE_DE_NOMES[[#This Row],[Nome]],'Folha Rainha'!F:F,"*Trienio*")</f>
        <v>0</v>
      </c>
      <c r="P103">
        <f>SUMIFS('Folha Rainha'!G:G,'Folha Rainha'!B:B,BASE_DE_NOMES[[#This Row],[Nome]],'Folha Rainha'!F:F,"*TAXA*")</f>
        <v>20</v>
      </c>
      <c r="Q103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03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03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03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03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20</v>
      </c>
      <c r="V103">
        <f>BASE_DE_NOMES[[#This Row],[BOLSA DE AUXILIO]]+BASE_DE_NOMES[[#This Row],[VALE TRANSP]]+BASE_DE_NOMES[[#This Row],[PLANO DE SAUDE]]-BASE_DE_NOMES[[#This Row],[DESCONTOS]]</f>
        <v>-20</v>
      </c>
      <c r="W103" s="4">
        <f>SUMIFS('Folha Rainha'!G:G,'Folha Rainha'!B:B,BASE_DE_NOMES[[#This Row],[Nome]],'Folha Rainha'!F:F,"VALE COMPRAS")+SUMIFS('Folha Rainha'!G:G,'Folha Rainha'!B:B,BASE_DE_NOMES[[#This Row],[Nome]],'Folha Rainha'!F:F,"VALES")</f>
        <v>81.319999999999993</v>
      </c>
      <c r="X103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03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103">
        <f>BASE_DE_NOMES[[#This Row],[PAGAMENTOS]]+BASE_DE_NOMES[[#This Row],[GRATIFICAÇÃO]]</f>
        <v>0</v>
      </c>
      <c r="AA103" s="4">
        <f>_xlfn.XLOOKUP(BASE_DE_NOMES[[#This Row],[NOME2]],Planilha1!C:C,Planilha1!D:D)*Y103</f>
        <v>303.60000000000002</v>
      </c>
      <c r="AB103" s="4">
        <f>BASE_DE_NOMES[[#This Row],[IMPOSTOS]]+BASE_DE_NOMES[[#This Row],[SALARIO BASE]]+BASE_DE_NOMES[[#This Row],[FAMILIA]]</f>
        <v>1821.6</v>
      </c>
      <c r="AC103" t="str">
        <f>_xlfn.XLOOKUP(BASE_DE_NOMES[[#This Row],[Razão Social]],Planilha1!B:B,Planilha1!C:C)</f>
        <v>15 K COMERCIAL</v>
      </c>
      <c r="AD103" t="str">
        <f>_xlfn.XLOOKUP(BASE_DE_NOMES[[#This Row],[Alocações]],Planilha1!B:B,Planilha1!C:C)</f>
        <v>15 K COMERCIAL</v>
      </c>
    </row>
    <row r="104" spans="1:30" x14ac:dyDescent="0.25">
      <c r="A104" t="s">
        <v>597</v>
      </c>
      <c r="B104" t="s">
        <v>213</v>
      </c>
      <c r="C104" t="s">
        <v>252</v>
      </c>
      <c r="D104" t="s">
        <v>252</v>
      </c>
      <c r="E104" s="1">
        <f>IFERROR(_xlfn.XLOOKUP(BASE_DE_NOMES[[#This Row],[Nome]],'Folha Rainha'!B:B,'Folha Rainha'!D:D),0)</f>
        <v>45748</v>
      </c>
      <c r="F104" t="str">
        <f>IFERROR(_xlfn.XLOOKUP(BASE_DE_NOMES[[#This Row],[Nome]],'Folha Rainha'!B:B,'Folha Rainha'!E:E)," ")</f>
        <v>Trabalhando</v>
      </c>
      <c r="G104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104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04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04" s="4">
        <f>BASE_DE_NOMES[[#This Row],[C.CHEQUE]]-BASE_DE_NOMES[[#This Row],[FALTAS]]-BASE_DE_NOMES[[#This Row],[DESCONTO ]]</f>
        <v>1518</v>
      </c>
      <c r="K104">
        <f>SUMIF(GRATIFICAÇÃO!A:A,BASE_DE_NOMES[[#This Row],[Nome]],GRATIFICAÇÃO!F:F)</f>
        <v>0</v>
      </c>
      <c r="L104">
        <f>SUMIF(PG!A:A,BASE_DE_NOMES[[#This Row],[Nome]],PG!E:E)</f>
        <v>0</v>
      </c>
      <c r="M104">
        <f>SUMIFS('Folha Rainha'!G:G,'Folha Rainha'!B:B,BASE_DE_NOMES[[#This Row],[Nome]],'Folha Rainha'!F:F,"*Quebra*",'Folha Rainha'!F:F,"*QUEBRA*")</f>
        <v>0</v>
      </c>
      <c r="N104">
        <f>SUMIFS('Folha Rainha'!G:G,'Folha Rainha'!B:B,BASE_DE_NOMES[[#This Row],[Nome]],'Folha Rainha'!F:F,"ADC. ANTIGUIDADE")</f>
        <v>0</v>
      </c>
      <c r="O104">
        <f>SUMIFS('Folha Rainha'!G:G,'Folha Rainha'!B:B,BASE_DE_NOMES[[#This Row],[Nome]],'Folha Rainha'!F:F,"*Trienio*")</f>
        <v>0</v>
      </c>
      <c r="P104">
        <f>SUMIFS('Folha Rainha'!G:G,'Folha Rainha'!B:B,BASE_DE_NOMES[[#This Row],[Nome]],'Folha Rainha'!F:F,"*TAXA*")</f>
        <v>0</v>
      </c>
      <c r="Q104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04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04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04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04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04">
        <f>BASE_DE_NOMES[[#This Row],[BOLSA DE AUXILIO]]+BASE_DE_NOMES[[#This Row],[VALE TRANSP]]+BASE_DE_NOMES[[#This Row],[PLANO DE SAUDE]]-BASE_DE_NOMES[[#This Row],[DESCONTOS]]</f>
        <v>0</v>
      </c>
      <c r="W104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04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04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104">
        <f>BASE_DE_NOMES[[#This Row],[PAGAMENTOS]]+BASE_DE_NOMES[[#This Row],[GRATIFICAÇÃO]]</f>
        <v>0</v>
      </c>
      <c r="AA104" s="4">
        <f>_xlfn.XLOOKUP(BASE_DE_NOMES[[#This Row],[NOME2]],Planilha1!C:C,Planilha1!D:D)*Y104</f>
        <v>764.00939999999991</v>
      </c>
      <c r="AB104" s="4">
        <f>BASE_DE_NOMES[[#This Row],[IMPOSTOS]]+BASE_DE_NOMES[[#This Row],[SALARIO BASE]]+BASE_DE_NOMES[[#This Row],[FAMILIA]]</f>
        <v>2282.0093999999999</v>
      </c>
      <c r="AC104" t="str">
        <f>_xlfn.XLOOKUP(BASE_DE_NOMES[[#This Row],[Razão Social]],Planilha1!B:B,Planilha1!C:C)</f>
        <v>FABRICA</v>
      </c>
      <c r="AD104" t="str">
        <f>_xlfn.XLOOKUP(BASE_DE_NOMES[[#This Row],[Alocações]],Planilha1!B:B,Planilha1!C:C)</f>
        <v>FABRICA</v>
      </c>
    </row>
    <row r="105" spans="1:30" x14ac:dyDescent="0.25">
      <c r="A105" t="s">
        <v>464</v>
      </c>
      <c r="B105" t="s">
        <v>56</v>
      </c>
      <c r="C105" t="s">
        <v>229</v>
      </c>
      <c r="D105" t="s">
        <v>229</v>
      </c>
      <c r="E105" s="1">
        <f>IFERROR(_xlfn.XLOOKUP(BASE_DE_NOMES[[#This Row],[Nome]],'Folha Rainha'!B:B,'Folha Rainha'!D:D),0)</f>
        <v>45252</v>
      </c>
      <c r="F105" t="str">
        <f>IFERROR(_xlfn.XLOOKUP(BASE_DE_NOMES[[#This Row],[Nome]],'Folha Rainha'!B:B,'Folha Rainha'!E:E)," ")</f>
        <v>Trabalhando</v>
      </c>
      <c r="G105" s="4">
        <f>SUMIFS('Folha Rainha'!G:G,'Folha Rainha'!B:B,BASE_DE_NOMES[[#This Row],[Nome]],'Folha Rainha'!F:F,"Salário Base")+SUMIFS('Folha Rainha'!G:G,'Folha Rainha'!B:B,BASE_DE_NOMES[[#This Row],[Nome]],'Folha Rainha'!F:F,"Salário:")</f>
        <v>1600</v>
      </c>
      <c r="H105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05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05" s="4">
        <f>BASE_DE_NOMES[[#This Row],[C.CHEQUE]]-BASE_DE_NOMES[[#This Row],[FALTAS]]-BASE_DE_NOMES[[#This Row],[DESCONTO ]]</f>
        <v>1600</v>
      </c>
      <c r="K105">
        <f>SUMIF(GRATIFICAÇÃO!A:A,BASE_DE_NOMES[[#This Row],[Nome]],GRATIFICAÇÃO!F:F)</f>
        <v>0</v>
      </c>
      <c r="L105">
        <f>SUMIF(PG!A:A,BASE_DE_NOMES[[#This Row],[Nome]],PG!E:E)</f>
        <v>0</v>
      </c>
      <c r="M105">
        <f>SUMIFS('Folha Rainha'!G:G,'Folha Rainha'!B:B,BASE_DE_NOMES[[#This Row],[Nome]],'Folha Rainha'!F:F,"*Quebra*",'Folha Rainha'!F:F,"*QUEBRA*")</f>
        <v>192</v>
      </c>
      <c r="N105">
        <f>SUMIFS('Folha Rainha'!G:G,'Folha Rainha'!B:B,BASE_DE_NOMES[[#This Row],[Nome]],'Folha Rainha'!F:F,"ADC. ANTIGUIDADE")</f>
        <v>0</v>
      </c>
      <c r="O105">
        <f>SUMIFS('Folha Rainha'!G:G,'Folha Rainha'!B:B,BASE_DE_NOMES[[#This Row],[Nome]],'Folha Rainha'!F:F,"*Trienio*")</f>
        <v>0</v>
      </c>
      <c r="P105">
        <f>SUMIFS('Folha Rainha'!G:G,'Folha Rainha'!B:B,BASE_DE_NOMES[[#This Row],[Nome]],'Folha Rainha'!F:F,"*TAXA*")</f>
        <v>0</v>
      </c>
      <c r="Q105" s="4">
        <f>SUMIFS('Folha Rainha'!G:G,'Folha Rainha'!B:B,BASE_DE_NOMES[[#This Row],[Nome]],'Folha Rainha'!F:F,"SALARIO FAMILIA")+SUMIFS('Folha Rainha'!G:G,'Folha Rainha'!B:B,BASE_DE_NOMES[[#This Row],[Nome]],'Folha Rainha'!F:F,"Salário Família")</f>
        <v>65</v>
      </c>
      <c r="R105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05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05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05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05">
        <f>BASE_DE_NOMES[[#This Row],[BOLSA DE AUXILIO]]+BASE_DE_NOMES[[#This Row],[VALE TRANSP]]+BASE_DE_NOMES[[#This Row],[PLANO DE SAUDE]]-BASE_DE_NOMES[[#This Row],[DESCONTOS]]</f>
        <v>0</v>
      </c>
      <c r="W105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05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05" s="4">
        <f>BASE_DE_NOMES[[#This Row],[TOTAL DE C.CHEQUE]]+BASE_DE_NOMES[[#This Row],[TOTAL DE QUEBRA]]+BASE_DE_NOMES[[#This Row],[ADC. ANTIGUIDADE]]+BASE_DE_NOMES[[#This Row],[TOTAL DE TRIENIO]]+BASE_DE_NOMES[[#This Row],[CCT]]</f>
        <v>1792</v>
      </c>
      <c r="Z105">
        <f>BASE_DE_NOMES[[#This Row],[PAGAMENTOS]]+BASE_DE_NOMES[[#This Row],[GRATIFICAÇÃO]]</f>
        <v>0</v>
      </c>
      <c r="AA105" s="4">
        <f>_xlfn.XLOOKUP(BASE_DE_NOMES[[#This Row],[NOME2]],Planilha1!C:C,Planilha1!D:D)*Y105</f>
        <v>358.40000000000003</v>
      </c>
      <c r="AB105" s="4">
        <f>BASE_DE_NOMES[[#This Row],[IMPOSTOS]]+BASE_DE_NOMES[[#This Row],[SALARIO BASE]]+BASE_DE_NOMES[[#This Row],[FAMILIA]]</f>
        <v>2215.4</v>
      </c>
      <c r="AC105" t="str">
        <f>_xlfn.XLOOKUP(BASE_DE_NOMES[[#This Row],[Razão Social]],Planilha1!B:B,Planilha1!C:C)</f>
        <v>GRAND CANYON</v>
      </c>
      <c r="AD105" t="str">
        <f>_xlfn.XLOOKUP(BASE_DE_NOMES[[#This Row],[Alocações]],Planilha1!B:B,Planilha1!C:C)</f>
        <v>GRAND CANYON</v>
      </c>
    </row>
    <row r="106" spans="1:30" x14ac:dyDescent="0.25">
      <c r="A106" t="s">
        <v>246</v>
      </c>
      <c r="B106" t="s">
        <v>213</v>
      </c>
      <c r="C106" t="s">
        <v>326</v>
      </c>
      <c r="D106" t="s">
        <v>252</v>
      </c>
      <c r="E106" s="1">
        <f>IFERROR(_xlfn.XLOOKUP(BASE_DE_NOMES[[#This Row],[Nome]],'Folha Rainha'!B:B,'Folha Rainha'!D:D),0)</f>
        <v>44774</v>
      </c>
      <c r="F106" t="str">
        <f>IFERROR(_xlfn.XLOOKUP(BASE_DE_NOMES[[#This Row],[Nome]],'Folha Rainha'!B:B,'Folha Rainha'!E:E)," ")</f>
        <v>Trabalhando</v>
      </c>
      <c r="G106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106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101.16</v>
      </c>
      <c r="I106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06" s="4">
        <f>BASE_DE_NOMES[[#This Row],[C.CHEQUE]]-BASE_DE_NOMES[[#This Row],[FALTAS]]-BASE_DE_NOMES[[#This Row],[DESCONTO ]]</f>
        <v>1416.84</v>
      </c>
      <c r="K106">
        <f>SUMIF(GRATIFICAÇÃO!A:A,BASE_DE_NOMES[[#This Row],[Nome]],GRATIFICAÇÃO!F:F)</f>
        <v>0</v>
      </c>
      <c r="L106">
        <f>SUMIF(PG!A:A,BASE_DE_NOMES[[#This Row],[Nome]],PG!E:E)</f>
        <v>0</v>
      </c>
      <c r="M106">
        <f>SUMIFS('Folha Rainha'!G:G,'Folha Rainha'!B:B,BASE_DE_NOMES[[#This Row],[Nome]],'Folha Rainha'!F:F,"*Quebra*",'Folha Rainha'!F:F,"*QUEBRA*")</f>
        <v>0</v>
      </c>
      <c r="N106">
        <f>SUMIFS('Folha Rainha'!G:G,'Folha Rainha'!B:B,BASE_DE_NOMES[[#This Row],[Nome]],'Folha Rainha'!F:F,"ADC. ANTIGUIDADE")</f>
        <v>0</v>
      </c>
      <c r="O106">
        <f>SUMIFS('Folha Rainha'!G:G,'Folha Rainha'!B:B,BASE_DE_NOMES[[#This Row],[Nome]],'Folha Rainha'!F:F,"*Trienio*")</f>
        <v>0</v>
      </c>
      <c r="P106">
        <f>SUMIFS('Folha Rainha'!G:G,'Folha Rainha'!B:B,BASE_DE_NOMES[[#This Row],[Nome]],'Folha Rainha'!F:F,"*TAXA*")</f>
        <v>0</v>
      </c>
      <c r="Q106" s="4">
        <f>SUMIFS('Folha Rainha'!G:G,'Folha Rainha'!B:B,BASE_DE_NOMES[[#This Row],[Nome]],'Folha Rainha'!F:F,"SALARIO FAMILIA")+SUMIFS('Folha Rainha'!G:G,'Folha Rainha'!B:B,BASE_DE_NOMES[[#This Row],[Nome]],'Folha Rainha'!F:F,"Salário Família")</f>
        <v>130</v>
      </c>
      <c r="R106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06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06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06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06">
        <f>BASE_DE_NOMES[[#This Row],[BOLSA DE AUXILIO]]+BASE_DE_NOMES[[#This Row],[VALE TRANSP]]+BASE_DE_NOMES[[#This Row],[PLANO DE SAUDE]]-BASE_DE_NOMES[[#This Row],[DESCONTOS]]</f>
        <v>0</v>
      </c>
      <c r="W106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06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06" s="4">
        <f>BASE_DE_NOMES[[#This Row],[TOTAL DE C.CHEQUE]]+BASE_DE_NOMES[[#This Row],[TOTAL DE QUEBRA]]+BASE_DE_NOMES[[#This Row],[ADC. ANTIGUIDADE]]+BASE_DE_NOMES[[#This Row],[TOTAL DE TRIENIO]]+BASE_DE_NOMES[[#This Row],[CCT]]</f>
        <v>1416.84</v>
      </c>
      <c r="Z106">
        <f>BASE_DE_NOMES[[#This Row],[PAGAMENTOS]]+BASE_DE_NOMES[[#This Row],[GRATIFICAÇÃO]]</f>
        <v>0</v>
      </c>
      <c r="AA106" s="4">
        <f>_xlfn.XLOOKUP(BASE_DE_NOMES[[#This Row],[NOME2]],Planilha1!C:C,Planilha1!D:D)*Y106</f>
        <v>283.36799999999999</v>
      </c>
      <c r="AB106" s="4">
        <f>BASE_DE_NOMES[[#This Row],[IMPOSTOS]]+BASE_DE_NOMES[[#This Row],[SALARIO BASE]]+BASE_DE_NOMES[[#This Row],[FAMILIA]]</f>
        <v>1830.2079999999999</v>
      </c>
      <c r="AC106" t="str">
        <f>_xlfn.XLOOKUP(BASE_DE_NOMES[[#This Row],[Razão Social]],Planilha1!B:B,Planilha1!C:C)</f>
        <v>VALE XEL</v>
      </c>
      <c r="AD106" t="str">
        <f>_xlfn.XLOOKUP(BASE_DE_NOMES[[#This Row],[Alocações]],Planilha1!B:B,Planilha1!C:C)</f>
        <v>FABRICA</v>
      </c>
    </row>
    <row r="107" spans="1:30" x14ac:dyDescent="0.25">
      <c r="A107" t="s">
        <v>678</v>
      </c>
      <c r="B107" t="s">
        <v>99</v>
      </c>
      <c r="C107" t="s">
        <v>280</v>
      </c>
      <c r="D107" t="s">
        <v>280</v>
      </c>
      <c r="E107" s="1">
        <f>IFERROR(_xlfn.XLOOKUP(BASE_DE_NOMES[[#This Row],[Nome]],'Folha Rainha'!B:B,'Folha Rainha'!D:D),0)</f>
        <v>0</v>
      </c>
      <c r="F107" t="str">
        <f>IFERROR(_xlfn.XLOOKUP(BASE_DE_NOMES[[#This Row],[Nome]],'Folha Rainha'!B:B,'Folha Rainha'!E:E)," ")</f>
        <v xml:space="preserve"> </v>
      </c>
      <c r="G107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07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07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07" s="4">
        <f>BASE_DE_NOMES[[#This Row],[C.CHEQUE]]-BASE_DE_NOMES[[#This Row],[FALTAS]]-BASE_DE_NOMES[[#This Row],[DESCONTO ]]</f>
        <v>0</v>
      </c>
      <c r="K107">
        <f>SUMIF(GRATIFICAÇÃO!A:A,BASE_DE_NOMES[[#This Row],[Nome]],GRATIFICAÇÃO!F:F)</f>
        <v>0</v>
      </c>
      <c r="L107">
        <f>SUMIF(PG!A:A,BASE_DE_NOMES[[#This Row],[Nome]],PG!E:E)</f>
        <v>0</v>
      </c>
      <c r="M107">
        <f>SUMIFS('Folha Rainha'!G:G,'Folha Rainha'!B:B,BASE_DE_NOMES[[#This Row],[Nome]],'Folha Rainha'!F:F,"*Quebra*",'Folha Rainha'!F:F,"*QUEBRA*")</f>
        <v>0</v>
      </c>
      <c r="N107">
        <f>SUMIFS('Folha Rainha'!G:G,'Folha Rainha'!B:B,BASE_DE_NOMES[[#This Row],[Nome]],'Folha Rainha'!F:F,"ADC. ANTIGUIDADE")</f>
        <v>0</v>
      </c>
      <c r="O107">
        <f>SUMIFS('Folha Rainha'!G:G,'Folha Rainha'!B:B,BASE_DE_NOMES[[#This Row],[Nome]],'Folha Rainha'!F:F,"*Trienio*")</f>
        <v>0</v>
      </c>
      <c r="P107">
        <f>SUMIFS('Folha Rainha'!G:G,'Folha Rainha'!B:B,BASE_DE_NOMES[[#This Row],[Nome]],'Folha Rainha'!F:F,"*TAXA*")</f>
        <v>0</v>
      </c>
      <c r="Q107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07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07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07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07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07">
        <f>BASE_DE_NOMES[[#This Row],[BOLSA DE AUXILIO]]+BASE_DE_NOMES[[#This Row],[VALE TRANSP]]+BASE_DE_NOMES[[#This Row],[PLANO DE SAUDE]]-BASE_DE_NOMES[[#This Row],[DESCONTOS]]</f>
        <v>0</v>
      </c>
      <c r="W107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07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07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07">
        <f>BASE_DE_NOMES[[#This Row],[PAGAMENTOS]]+BASE_DE_NOMES[[#This Row],[GRATIFICAÇÃO]]</f>
        <v>0</v>
      </c>
      <c r="AA107" s="4">
        <f>_xlfn.XLOOKUP(BASE_DE_NOMES[[#This Row],[NOME2]],Planilha1!C:C,Planilha1!D:D)*Y107</f>
        <v>0</v>
      </c>
      <c r="AB107" s="4">
        <f>BASE_DE_NOMES[[#This Row],[IMPOSTOS]]+BASE_DE_NOMES[[#This Row],[SALARIO BASE]]+BASE_DE_NOMES[[#This Row],[FAMILIA]]</f>
        <v>0</v>
      </c>
      <c r="AC107" t="str">
        <f>_xlfn.XLOOKUP(BASE_DE_NOMES[[#This Row],[Razão Social]],Planilha1!B:B,Planilha1!C:C)</f>
        <v>MAISON</v>
      </c>
      <c r="AD107" t="str">
        <f>_xlfn.XLOOKUP(BASE_DE_NOMES[[#This Row],[Alocações]],Planilha1!B:B,Planilha1!C:C)</f>
        <v>MAISON</v>
      </c>
    </row>
    <row r="108" spans="1:30" x14ac:dyDescent="0.25">
      <c r="A108" t="s">
        <v>640</v>
      </c>
      <c r="B108" t="s">
        <v>212</v>
      </c>
      <c r="C108" t="s">
        <v>229</v>
      </c>
      <c r="D108" t="s">
        <v>229</v>
      </c>
      <c r="E108" s="1">
        <f>IFERROR(_xlfn.XLOOKUP(BASE_DE_NOMES[[#This Row],[Nome]],'Folha Rainha'!B:B,'Folha Rainha'!D:D),0)</f>
        <v>45799</v>
      </c>
      <c r="F108" t="str">
        <f>IFERROR(_xlfn.XLOOKUP(BASE_DE_NOMES[[#This Row],[Nome]],'Folha Rainha'!B:B,'Folha Rainha'!E:E)," ")</f>
        <v>Trabalhando</v>
      </c>
      <c r="G108" s="4">
        <f>SUMIFS('Folha Rainha'!G:G,'Folha Rainha'!B:B,BASE_DE_NOMES[[#This Row],[Nome]],'Folha Rainha'!F:F,"Salário Base")+SUMIFS('Folha Rainha'!G:G,'Folha Rainha'!B:B,BASE_DE_NOMES[[#This Row],[Nome]],'Folha Rainha'!F:F,"Salário:")</f>
        <v>1600</v>
      </c>
      <c r="H108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08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08" s="4">
        <f>BASE_DE_NOMES[[#This Row],[C.CHEQUE]]-BASE_DE_NOMES[[#This Row],[FALTAS]]-BASE_DE_NOMES[[#This Row],[DESCONTO ]]</f>
        <v>1600</v>
      </c>
      <c r="K108">
        <f>SUMIF(GRATIFICAÇÃO!A:A,BASE_DE_NOMES[[#This Row],[Nome]],GRATIFICAÇÃO!F:F)</f>
        <v>0</v>
      </c>
      <c r="L108">
        <f>SUMIF(PG!A:A,BASE_DE_NOMES[[#This Row],[Nome]],PG!E:E)</f>
        <v>1062.5999999999999</v>
      </c>
      <c r="M108">
        <f>SUMIFS('Folha Rainha'!G:G,'Folha Rainha'!B:B,BASE_DE_NOMES[[#This Row],[Nome]],'Folha Rainha'!F:F,"*Quebra*",'Folha Rainha'!F:F,"*QUEBRA*")</f>
        <v>0</v>
      </c>
      <c r="N108">
        <f>SUMIFS('Folha Rainha'!G:G,'Folha Rainha'!B:B,BASE_DE_NOMES[[#This Row],[Nome]],'Folha Rainha'!F:F,"ADC. ANTIGUIDADE")</f>
        <v>0</v>
      </c>
      <c r="O108">
        <f>SUMIFS('Folha Rainha'!G:G,'Folha Rainha'!B:B,BASE_DE_NOMES[[#This Row],[Nome]],'Folha Rainha'!F:F,"*Trienio*")</f>
        <v>0</v>
      </c>
      <c r="P108">
        <f>SUMIFS('Folha Rainha'!G:G,'Folha Rainha'!B:B,BASE_DE_NOMES[[#This Row],[Nome]],'Folha Rainha'!F:F,"*TAXA*")</f>
        <v>0</v>
      </c>
      <c r="Q108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08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08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08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08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08">
        <f>BASE_DE_NOMES[[#This Row],[BOLSA DE AUXILIO]]+BASE_DE_NOMES[[#This Row],[VALE TRANSP]]+BASE_DE_NOMES[[#This Row],[PLANO DE SAUDE]]-BASE_DE_NOMES[[#This Row],[DESCONTOS]]</f>
        <v>0</v>
      </c>
      <c r="W108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08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08" s="4">
        <f>BASE_DE_NOMES[[#This Row],[TOTAL DE C.CHEQUE]]+BASE_DE_NOMES[[#This Row],[TOTAL DE QUEBRA]]+BASE_DE_NOMES[[#This Row],[ADC. ANTIGUIDADE]]+BASE_DE_NOMES[[#This Row],[TOTAL DE TRIENIO]]+BASE_DE_NOMES[[#This Row],[CCT]]</f>
        <v>1600</v>
      </c>
      <c r="Z108">
        <f>BASE_DE_NOMES[[#This Row],[PAGAMENTOS]]+BASE_DE_NOMES[[#This Row],[GRATIFICAÇÃO]]</f>
        <v>1062.5999999999999</v>
      </c>
      <c r="AA108" s="4">
        <f>_xlfn.XLOOKUP(BASE_DE_NOMES[[#This Row],[NOME2]],Planilha1!C:C,Planilha1!D:D)*Y108</f>
        <v>320</v>
      </c>
      <c r="AB108" s="4">
        <f>BASE_DE_NOMES[[#This Row],[IMPOSTOS]]+BASE_DE_NOMES[[#This Row],[SALARIO BASE]]+BASE_DE_NOMES[[#This Row],[FAMILIA]]</f>
        <v>1920</v>
      </c>
      <c r="AC108" t="str">
        <f>_xlfn.XLOOKUP(BASE_DE_NOMES[[#This Row],[Razão Social]],Planilha1!B:B,Planilha1!C:C)</f>
        <v>GRAND CANYON</v>
      </c>
      <c r="AD108" t="str">
        <f>_xlfn.XLOOKUP(BASE_DE_NOMES[[#This Row],[Alocações]],Planilha1!B:B,Planilha1!C:C)</f>
        <v>GRAND CANYON</v>
      </c>
    </row>
    <row r="109" spans="1:30" x14ac:dyDescent="0.25">
      <c r="A109" t="s">
        <v>679</v>
      </c>
      <c r="B109" t="s">
        <v>39</v>
      </c>
      <c r="C109" t="s">
        <v>224</v>
      </c>
      <c r="D109" t="s">
        <v>224</v>
      </c>
      <c r="E109" s="1">
        <f>IFERROR(_xlfn.XLOOKUP(BASE_DE_NOMES[[#This Row],[Nome]],'Folha Rainha'!B:B,'Folha Rainha'!D:D),0)</f>
        <v>0</v>
      </c>
      <c r="F109" t="str">
        <f>IFERROR(_xlfn.XLOOKUP(BASE_DE_NOMES[[#This Row],[Nome]],'Folha Rainha'!B:B,'Folha Rainha'!E:E)," ")</f>
        <v xml:space="preserve"> </v>
      </c>
      <c r="G109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09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09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09" s="4">
        <f>BASE_DE_NOMES[[#This Row],[C.CHEQUE]]-BASE_DE_NOMES[[#This Row],[FALTAS]]-BASE_DE_NOMES[[#This Row],[DESCONTO ]]</f>
        <v>0</v>
      </c>
      <c r="K109">
        <f>SUMIF(GRATIFICAÇÃO!A:A,BASE_DE_NOMES[[#This Row],[Nome]],GRATIFICAÇÃO!F:F)</f>
        <v>0</v>
      </c>
      <c r="L109">
        <f>SUMIF(PG!A:A,BASE_DE_NOMES[[#This Row],[Nome]],PG!E:E)</f>
        <v>0</v>
      </c>
      <c r="M109">
        <f>SUMIFS('Folha Rainha'!G:G,'Folha Rainha'!B:B,BASE_DE_NOMES[[#This Row],[Nome]],'Folha Rainha'!F:F,"*Quebra*",'Folha Rainha'!F:F,"*QUEBRA*")</f>
        <v>0</v>
      </c>
      <c r="N109">
        <f>SUMIFS('Folha Rainha'!G:G,'Folha Rainha'!B:B,BASE_DE_NOMES[[#This Row],[Nome]],'Folha Rainha'!F:F,"ADC. ANTIGUIDADE")</f>
        <v>0</v>
      </c>
      <c r="O109">
        <f>SUMIFS('Folha Rainha'!G:G,'Folha Rainha'!B:B,BASE_DE_NOMES[[#This Row],[Nome]],'Folha Rainha'!F:F,"*Trienio*")</f>
        <v>0</v>
      </c>
      <c r="P109">
        <f>SUMIFS('Folha Rainha'!G:G,'Folha Rainha'!B:B,BASE_DE_NOMES[[#This Row],[Nome]],'Folha Rainha'!F:F,"*TAXA*")</f>
        <v>0</v>
      </c>
      <c r="Q109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09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09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09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09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09">
        <f>BASE_DE_NOMES[[#This Row],[BOLSA DE AUXILIO]]+BASE_DE_NOMES[[#This Row],[VALE TRANSP]]+BASE_DE_NOMES[[#This Row],[PLANO DE SAUDE]]-BASE_DE_NOMES[[#This Row],[DESCONTOS]]</f>
        <v>0</v>
      </c>
      <c r="W109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09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09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09">
        <f>BASE_DE_NOMES[[#This Row],[PAGAMENTOS]]+BASE_DE_NOMES[[#This Row],[GRATIFICAÇÃO]]</f>
        <v>0</v>
      </c>
      <c r="AA109" s="4">
        <f>_xlfn.XLOOKUP(BASE_DE_NOMES[[#This Row],[NOME2]],Planilha1!C:C,Planilha1!D:D)*Y109</f>
        <v>0</v>
      </c>
      <c r="AB109" s="4">
        <f>BASE_DE_NOMES[[#This Row],[IMPOSTOS]]+BASE_DE_NOMES[[#This Row],[SALARIO BASE]]+BASE_DE_NOMES[[#This Row],[FAMILIA]]</f>
        <v>0</v>
      </c>
      <c r="AC109" t="str">
        <f>_xlfn.XLOOKUP(BASE_DE_NOMES[[#This Row],[Razão Social]],Planilha1!B:B,Planilha1!C:C)</f>
        <v>AVANTE</v>
      </c>
      <c r="AD109" t="str">
        <f>_xlfn.XLOOKUP(BASE_DE_NOMES[[#This Row],[Alocações]],Planilha1!B:B,Planilha1!C:C)</f>
        <v>AVANTE</v>
      </c>
    </row>
    <row r="110" spans="1:30" x14ac:dyDescent="0.25">
      <c r="A110" t="s">
        <v>247</v>
      </c>
      <c r="B110" t="s">
        <v>213</v>
      </c>
      <c r="C110" t="s">
        <v>326</v>
      </c>
      <c r="D110" t="s">
        <v>252</v>
      </c>
      <c r="E110" s="1">
        <f>IFERROR(_xlfn.XLOOKUP(BASE_DE_NOMES[[#This Row],[Nome]],'Folha Rainha'!B:B,'Folha Rainha'!D:D),0)</f>
        <v>44774</v>
      </c>
      <c r="F110" t="str">
        <f>IFERROR(_xlfn.XLOOKUP(BASE_DE_NOMES[[#This Row],[Nome]],'Folha Rainha'!B:B,'Folha Rainha'!E:E)," ")</f>
        <v>Trabalhando</v>
      </c>
      <c r="G110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110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10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10" s="4">
        <f>BASE_DE_NOMES[[#This Row],[C.CHEQUE]]-BASE_DE_NOMES[[#This Row],[FALTAS]]-BASE_DE_NOMES[[#This Row],[DESCONTO ]]</f>
        <v>1518</v>
      </c>
      <c r="K110">
        <f>SUMIF(GRATIFICAÇÃO!A:A,BASE_DE_NOMES[[#This Row],[Nome]],GRATIFICAÇÃO!F:F)</f>
        <v>0</v>
      </c>
      <c r="L110">
        <f>SUMIF(PG!A:A,BASE_DE_NOMES[[#This Row],[Nome]],PG!E:E)</f>
        <v>0</v>
      </c>
      <c r="M110">
        <f>SUMIFS('Folha Rainha'!G:G,'Folha Rainha'!B:B,BASE_DE_NOMES[[#This Row],[Nome]],'Folha Rainha'!F:F,"*Quebra*",'Folha Rainha'!F:F,"*QUEBRA*")</f>
        <v>0</v>
      </c>
      <c r="N110">
        <f>SUMIFS('Folha Rainha'!G:G,'Folha Rainha'!B:B,BASE_DE_NOMES[[#This Row],[Nome]],'Folha Rainha'!F:F,"ADC. ANTIGUIDADE")</f>
        <v>0</v>
      </c>
      <c r="O110">
        <f>SUMIFS('Folha Rainha'!G:G,'Folha Rainha'!B:B,BASE_DE_NOMES[[#This Row],[Nome]],'Folha Rainha'!F:F,"*Trienio*")</f>
        <v>0</v>
      </c>
      <c r="P110">
        <f>SUMIFS('Folha Rainha'!G:G,'Folha Rainha'!B:B,BASE_DE_NOMES[[#This Row],[Nome]],'Folha Rainha'!F:F,"*TAXA*")</f>
        <v>0</v>
      </c>
      <c r="Q110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10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10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10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10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10">
        <f>BASE_DE_NOMES[[#This Row],[BOLSA DE AUXILIO]]+BASE_DE_NOMES[[#This Row],[VALE TRANSP]]+BASE_DE_NOMES[[#This Row],[PLANO DE SAUDE]]-BASE_DE_NOMES[[#This Row],[DESCONTOS]]</f>
        <v>0</v>
      </c>
      <c r="W110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10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10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110">
        <f>BASE_DE_NOMES[[#This Row],[PAGAMENTOS]]+BASE_DE_NOMES[[#This Row],[GRATIFICAÇÃO]]</f>
        <v>0</v>
      </c>
      <c r="AA110" s="4">
        <f>_xlfn.XLOOKUP(BASE_DE_NOMES[[#This Row],[NOME2]],Planilha1!C:C,Planilha1!D:D)*Y110</f>
        <v>303.60000000000002</v>
      </c>
      <c r="AB110" s="4">
        <f>BASE_DE_NOMES[[#This Row],[IMPOSTOS]]+BASE_DE_NOMES[[#This Row],[SALARIO BASE]]+BASE_DE_NOMES[[#This Row],[FAMILIA]]</f>
        <v>1821.6</v>
      </c>
      <c r="AC110" t="str">
        <f>_xlfn.XLOOKUP(BASE_DE_NOMES[[#This Row],[Razão Social]],Planilha1!B:B,Planilha1!C:C)</f>
        <v>VALE XEL</v>
      </c>
      <c r="AD110" t="str">
        <f>_xlfn.XLOOKUP(BASE_DE_NOMES[[#This Row],[Alocações]],Planilha1!B:B,Planilha1!C:C)</f>
        <v>FABRICA</v>
      </c>
    </row>
    <row r="111" spans="1:30" x14ac:dyDescent="0.25">
      <c r="A111" t="s">
        <v>575</v>
      </c>
      <c r="B111" t="s">
        <v>407</v>
      </c>
      <c r="C111" t="s">
        <v>252</v>
      </c>
      <c r="D111" t="s">
        <v>252</v>
      </c>
      <c r="E111" s="1">
        <f>IFERROR(_xlfn.XLOOKUP(BASE_DE_NOMES[[#This Row],[Nome]],'Folha Rainha'!B:B,'Folha Rainha'!D:D),0)</f>
        <v>45748</v>
      </c>
      <c r="F111" t="str">
        <f>IFERROR(_xlfn.XLOOKUP(BASE_DE_NOMES[[#This Row],[Nome]],'Folha Rainha'!B:B,'Folha Rainha'!E:E)," ")</f>
        <v>Trabalhando</v>
      </c>
      <c r="G111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111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11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11" s="4">
        <f>BASE_DE_NOMES[[#This Row],[C.CHEQUE]]-BASE_DE_NOMES[[#This Row],[FALTAS]]-BASE_DE_NOMES[[#This Row],[DESCONTO ]]</f>
        <v>1518</v>
      </c>
      <c r="K111">
        <f>SUMIF(GRATIFICAÇÃO!A:A,BASE_DE_NOMES[[#This Row],[Nome]],GRATIFICAÇÃO!F:F)</f>
        <v>0</v>
      </c>
      <c r="L111">
        <f>SUMIF(PG!A:A,BASE_DE_NOMES[[#This Row],[Nome]],PG!E:E)</f>
        <v>0</v>
      </c>
      <c r="M111">
        <f>SUMIFS('Folha Rainha'!G:G,'Folha Rainha'!B:B,BASE_DE_NOMES[[#This Row],[Nome]],'Folha Rainha'!F:F,"*Quebra*",'Folha Rainha'!F:F,"*QUEBRA*")</f>
        <v>0</v>
      </c>
      <c r="N111">
        <f>SUMIFS('Folha Rainha'!G:G,'Folha Rainha'!B:B,BASE_DE_NOMES[[#This Row],[Nome]],'Folha Rainha'!F:F,"ADC. ANTIGUIDADE")</f>
        <v>0</v>
      </c>
      <c r="O111">
        <f>SUMIFS('Folha Rainha'!G:G,'Folha Rainha'!B:B,BASE_DE_NOMES[[#This Row],[Nome]],'Folha Rainha'!F:F,"*Trienio*")</f>
        <v>0</v>
      </c>
      <c r="P111">
        <f>SUMIFS('Folha Rainha'!G:G,'Folha Rainha'!B:B,BASE_DE_NOMES[[#This Row],[Nome]],'Folha Rainha'!F:F,"*TAXA*")</f>
        <v>0</v>
      </c>
      <c r="Q111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11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11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11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11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11">
        <f>BASE_DE_NOMES[[#This Row],[BOLSA DE AUXILIO]]+BASE_DE_NOMES[[#This Row],[VALE TRANSP]]+BASE_DE_NOMES[[#This Row],[PLANO DE SAUDE]]-BASE_DE_NOMES[[#This Row],[DESCONTOS]]</f>
        <v>0</v>
      </c>
      <c r="W111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11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11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111">
        <f>BASE_DE_NOMES[[#This Row],[PAGAMENTOS]]+BASE_DE_NOMES[[#This Row],[GRATIFICAÇÃO]]</f>
        <v>0</v>
      </c>
      <c r="AA111" s="4">
        <f>_xlfn.XLOOKUP(BASE_DE_NOMES[[#This Row],[NOME2]],Planilha1!C:C,Planilha1!D:D)*Y111</f>
        <v>764.00939999999991</v>
      </c>
      <c r="AB111" s="4">
        <f>BASE_DE_NOMES[[#This Row],[IMPOSTOS]]+BASE_DE_NOMES[[#This Row],[SALARIO BASE]]+BASE_DE_NOMES[[#This Row],[FAMILIA]]</f>
        <v>2282.0093999999999</v>
      </c>
      <c r="AC111" t="str">
        <f>_xlfn.XLOOKUP(BASE_DE_NOMES[[#This Row],[Razão Social]],Planilha1!B:B,Planilha1!C:C)</f>
        <v>FABRICA</v>
      </c>
      <c r="AD111" t="str">
        <f>_xlfn.XLOOKUP(BASE_DE_NOMES[[#This Row],[Alocações]],Planilha1!B:B,Planilha1!C:C)</f>
        <v>FABRICA</v>
      </c>
    </row>
    <row r="112" spans="1:30" x14ac:dyDescent="0.25">
      <c r="A112" t="s">
        <v>680</v>
      </c>
      <c r="B112" t="s">
        <v>213</v>
      </c>
      <c r="C112" t="s">
        <v>252</v>
      </c>
      <c r="D112" t="s">
        <v>252</v>
      </c>
      <c r="E112" s="1">
        <f>IFERROR(_xlfn.XLOOKUP(BASE_DE_NOMES[[#This Row],[Nome]],'Folha Rainha'!B:B,'Folha Rainha'!D:D),0)</f>
        <v>0</v>
      </c>
      <c r="F112" t="str">
        <f>IFERROR(_xlfn.XLOOKUP(BASE_DE_NOMES[[#This Row],[Nome]],'Folha Rainha'!B:B,'Folha Rainha'!E:E)," ")</f>
        <v xml:space="preserve"> </v>
      </c>
      <c r="G112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12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12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12" s="4">
        <f>BASE_DE_NOMES[[#This Row],[C.CHEQUE]]-BASE_DE_NOMES[[#This Row],[FALTAS]]-BASE_DE_NOMES[[#This Row],[DESCONTO ]]</f>
        <v>0</v>
      </c>
      <c r="K112">
        <f>SUMIF(GRATIFICAÇÃO!A:A,BASE_DE_NOMES[[#This Row],[Nome]],GRATIFICAÇÃO!F:F)</f>
        <v>0</v>
      </c>
      <c r="L112">
        <f>SUMIF(PG!A:A,BASE_DE_NOMES[[#This Row],[Nome]],PG!E:E)</f>
        <v>0</v>
      </c>
      <c r="M112">
        <f>SUMIFS('Folha Rainha'!G:G,'Folha Rainha'!B:B,BASE_DE_NOMES[[#This Row],[Nome]],'Folha Rainha'!F:F,"*Quebra*",'Folha Rainha'!F:F,"*QUEBRA*")</f>
        <v>0</v>
      </c>
      <c r="N112">
        <f>SUMIFS('Folha Rainha'!G:G,'Folha Rainha'!B:B,BASE_DE_NOMES[[#This Row],[Nome]],'Folha Rainha'!F:F,"ADC. ANTIGUIDADE")</f>
        <v>0</v>
      </c>
      <c r="O112">
        <f>SUMIFS('Folha Rainha'!G:G,'Folha Rainha'!B:B,BASE_DE_NOMES[[#This Row],[Nome]],'Folha Rainha'!F:F,"*Trienio*")</f>
        <v>0</v>
      </c>
      <c r="P112">
        <f>SUMIFS('Folha Rainha'!G:G,'Folha Rainha'!B:B,BASE_DE_NOMES[[#This Row],[Nome]],'Folha Rainha'!F:F,"*TAXA*")</f>
        <v>0</v>
      </c>
      <c r="Q112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12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12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12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12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12">
        <f>BASE_DE_NOMES[[#This Row],[BOLSA DE AUXILIO]]+BASE_DE_NOMES[[#This Row],[VALE TRANSP]]+BASE_DE_NOMES[[#This Row],[PLANO DE SAUDE]]-BASE_DE_NOMES[[#This Row],[DESCONTOS]]</f>
        <v>0</v>
      </c>
      <c r="W112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12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12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12">
        <f>BASE_DE_NOMES[[#This Row],[PAGAMENTOS]]+BASE_DE_NOMES[[#This Row],[GRATIFICAÇÃO]]</f>
        <v>0</v>
      </c>
      <c r="AA112" s="4">
        <f>_xlfn.XLOOKUP(BASE_DE_NOMES[[#This Row],[NOME2]],Planilha1!C:C,Planilha1!D:D)*Y112</f>
        <v>0</v>
      </c>
      <c r="AB112" s="4">
        <f>BASE_DE_NOMES[[#This Row],[IMPOSTOS]]+BASE_DE_NOMES[[#This Row],[SALARIO BASE]]+BASE_DE_NOMES[[#This Row],[FAMILIA]]</f>
        <v>0</v>
      </c>
      <c r="AC112" t="str">
        <f>_xlfn.XLOOKUP(BASE_DE_NOMES[[#This Row],[Razão Social]],Planilha1!B:B,Planilha1!C:C)</f>
        <v>FABRICA</v>
      </c>
      <c r="AD112" t="str">
        <f>_xlfn.XLOOKUP(BASE_DE_NOMES[[#This Row],[Alocações]],Planilha1!B:B,Planilha1!C:C)</f>
        <v>FABRICA</v>
      </c>
    </row>
    <row r="113" spans="1:30" x14ac:dyDescent="0.25">
      <c r="A113" t="s">
        <v>181</v>
      </c>
      <c r="B113" t="s">
        <v>681</v>
      </c>
      <c r="C113" t="s">
        <v>556</v>
      </c>
      <c r="D113" t="s">
        <v>556</v>
      </c>
      <c r="E113" s="1">
        <f>IFERROR(_xlfn.XLOOKUP(BASE_DE_NOMES[[#This Row],[Nome]],'Folha Rainha'!B:B,'Folha Rainha'!D:D),0)</f>
        <v>40210</v>
      </c>
      <c r="F113" t="str">
        <f>IFERROR(_xlfn.XLOOKUP(BASE_DE_NOMES[[#This Row],[Nome]],'Folha Rainha'!B:B,'Folha Rainha'!E:E)," ")</f>
        <v>Trabalhando</v>
      </c>
      <c r="G113" s="4">
        <f>SUMIFS('Folha Rainha'!G:G,'Folha Rainha'!B:B,BASE_DE_NOMES[[#This Row],[Nome]],'Folha Rainha'!F:F,"Salário Base")+SUMIFS('Folha Rainha'!G:G,'Folha Rainha'!B:B,BASE_DE_NOMES[[#This Row],[Nome]],'Folha Rainha'!F:F,"Salário:")</f>
        <v>2321</v>
      </c>
      <c r="H113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13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13" s="4">
        <f>BASE_DE_NOMES[[#This Row],[C.CHEQUE]]-BASE_DE_NOMES[[#This Row],[FALTAS]]-BASE_DE_NOMES[[#This Row],[DESCONTO ]]</f>
        <v>2321</v>
      </c>
      <c r="K113">
        <f>SUMIF(GRATIFICAÇÃO!A:A,BASE_DE_NOMES[[#This Row],[Nome]],GRATIFICAÇÃO!F:F)</f>
        <v>0</v>
      </c>
      <c r="L113">
        <f>SUMIF(PG!A:A,BASE_DE_NOMES[[#This Row],[Nome]],PG!E:E)</f>
        <v>0</v>
      </c>
      <c r="M113">
        <f>SUMIFS('Folha Rainha'!G:G,'Folha Rainha'!B:B,BASE_DE_NOMES[[#This Row],[Nome]],'Folha Rainha'!F:F,"*Quebra*",'Folha Rainha'!F:F,"*QUEBRA*")</f>
        <v>0</v>
      </c>
      <c r="N113">
        <f>SUMIFS('Folha Rainha'!G:G,'Folha Rainha'!B:B,BASE_DE_NOMES[[#This Row],[Nome]],'Folha Rainha'!F:F,"ADC. ANTIGUIDADE")</f>
        <v>0</v>
      </c>
      <c r="O113">
        <f>SUMIFS('Folha Rainha'!G:G,'Folha Rainha'!B:B,BASE_DE_NOMES[[#This Row],[Nome]],'Folha Rainha'!F:F,"*Trienio*")</f>
        <v>348.15</v>
      </c>
      <c r="P113">
        <f>SUMIFS('Folha Rainha'!G:G,'Folha Rainha'!B:B,BASE_DE_NOMES[[#This Row],[Nome]],'Folha Rainha'!F:F,"*TAXA*")</f>
        <v>0</v>
      </c>
      <c r="Q113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13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13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13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13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13">
        <f>BASE_DE_NOMES[[#This Row],[BOLSA DE AUXILIO]]+BASE_DE_NOMES[[#This Row],[VALE TRANSP]]+BASE_DE_NOMES[[#This Row],[PLANO DE SAUDE]]-BASE_DE_NOMES[[#This Row],[DESCONTOS]]</f>
        <v>0</v>
      </c>
      <c r="W113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13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13" s="4">
        <f>BASE_DE_NOMES[[#This Row],[TOTAL DE C.CHEQUE]]+BASE_DE_NOMES[[#This Row],[TOTAL DE QUEBRA]]+BASE_DE_NOMES[[#This Row],[ADC. ANTIGUIDADE]]+BASE_DE_NOMES[[#This Row],[TOTAL DE TRIENIO]]+BASE_DE_NOMES[[#This Row],[CCT]]</f>
        <v>2669.15</v>
      </c>
      <c r="Z113">
        <f>BASE_DE_NOMES[[#This Row],[PAGAMENTOS]]+BASE_DE_NOMES[[#This Row],[GRATIFICAÇÃO]]</f>
        <v>0</v>
      </c>
      <c r="AA113" s="4">
        <f>_xlfn.XLOOKUP(BASE_DE_NOMES[[#This Row],[NOME2]],Planilha1!C:C,Planilha1!D:D)*Y113</f>
        <v>1343.3831949999999</v>
      </c>
      <c r="AB113" s="4">
        <f>BASE_DE_NOMES[[#This Row],[IMPOSTOS]]+BASE_DE_NOMES[[#This Row],[SALARIO BASE]]+BASE_DE_NOMES[[#This Row],[FAMILIA]]</f>
        <v>4012.533195</v>
      </c>
      <c r="AC113" t="str">
        <f>_xlfn.XLOOKUP(BASE_DE_NOMES[[#This Row],[Razão Social]],Planilha1!B:B,Planilha1!C:C)</f>
        <v>SR PASSOS</v>
      </c>
      <c r="AD113" t="str">
        <f>_xlfn.XLOOKUP(BASE_DE_NOMES[[#This Row],[Alocações]],Planilha1!B:B,Planilha1!C:C)</f>
        <v>SR PASSOS</v>
      </c>
    </row>
    <row r="114" spans="1:30" x14ac:dyDescent="0.25">
      <c r="A114" t="s">
        <v>682</v>
      </c>
      <c r="B114" t="s">
        <v>213</v>
      </c>
      <c r="C114" t="s">
        <v>326</v>
      </c>
      <c r="D114" t="s">
        <v>252</v>
      </c>
      <c r="E114" s="1">
        <f>IFERROR(_xlfn.XLOOKUP(BASE_DE_NOMES[[#This Row],[Nome]],'Folha Rainha'!B:B,'Folha Rainha'!D:D),0)</f>
        <v>0</v>
      </c>
      <c r="F114" t="str">
        <f>IFERROR(_xlfn.XLOOKUP(BASE_DE_NOMES[[#This Row],[Nome]],'Folha Rainha'!B:B,'Folha Rainha'!E:E)," ")</f>
        <v xml:space="preserve"> </v>
      </c>
      <c r="G114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14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14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14" s="4">
        <f>BASE_DE_NOMES[[#This Row],[C.CHEQUE]]-BASE_DE_NOMES[[#This Row],[FALTAS]]-BASE_DE_NOMES[[#This Row],[DESCONTO ]]</f>
        <v>0</v>
      </c>
      <c r="K114">
        <f>SUMIF(GRATIFICAÇÃO!A:A,BASE_DE_NOMES[[#This Row],[Nome]],GRATIFICAÇÃO!F:F)</f>
        <v>0</v>
      </c>
      <c r="L114">
        <f>SUMIF(PG!A:A,BASE_DE_NOMES[[#This Row],[Nome]],PG!E:E)</f>
        <v>0</v>
      </c>
      <c r="M114">
        <f>SUMIFS('Folha Rainha'!G:G,'Folha Rainha'!B:B,BASE_DE_NOMES[[#This Row],[Nome]],'Folha Rainha'!F:F,"*Quebra*",'Folha Rainha'!F:F,"*QUEBRA*")</f>
        <v>0</v>
      </c>
      <c r="N114">
        <f>SUMIFS('Folha Rainha'!G:G,'Folha Rainha'!B:B,BASE_DE_NOMES[[#This Row],[Nome]],'Folha Rainha'!F:F,"ADC. ANTIGUIDADE")</f>
        <v>0</v>
      </c>
      <c r="O114">
        <f>SUMIFS('Folha Rainha'!G:G,'Folha Rainha'!B:B,BASE_DE_NOMES[[#This Row],[Nome]],'Folha Rainha'!F:F,"*Trienio*")</f>
        <v>0</v>
      </c>
      <c r="P114">
        <f>SUMIFS('Folha Rainha'!G:G,'Folha Rainha'!B:B,BASE_DE_NOMES[[#This Row],[Nome]],'Folha Rainha'!F:F,"*TAXA*")</f>
        <v>0</v>
      </c>
      <c r="Q114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14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14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14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14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14">
        <f>BASE_DE_NOMES[[#This Row],[BOLSA DE AUXILIO]]+BASE_DE_NOMES[[#This Row],[VALE TRANSP]]+BASE_DE_NOMES[[#This Row],[PLANO DE SAUDE]]-BASE_DE_NOMES[[#This Row],[DESCONTOS]]</f>
        <v>0</v>
      </c>
      <c r="W114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14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14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14">
        <f>BASE_DE_NOMES[[#This Row],[PAGAMENTOS]]+BASE_DE_NOMES[[#This Row],[GRATIFICAÇÃO]]</f>
        <v>0</v>
      </c>
      <c r="AA114" s="4">
        <f>_xlfn.XLOOKUP(BASE_DE_NOMES[[#This Row],[NOME2]],Planilha1!C:C,Planilha1!D:D)*Y114</f>
        <v>0</v>
      </c>
      <c r="AB114" s="4">
        <f>BASE_DE_NOMES[[#This Row],[IMPOSTOS]]+BASE_DE_NOMES[[#This Row],[SALARIO BASE]]+BASE_DE_NOMES[[#This Row],[FAMILIA]]</f>
        <v>0</v>
      </c>
      <c r="AC114" t="str">
        <f>_xlfn.XLOOKUP(BASE_DE_NOMES[[#This Row],[Razão Social]],Planilha1!B:B,Planilha1!C:C)</f>
        <v>VALE XEL</v>
      </c>
      <c r="AD114" t="str">
        <f>_xlfn.XLOOKUP(BASE_DE_NOMES[[#This Row],[Alocações]],Planilha1!B:B,Planilha1!C:C)</f>
        <v>FABRICA</v>
      </c>
    </row>
    <row r="115" spans="1:30" x14ac:dyDescent="0.25">
      <c r="A115" t="s">
        <v>541</v>
      </c>
      <c r="B115" t="s">
        <v>213</v>
      </c>
      <c r="C115" t="s">
        <v>252</v>
      </c>
      <c r="D115" t="s">
        <v>252</v>
      </c>
      <c r="E115" s="1">
        <f>IFERROR(_xlfn.XLOOKUP(BASE_DE_NOMES[[#This Row],[Nome]],'Folha Rainha'!B:B,'Folha Rainha'!D:D),0)</f>
        <v>45444</v>
      </c>
      <c r="F115" t="str">
        <f>IFERROR(_xlfn.XLOOKUP(BASE_DE_NOMES[[#This Row],[Nome]],'Folha Rainha'!B:B,'Folha Rainha'!E:E)," ")</f>
        <v>Trabalhando</v>
      </c>
      <c r="G115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115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15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15" s="4">
        <f>BASE_DE_NOMES[[#This Row],[C.CHEQUE]]-BASE_DE_NOMES[[#This Row],[FALTAS]]-BASE_DE_NOMES[[#This Row],[DESCONTO ]]</f>
        <v>1518</v>
      </c>
      <c r="K115">
        <f>SUMIF(GRATIFICAÇÃO!A:A,BASE_DE_NOMES[[#This Row],[Nome]],GRATIFICAÇÃO!F:F)</f>
        <v>0</v>
      </c>
      <c r="L115">
        <f>SUMIF(PG!A:A,BASE_DE_NOMES[[#This Row],[Nome]],PG!E:E)</f>
        <v>0</v>
      </c>
      <c r="M115">
        <f>SUMIFS('Folha Rainha'!G:G,'Folha Rainha'!B:B,BASE_DE_NOMES[[#This Row],[Nome]],'Folha Rainha'!F:F,"*Quebra*",'Folha Rainha'!F:F,"*QUEBRA*")</f>
        <v>0</v>
      </c>
      <c r="N115">
        <f>SUMIFS('Folha Rainha'!G:G,'Folha Rainha'!B:B,BASE_DE_NOMES[[#This Row],[Nome]],'Folha Rainha'!F:F,"ADC. ANTIGUIDADE")</f>
        <v>0</v>
      </c>
      <c r="O115">
        <f>SUMIFS('Folha Rainha'!G:G,'Folha Rainha'!B:B,BASE_DE_NOMES[[#This Row],[Nome]],'Folha Rainha'!F:F,"*Trienio*")</f>
        <v>0</v>
      </c>
      <c r="P115">
        <f>SUMIFS('Folha Rainha'!G:G,'Folha Rainha'!B:B,BASE_DE_NOMES[[#This Row],[Nome]],'Folha Rainha'!F:F,"*TAXA*")</f>
        <v>0</v>
      </c>
      <c r="Q115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15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15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15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15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15">
        <f>BASE_DE_NOMES[[#This Row],[BOLSA DE AUXILIO]]+BASE_DE_NOMES[[#This Row],[VALE TRANSP]]+BASE_DE_NOMES[[#This Row],[PLANO DE SAUDE]]-BASE_DE_NOMES[[#This Row],[DESCONTOS]]</f>
        <v>0</v>
      </c>
      <c r="W115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15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15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115">
        <f>BASE_DE_NOMES[[#This Row],[PAGAMENTOS]]+BASE_DE_NOMES[[#This Row],[GRATIFICAÇÃO]]</f>
        <v>0</v>
      </c>
      <c r="AA115" s="4">
        <f>_xlfn.XLOOKUP(BASE_DE_NOMES[[#This Row],[NOME2]],Planilha1!C:C,Planilha1!D:D)*Y115</f>
        <v>764.00939999999991</v>
      </c>
      <c r="AB115" s="4">
        <f>BASE_DE_NOMES[[#This Row],[IMPOSTOS]]+BASE_DE_NOMES[[#This Row],[SALARIO BASE]]+BASE_DE_NOMES[[#This Row],[FAMILIA]]</f>
        <v>2282.0093999999999</v>
      </c>
      <c r="AC115" t="str">
        <f>_xlfn.XLOOKUP(BASE_DE_NOMES[[#This Row],[Razão Social]],Planilha1!B:B,Planilha1!C:C)</f>
        <v>FABRICA</v>
      </c>
      <c r="AD115" t="str">
        <f>_xlfn.XLOOKUP(BASE_DE_NOMES[[#This Row],[Alocações]],Planilha1!B:B,Planilha1!C:C)</f>
        <v>FABRICA</v>
      </c>
    </row>
    <row r="116" spans="1:30" x14ac:dyDescent="0.25">
      <c r="A116" t="s">
        <v>683</v>
      </c>
      <c r="B116" t="s">
        <v>681</v>
      </c>
      <c r="C116" t="s">
        <v>228</v>
      </c>
      <c r="D116" t="s">
        <v>556</v>
      </c>
      <c r="E116" s="1">
        <f>IFERROR(_xlfn.XLOOKUP(BASE_DE_NOMES[[#This Row],[Nome]],'Folha Rainha'!B:B,'Folha Rainha'!D:D),0)</f>
        <v>0</v>
      </c>
      <c r="F116" t="str">
        <f>IFERROR(_xlfn.XLOOKUP(BASE_DE_NOMES[[#This Row],[Nome]],'Folha Rainha'!B:B,'Folha Rainha'!E:E)," ")</f>
        <v xml:space="preserve"> </v>
      </c>
      <c r="G116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16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16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16" s="4">
        <f>BASE_DE_NOMES[[#This Row],[C.CHEQUE]]-BASE_DE_NOMES[[#This Row],[FALTAS]]-BASE_DE_NOMES[[#This Row],[DESCONTO ]]</f>
        <v>0</v>
      </c>
      <c r="K116">
        <f>SUMIF(GRATIFICAÇÃO!A:A,BASE_DE_NOMES[[#This Row],[Nome]],GRATIFICAÇÃO!F:F)</f>
        <v>0</v>
      </c>
      <c r="L116">
        <f>SUMIF(PG!A:A,BASE_DE_NOMES[[#This Row],[Nome]],PG!E:E)</f>
        <v>0</v>
      </c>
      <c r="M116">
        <f>SUMIFS('Folha Rainha'!G:G,'Folha Rainha'!B:B,BASE_DE_NOMES[[#This Row],[Nome]],'Folha Rainha'!F:F,"*Quebra*",'Folha Rainha'!F:F,"*QUEBRA*")</f>
        <v>0</v>
      </c>
      <c r="N116">
        <f>SUMIFS('Folha Rainha'!G:G,'Folha Rainha'!B:B,BASE_DE_NOMES[[#This Row],[Nome]],'Folha Rainha'!F:F,"ADC. ANTIGUIDADE")</f>
        <v>0</v>
      </c>
      <c r="O116">
        <f>SUMIFS('Folha Rainha'!G:G,'Folha Rainha'!B:B,BASE_DE_NOMES[[#This Row],[Nome]],'Folha Rainha'!F:F,"*Trienio*")</f>
        <v>0</v>
      </c>
      <c r="P116">
        <f>SUMIFS('Folha Rainha'!G:G,'Folha Rainha'!B:B,BASE_DE_NOMES[[#This Row],[Nome]],'Folha Rainha'!F:F,"*TAXA*")</f>
        <v>0</v>
      </c>
      <c r="Q116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16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16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16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16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16">
        <f>BASE_DE_NOMES[[#This Row],[BOLSA DE AUXILIO]]+BASE_DE_NOMES[[#This Row],[VALE TRANSP]]+BASE_DE_NOMES[[#This Row],[PLANO DE SAUDE]]-BASE_DE_NOMES[[#This Row],[DESCONTOS]]</f>
        <v>0</v>
      </c>
      <c r="W116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16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16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16">
        <f>BASE_DE_NOMES[[#This Row],[PAGAMENTOS]]+BASE_DE_NOMES[[#This Row],[GRATIFICAÇÃO]]</f>
        <v>0</v>
      </c>
      <c r="AA116" s="4">
        <f>_xlfn.XLOOKUP(BASE_DE_NOMES[[#This Row],[NOME2]],Planilha1!C:C,Planilha1!D:D)*Y116</f>
        <v>0</v>
      </c>
      <c r="AB116" s="4">
        <f>BASE_DE_NOMES[[#This Row],[IMPOSTOS]]+BASE_DE_NOMES[[#This Row],[SALARIO BASE]]+BASE_DE_NOMES[[#This Row],[FAMILIA]]</f>
        <v>0</v>
      </c>
      <c r="AC116" t="str">
        <f>_xlfn.XLOOKUP(BASE_DE_NOMES[[#This Row],[Razão Social]],Planilha1!B:B,Planilha1!C:C)</f>
        <v>GENESIS</v>
      </c>
      <c r="AD116" t="str">
        <f>_xlfn.XLOOKUP(BASE_DE_NOMES[[#This Row],[Alocações]],Planilha1!B:B,Planilha1!C:C)</f>
        <v>SR PASSOS</v>
      </c>
    </row>
    <row r="117" spans="1:30" x14ac:dyDescent="0.25">
      <c r="A117" t="s">
        <v>535</v>
      </c>
      <c r="B117" t="s">
        <v>213</v>
      </c>
      <c r="C117" t="s">
        <v>252</v>
      </c>
      <c r="D117" t="s">
        <v>252</v>
      </c>
      <c r="E117" s="1">
        <f>IFERROR(_xlfn.XLOOKUP(BASE_DE_NOMES[[#This Row],[Nome]],'Folha Rainha'!B:B,'Folha Rainha'!D:D),0)</f>
        <v>45390</v>
      </c>
      <c r="F117" t="str">
        <f>IFERROR(_xlfn.XLOOKUP(BASE_DE_NOMES[[#This Row],[Nome]],'Folha Rainha'!B:B,'Folha Rainha'!E:E)," ")</f>
        <v>Trabalhando</v>
      </c>
      <c r="G117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117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17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17" s="4">
        <f>BASE_DE_NOMES[[#This Row],[C.CHEQUE]]-BASE_DE_NOMES[[#This Row],[FALTAS]]-BASE_DE_NOMES[[#This Row],[DESCONTO ]]</f>
        <v>1518</v>
      </c>
      <c r="K117">
        <f>SUMIF(GRATIFICAÇÃO!A:A,BASE_DE_NOMES[[#This Row],[Nome]],GRATIFICAÇÃO!F:F)</f>
        <v>0</v>
      </c>
      <c r="L117">
        <f>SUMIF(PG!A:A,BASE_DE_NOMES[[#This Row],[Nome]],PG!E:E)</f>
        <v>0</v>
      </c>
      <c r="M117">
        <f>SUMIFS('Folha Rainha'!G:G,'Folha Rainha'!B:B,BASE_DE_NOMES[[#This Row],[Nome]],'Folha Rainha'!F:F,"*Quebra*",'Folha Rainha'!F:F,"*QUEBRA*")</f>
        <v>0</v>
      </c>
      <c r="N117">
        <f>SUMIFS('Folha Rainha'!G:G,'Folha Rainha'!B:B,BASE_DE_NOMES[[#This Row],[Nome]],'Folha Rainha'!F:F,"ADC. ANTIGUIDADE")</f>
        <v>0</v>
      </c>
      <c r="O117">
        <f>SUMIFS('Folha Rainha'!G:G,'Folha Rainha'!B:B,BASE_DE_NOMES[[#This Row],[Nome]],'Folha Rainha'!F:F,"*Trienio*")</f>
        <v>0</v>
      </c>
      <c r="P117">
        <f>SUMIFS('Folha Rainha'!G:G,'Folha Rainha'!B:B,BASE_DE_NOMES[[#This Row],[Nome]],'Folha Rainha'!F:F,"*TAXA*")</f>
        <v>0</v>
      </c>
      <c r="Q117" s="4">
        <f>SUMIFS('Folha Rainha'!G:G,'Folha Rainha'!B:B,BASE_DE_NOMES[[#This Row],[Nome]],'Folha Rainha'!F:F,"SALARIO FAMILIA")+SUMIFS('Folha Rainha'!G:G,'Folha Rainha'!B:B,BASE_DE_NOMES[[#This Row],[Nome]],'Folha Rainha'!F:F,"Salário Família")</f>
        <v>65</v>
      </c>
      <c r="R117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17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17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17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17">
        <f>BASE_DE_NOMES[[#This Row],[BOLSA DE AUXILIO]]+BASE_DE_NOMES[[#This Row],[VALE TRANSP]]+BASE_DE_NOMES[[#This Row],[PLANO DE SAUDE]]-BASE_DE_NOMES[[#This Row],[DESCONTOS]]</f>
        <v>0</v>
      </c>
      <c r="W117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17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17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117">
        <f>BASE_DE_NOMES[[#This Row],[PAGAMENTOS]]+BASE_DE_NOMES[[#This Row],[GRATIFICAÇÃO]]</f>
        <v>0</v>
      </c>
      <c r="AA117" s="4">
        <f>_xlfn.XLOOKUP(BASE_DE_NOMES[[#This Row],[NOME2]],Planilha1!C:C,Planilha1!D:D)*Y117</f>
        <v>764.00939999999991</v>
      </c>
      <c r="AB117" s="4">
        <f>BASE_DE_NOMES[[#This Row],[IMPOSTOS]]+BASE_DE_NOMES[[#This Row],[SALARIO BASE]]+BASE_DE_NOMES[[#This Row],[FAMILIA]]</f>
        <v>2347.0093999999999</v>
      </c>
      <c r="AC117" t="str">
        <f>_xlfn.XLOOKUP(BASE_DE_NOMES[[#This Row],[Razão Social]],Planilha1!B:B,Planilha1!C:C)</f>
        <v>FABRICA</v>
      </c>
      <c r="AD117" t="str">
        <f>_xlfn.XLOOKUP(BASE_DE_NOMES[[#This Row],[Alocações]],Planilha1!B:B,Planilha1!C:C)</f>
        <v>FABRICA</v>
      </c>
    </row>
    <row r="118" spans="1:30" x14ac:dyDescent="0.25">
      <c r="A118" t="s">
        <v>304</v>
      </c>
      <c r="B118" t="s">
        <v>56</v>
      </c>
      <c r="C118" t="s">
        <v>511</v>
      </c>
      <c r="D118" t="s">
        <v>511</v>
      </c>
      <c r="E118" s="1">
        <f>IFERROR(_xlfn.XLOOKUP(BASE_DE_NOMES[[#This Row],[Nome]],'Folha Rainha'!B:B,'Folha Rainha'!D:D),0)</f>
        <v>44768</v>
      </c>
      <c r="F118" t="str">
        <f>IFERROR(_xlfn.XLOOKUP(BASE_DE_NOMES[[#This Row],[Nome]],'Folha Rainha'!B:B,'Folha Rainha'!E:E)," ")</f>
        <v>Trabalhando</v>
      </c>
      <c r="G118" s="4">
        <f>SUMIFS('Folha Rainha'!G:G,'Folha Rainha'!B:B,BASE_DE_NOMES[[#This Row],[Nome]],'Folha Rainha'!F:F,"Salário Base")+SUMIFS('Folha Rainha'!G:G,'Folha Rainha'!B:B,BASE_DE_NOMES[[#This Row],[Nome]],'Folha Rainha'!F:F,"Salário:")</f>
        <v>2500</v>
      </c>
      <c r="H118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18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18" s="4">
        <f>BASE_DE_NOMES[[#This Row],[C.CHEQUE]]-BASE_DE_NOMES[[#This Row],[FALTAS]]-BASE_DE_NOMES[[#This Row],[DESCONTO ]]</f>
        <v>2500</v>
      </c>
      <c r="K118">
        <f>SUMIF(GRATIFICAÇÃO!A:A,BASE_DE_NOMES[[#This Row],[Nome]],GRATIFICAÇÃO!F:F)</f>
        <v>0</v>
      </c>
      <c r="L118">
        <f>SUMIF(PG!A:A,BASE_DE_NOMES[[#This Row],[Nome]],PG!E:E)</f>
        <v>0</v>
      </c>
      <c r="M118">
        <f>SUMIFS('Folha Rainha'!G:G,'Folha Rainha'!B:B,BASE_DE_NOMES[[#This Row],[Nome]],'Folha Rainha'!F:F,"*Quebra*",'Folha Rainha'!F:F,"*QUEBRA*")</f>
        <v>0</v>
      </c>
      <c r="N118">
        <f>SUMIFS('Folha Rainha'!G:G,'Folha Rainha'!B:B,BASE_DE_NOMES[[#This Row],[Nome]],'Folha Rainha'!F:F,"ADC. ANTIGUIDADE")</f>
        <v>0</v>
      </c>
      <c r="O118">
        <f>SUMIFS('Folha Rainha'!G:G,'Folha Rainha'!B:B,BASE_DE_NOMES[[#This Row],[Nome]],'Folha Rainha'!F:F,"*Trienio*")</f>
        <v>0</v>
      </c>
      <c r="P118">
        <f>SUMIFS('Folha Rainha'!G:G,'Folha Rainha'!B:B,BASE_DE_NOMES[[#This Row],[Nome]],'Folha Rainha'!F:F,"*TAXA*")</f>
        <v>0</v>
      </c>
      <c r="Q118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18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18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18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18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18">
        <f>BASE_DE_NOMES[[#This Row],[BOLSA DE AUXILIO]]+BASE_DE_NOMES[[#This Row],[VALE TRANSP]]+BASE_DE_NOMES[[#This Row],[PLANO DE SAUDE]]-BASE_DE_NOMES[[#This Row],[DESCONTOS]]</f>
        <v>0</v>
      </c>
      <c r="W118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18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18" s="4">
        <f>BASE_DE_NOMES[[#This Row],[TOTAL DE C.CHEQUE]]+BASE_DE_NOMES[[#This Row],[TOTAL DE QUEBRA]]+BASE_DE_NOMES[[#This Row],[ADC. ANTIGUIDADE]]+BASE_DE_NOMES[[#This Row],[TOTAL DE TRIENIO]]+BASE_DE_NOMES[[#This Row],[CCT]]</f>
        <v>2500</v>
      </c>
      <c r="Z118">
        <f>BASE_DE_NOMES[[#This Row],[PAGAMENTOS]]+BASE_DE_NOMES[[#This Row],[GRATIFICAÇÃO]]</f>
        <v>0</v>
      </c>
      <c r="AA118" s="4">
        <f>_xlfn.XLOOKUP(BASE_DE_NOMES[[#This Row],[NOME2]],Planilha1!C:C,Planilha1!D:D)*Y118</f>
        <v>500</v>
      </c>
      <c r="AB118" s="4">
        <f>BASE_DE_NOMES[[#This Row],[IMPOSTOS]]+BASE_DE_NOMES[[#This Row],[SALARIO BASE]]+BASE_DE_NOMES[[#This Row],[FAMILIA]]</f>
        <v>3000</v>
      </c>
      <c r="AC118" t="str">
        <f>_xlfn.XLOOKUP(BASE_DE_NOMES[[#This Row],[Razão Social]],Planilha1!B:B,Planilha1!C:C)</f>
        <v>10k DECORAÇÕES</v>
      </c>
      <c r="AD118" t="str">
        <f>_xlfn.XLOOKUP(BASE_DE_NOMES[[#This Row],[Alocações]],Planilha1!B:B,Planilha1!C:C)</f>
        <v>10k DECORAÇÕES</v>
      </c>
    </row>
    <row r="119" spans="1:30" x14ac:dyDescent="0.25">
      <c r="A119" t="s">
        <v>684</v>
      </c>
      <c r="B119" t="s">
        <v>258</v>
      </c>
      <c r="C119" t="s">
        <v>228</v>
      </c>
      <c r="D119" t="s">
        <v>280</v>
      </c>
      <c r="E119" s="1">
        <f>IFERROR(_xlfn.XLOOKUP(BASE_DE_NOMES[[#This Row],[Nome]],'Folha Rainha'!B:B,'Folha Rainha'!D:D),0)</f>
        <v>0</v>
      </c>
      <c r="F119" t="str">
        <f>IFERROR(_xlfn.XLOOKUP(BASE_DE_NOMES[[#This Row],[Nome]],'Folha Rainha'!B:B,'Folha Rainha'!E:E)," ")</f>
        <v xml:space="preserve"> </v>
      </c>
      <c r="G119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19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19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19" s="4">
        <f>BASE_DE_NOMES[[#This Row],[C.CHEQUE]]-BASE_DE_NOMES[[#This Row],[FALTAS]]-BASE_DE_NOMES[[#This Row],[DESCONTO ]]</f>
        <v>0</v>
      </c>
      <c r="K119">
        <f>SUMIF(GRATIFICAÇÃO!A:A,BASE_DE_NOMES[[#This Row],[Nome]],GRATIFICAÇÃO!F:F)</f>
        <v>0</v>
      </c>
      <c r="L119">
        <f>SUMIF(PG!A:A,BASE_DE_NOMES[[#This Row],[Nome]],PG!E:E)</f>
        <v>0</v>
      </c>
      <c r="M119">
        <f>SUMIFS('Folha Rainha'!G:G,'Folha Rainha'!B:B,BASE_DE_NOMES[[#This Row],[Nome]],'Folha Rainha'!F:F,"*Quebra*",'Folha Rainha'!F:F,"*QUEBRA*")</f>
        <v>0</v>
      </c>
      <c r="N119">
        <f>SUMIFS('Folha Rainha'!G:G,'Folha Rainha'!B:B,BASE_DE_NOMES[[#This Row],[Nome]],'Folha Rainha'!F:F,"ADC. ANTIGUIDADE")</f>
        <v>0</v>
      </c>
      <c r="O119">
        <f>SUMIFS('Folha Rainha'!G:G,'Folha Rainha'!B:B,BASE_DE_NOMES[[#This Row],[Nome]],'Folha Rainha'!F:F,"*Trienio*")</f>
        <v>0</v>
      </c>
      <c r="P119">
        <f>SUMIFS('Folha Rainha'!G:G,'Folha Rainha'!B:B,BASE_DE_NOMES[[#This Row],[Nome]],'Folha Rainha'!F:F,"*TAXA*")</f>
        <v>0</v>
      </c>
      <c r="Q119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19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19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19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19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19">
        <f>BASE_DE_NOMES[[#This Row],[BOLSA DE AUXILIO]]+BASE_DE_NOMES[[#This Row],[VALE TRANSP]]+BASE_DE_NOMES[[#This Row],[PLANO DE SAUDE]]-BASE_DE_NOMES[[#This Row],[DESCONTOS]]</f>
        <v>0</v>
      </c>
      <c r="W119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19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19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19">
        <f>BASE_DE_NOMES[[#This Row],[PAGAMENTOS]]+BASE_DE_NOMES[[#This Row],[GRATIFICAÇÃO]]</f>
        <v>0</v>
      </c>
      <c r="AA119" s="4">
        <f>_xlfn.XLOOKUP(BASE_DE_NOMES[[#This Row],[NOME2]],Planilha1!C:C,Planilha1!D:D)*Y119</f>
        <v>0</v>
      </c>
      <c r="AB119" s="4">
        <f>BASE_DE_NOMES[[#This Row],[IMPOSTOS]]+BASE_DE_NOMES[[#This Row],[SALARIO BASE]]+BASE_DE_NOMES[[#This Row],[FAMILIA]]</f>
        <v>0</v>
      </c>
      <c r="AC119" t="str">
        <f>_xlfn.XLOOKUP(BASE_DE_NOMES[[#This Row],[Razão Social]],Planilha1!B:B,Planilha1!C:C)</f>
        <v>GENESIS</v>
      </c>
      <c r="AD119" t="str">
        <f>_xlfn.XLOOKUP(BASE_DE_NOMES[[#This Row],[Alocações]],Planilha1!B:B,Planilha1!C:C)</f>
        <v>MAISON</v>
      </c>
    </row>
    <row r="120" spans="1:30" x14ac:dyDescent="0.25">
      <c r="A120" t="s">
        <v>685</v>
      </c>
      <c r="B120" t="s">
        <v>99</v>
      </c>
      <c r="C120" t="s">
        <v>542</v>
      </c>
      <c r="D120" t="s">
        <v>542</v>
      </c>
      <c r="E120" s="1">
        <f>IFERROR(_xlfn.XLOOKUP(BASE_DE_NOMES[[#This Row],[Nome]],'Folha Rainha'!B:B,'Folha Rainha'!D:D),0)</f>
        <v>0</v>
      </c>
      <c r="F120" t="str">
        <f>IFERROR(_xlfn.XLOOKUP(BASE_DE_NOMES[[#This Row],[Nome]],'Folha Rainha'!B:B,'Folha Rainha'!E:E)," ")</f>
        <v xml:space="preserve"> </v>
      </c>
      <c r="G120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20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20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20" s="4">
        <f>BASE_DE_NOMES[[#This Row],[C.CHEQUE]]-BASE_DE_NOMES[[#This Row],[FALTAS]]-BASE_DE_NOMES[[#This Row],[DESCONTO ]]</f>
        <v>0</v>
      </c>
      <c r="K120">
        <f>SUMIF(GRATIFICAÇÃO!A:A,BASE_DE_NOMES[[#This Row],[Nome]],GRATIFICAÇÃO!F:F)</f>
        <v>0</v>
      </c>
      <c r="L120">
        <f>SUMIF(PG!A:A,BASE_DE_NOMES[[#This Row],[Nome]],PG!E:E)</f>
        <v>0</v>
      </c>
      <c r="M120">
        <f>SUMIFS('Folha Rainha'!G:G,'Folha Rainha'!B:B,BASE_DE_NOMES[[#This Row],[Nome]],'Folha Rainha'!F:F,"*Quebra*",'Folha Rainha'!F:F,"*QUEBRA*")</f>
        <v>0</v>
      </c>
      <c r="N120">
        <f>SUMIFS('Folha Rainha'!G:G,'Folha Rainha'!B:B,BASE_DE_NOMES[[#This Row],[Nome]],'Folha Rainha'!F:F,"ADC. ANTIGUIDADE")</f>
        <v>0</v>
      </c>
      <c r="O120">
        <f>SUMIFS('Folha Rainha'!G:G,'Folha Rainha'!B:B,BASE_DE_NOMES[[#This Row],[Nome]],'Folha Rainha'!F:F,"*Trienio*")</f>
        <v>0</v>
      </c>
      <c r="P120">
        <f>SUMIFS('Folha Rainha'!G:G,'Folha Rainha'!B:B,BASE_DE_NOMES[[#This Row],[Nome]],'Folha Rainha'!F:F,"*TAXA*")</f>
        <v>0</v>
      </c>
      <c r="Q120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20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20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20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20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20">
        <f>BASE_DE_NOMES[[#This Row],[BOLSA DE AUXILIO]]+BASE_DE_NOMES[[#This Row],[VALE TRANSP]]+BASE_DE_NOMES[[#This Row],[PLANO DE SAUDE]]-BASE_DE_NOMES[[#This Row],[DESCONTOS]]</f>
        <v>0</v>
      </c>
      <c r="W120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20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20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20">
        <f>BASE_DE_NOMES[[#This Row],[PAGAMENTOS]]+BASE_DE_NOMES[[#This Row],[GRATIFICAÇÃO]]</f>
        <v>0</v>
      </c>
      <c r="AA120" s="4">
        <f>_xlfn.XLOOKUP(BASE_DE_NOMES[[#This Row],[NOME2]],Planilha1!C:C,Planilha1!D:D)*Y120</f>
        <v>0</v>
      </c>
      <c r="AB120" s="4">
        <f>BASE_DE_NOMES[[#This Row],[IMPOSTOS]]+BASE_DE_NOMES[[#This Row],[SALARIO BASE]]+BASE_DE_NOMES[[#This Row],[FAMILIA]]</f>
        <v>0</v>
      </c>
      <c r="AC120" t="str">
        <f>_xlfn.XLOOKUP(BASE_DE_NOMES[[#This Row],[Razão Social]],Planilha1!B:B,Planilha1!C:C)</f>
        <v xml:space="preserve">30 K </v>
      </c>
      <c r="AD120" t="str">
        <f>_xlfn.XLOOKUP(BASE_DE_NOMES[[#This Row],[Alocações]],Planilha1!B:B,Planilha1!C:C)</f>
        <v xml:space="preserve">30 K </v>
      </c>
    </row>
    <row r="121" spans="1:30" x14ac:dyDescent="0.25">
      <c r="A121" t="s">
        <v>536</v>
      </c>
      <c r="B121" t="s">
        <v>213</v>
      </c>
      <c r="C121" t="s">
        <v>252</v>
      </c>
      <c r="D121" t="s">
        <v>252</v>
      </c>
      <c r="E121" s="1">
        <f>IFERROR(_xlfn.XLOOKUP(BASE_DE_NOMES[[#This Row],[Nome]],'Folha Rainha'!B:B,'Folha Rainha'!D:D),0)</f>
        <v>45390</v>
      </c>
      <c r="F121" t="str">
        <f>IFERROR(_xlfn.XLOOKUP(BASE_DE_NOMES[[#This Row],[Nome]],'Folha Rainha'!B:B,'Folha Rainha'!E:E)," ")</f>
        <v>Trabalhando</v>
      </c>
      <c r="G121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121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21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21" s="4">
        <f>BASE_DE_NOMES[[#This Row],[C.CHEQUE]]-BASE_DE_NOMES[[#This Row],[FALTAS]]-BASE_DE_NOMES[[#This Row],[DESCONTO ]]</f>
        <v>1518</v>
      </c>
      <c r="K121">
        <f>SUMIF(GRATIFICAÇÃO!A:A,BASE_DE_NOMES[[#This Row],[Nome]],GRATIFICAÇÃO!F:F)</f>
        <v>0</v>
      </c>
      <c r="L121">
        <f>SUMIF(PG!A:A,BASE_DE_NOMES[[#This Row],[Nome]],PG!E:E)</f>
        <v>0</v>
      </c>
      <c r="M121">
        <f>SUMIFS('Folha Rainha'!G:G,'Folha Rainha'!B:B,BASE_DE_NOMES[[#This Row],[Nome]],'Folha Rainha'!F:F,"*Quebra*",'Folha Rainha'!F:F,"*QUEBRA*")</f>
        <v>0</v>
      </c>
      <c r="N121">
        <f>SUMIFS('Folha Rainha'!G:G,'Folha Rainha'!B:B,BASE_DE_NOMES[[#This Row],[Nome]],'Folha Rainha'!F:F,"ADC. ANTIGUIDADE")</f>
        <v>0</v>
      </c>
      <c r="O121">
        <f>SUMIFS('Folha Rainha'!G:G,'Folha Rainha'!B:B,BASE_DE_NOMES[[#This Row],[Nome]],'Folha Rainha'!F:F,"*Trienio*")</f>
        <v>0</v>
      </c>
      <c r="P121">
        <f>SUMIFS('Folha Rainha'!G:G,'Folha Rainha'!B:B,BASE_DE_NOMES[[#This Row],[Nome]],'Folha Rainha'!F:F,"*TAXA*")</f>
        <v>0</v>
      </c>
      <c r="Q121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21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21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21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21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21">
        <f>BASE_DE_NOMES[[#This Row],[BOLSA DE AUXILIO]]+BASE_DE_NOMES[[#This Row],[VALE TRANSP]]+BASE_DE_NOMES[[#This Row],[PLANO DE SAUDE]]-BASE_DE_NOMES[[#This Row],[DESCONTOS]]</f>
        <v>0</v>
      </c>
      <c r="W121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21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21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121">
        <f>BASE_DE_NOMES[[#This Row],[PAGAMENTOS]]+BASE_DE_NOMES[[#This Row],[GRATIFICAÇÃO]]</f>
        <v>0</v>
      </c>
      <c r="AA121" s="4">
        <f>_xlfn.XLOOKUP(BASE_DE_NOMES[[#This Row],[NOME2]],Planilha1!C:C,Planilha1!D:D)*Y121</f>
        <v>764.00939999999991</v>
      </c>
      <c r="AB121" s="4">
        <f>BASE_DE_NOMES[[#This Row],[IMPOSTOS]]+BASE_DE_NOMES[[#This Row],[SALARIO BASE]]+BASE_DE_NOMES[[#This Row],[FAMILIA]]</f>
        <v>2282.0093999999999</v>
      </c>
      <c r="AC121" t="str">
        <f>_xlfn.XLOOKUP(BASE_DE_NOMES[[#This Row],[Razão Social]],Planilha1!B:B,Planilha1!C:C)</f>
        <v>FABRICA</v>
      </c>
      <c r="AD121" t="str">
        <f>_xlfn.XLOOKUP(BASE_DE_NOMES[[#This Row],[Alocações]],Planilha1!B:B,Planilha1!C:C)</f>
        <v>FABRICA</v>
      </c>
    </row>
    <row r="122" spans="1:30" x14ac:dyDescent="0.25">
      <c r="A122" t="s">
        <v>446</v>
      </c>
      <c r="B122" t="s">
        <v>258</v>
      </c>
      <c r="C122" t="s">
        <v>511</v>
      </c>
      <c r="D122" t="s">
        <v>511</v>
      </c>
      <c r="E122" s="1">
        <f>IFERROR(_xlfn.XLOOKUP(BASE_DE_NOMES[[#This Row],[Nome]],'Folha Rainha'!B:B,'Folha Rainha'!D:D),0)</f>
        <v>43175</v>
      </c>
      <c r="F122" t="str">
        <f>IFERROR(_xlfn.XLOOKUP(BASE_DE_NOMES[[#This Row],[Nome]],'Folha Rainha'!B:B,'Folha Rainha'!E:E)," ")</f>
        <v>Trabalhando</v>
      </c>
      <c r="G122" s="4">
        <f>SUMIFS('Folha Rainha'!G:G,'Folha Rainha'!B:B,BASE_DE_NOMES[[#This Row],[Nome]],'Folha Rainha'!F:F,"Salário Base")+SUMIFS('Folha Rainha'!G:G,'Folha Rainha'!B:B,BASE_DE_NOMES[[#This Row],[Nome]],'Folha Rainha'!F:F,"Salário:")</f>
        <v>1605</v>
      </c>
      <c r="H122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22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22" s="4">
        <f>BASE_DE_NOMES[[#This Row],[C.CHEQUE]]-BASE_DE_NOMES[[#This Row],[FALTAS]]-BASE_DE_NOMES[[#This Row],[DESCONTO ]]</f>
        <v>1605</v>
      </c>
      <c r="K122">
        <f>SUMIF(GRATIFICAÇÃO!A:A,BASE_DE_NOMES[[#This Row],[Nome]],GRATIFICAÇÃO!F:F)</f>
        <v>0</v>
      </c>
      <c r="L122">
        <f>SUMIF(PG!A:A,BASE_DE_NOMES[[#This Row],[Nome]],PG!E:E)</f>
        <v>0</v>
      </c>
      <c r="M122">
        <f>SUMIFS('Folha Rainha'!G:G,'Folha Rainha'!B:B,BASE_DE_NOMES[[#This Row],[Nome]],'Folha Rainha'!F:F,"*Quebra*",'Folha Rainha'!F:F,"*QUEBRA*")</f>
        <v>0</v>
      </c>
      <c r="N122">
        <f>SUMIFS('Folha Rainha'!G:G,'Folha Rainha'!B:B,BASE_DE_NOMES[[#This Row],[Nome]],'Folha Rainha'!F:F,"ADC. ANTIGUIDADE")</f>
        <v>0</v>
      </c>
      <c r="O122">
        <f>SUMIFS('Folha Rainha'!G:G,'Folha Rainha'!B:B,BASE_DE_NOMES[[#This Row],[Nome]],'Folha Rainha'!F:F,"*Trienio*")</f>
        <v>96.3</v>
      </c>
      <c r="P122">
        <f>SUMIFS('Folha Rainha'!G:G,'Folha Rainha'!B:B,BASE_DE_NOMES[[#This Row],[Nome]],'Folha Rainha'!F:F,"*TAXA*")</f>
        <v>0</v>
      </c>
      <c r="Q122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22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22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22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22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22">
        <f>BASE_DE_NOMES[[#This Row],[BOLSA DE AUXILIO]]+BASE_DE_NOMES[[#This Row],[VALE TRANSP]]+BASE_DE_NOMES[[#This Row],[PLANO DE SAUDE]]-BASE_DE_NOMES[[#This Row],[DESCONTOS]]</f>
        <v>0</v>
      </c>
      <c r="W122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22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22" s="4">
        <f>BASE_DE_NOMES[[#This Row],[TOTAL DE C.CHEQUE]]+BASE_DE_NOMES[[#This Row],[TOTAL DE QUEBRA]]+BASE_DE_NOMES[[#This Row],[ADC. ANTIGUIDADE]]+BASE_DE_NOMES[[#This Row],[TOTAL DE TRIENIO]]+BASE_DE_NOMES[[#This Row],[CCT]]</f>
        <v>1701.3</v>
      </c>
      <c r="Z122">
        <f>BASE_DE_NOMES[[#This Row],[PAGAMENTOS]]+BASE_DE_NOMES[[#This Row],[GRATIFICAÇÃO]]</f>
        <v>0</v>
      </c>
      <c r="AA122" s="4">
        <f>_xlfn.XLOOKUP(BASE_DE_NOMES[[#This Row],[NOME2]],Planilha1!C:C,Planilha1!D:D)*Y122</f>
        <v>340.26</v>
      </c>
      <c r="AB122" s="4">
        <f>BASE_DE_NOMES[[#This Row],[IMPOSTOS]]+BASE_DE_NOMES[[#This Row],[SALARIO BASE]]+BASE_DE_NOMES[[#This Row],[FAMILIA]]</f>
        <v>2041.56</v>
      </c>
      <c r="AC122" t="str">
        <f>_xlfn.XLOOKUP(BASE_DE_NOMES[[#This Row],[Razão Social]],Planilha1!B:B,Planilha1!C:C)</f>
        <v>10k DECORAÇÕES</v>
      </c>
      <c r="AD122" t="str">
        <f>_xlfn.XLOOKUP(BASE_DE_NOMES[[#This Row],[Alocações]],Planilha1!B:B,Planilha1!C:C)</f>
        <v>10k DECORAÇÕES</v>
      </c>
    </row>
    <row r="123" spans="1:30" x14ac:dyDescent="0.25">
      <c r="A123" t="s">
        <v>553</v>
      </c>
      <c r="B123" t="s">
        <v>686</v>
      </c>
      <c r="C123" t="s">
        <v>252</v>
      </c>
      <c r="D123" t="s">
        <v>252</v>
      </c>
      <c r="E123" s="1">
        <f>IFERROR(_xlfn.XLOOKUP(BASE_DE_NOMES[[#This Row],[Nome]],'Folha Rainha'!B:B,'Folha Rainha'!D:D),0)</f>
        <v>45597</v>
      </c>
      <c r="F123" t="str">
        <f>IFERROR(_xlfn.XLOOKUP(BASE_DE_NOMES[[#This Row],[Nome]],'Folha Rainha'!B:B,'Folha Rainha'!E:E)," ")</f>
        <v>Trabalhando</v>
      </c>
      <c r="G123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123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23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23" s="4">
        <f>BASE_DE_NOMES[[#This Row],[C.CHEQUE]]-BASE_DE_NOMES[[#This Row],[FALTAS]]-BASE_DE_NOMES[[#This Row],[DESCONTO ]]</f>
        <v>1518</v>
      </c>
      <c r="K123">
        <f>SUMIF(GRATIFICAÇÃO!A:A,BASE_DE_NOMES[[#This Row],[Nome]],GRATIFICAÇÃO!F:F)</f>
        <v>0</v>
      </c>
      <c r="L123">
        <f>SUMIF(PG!A:A,BASE_DE_NOMES[[#This Row],[Nome]],PG!E:E)</f>
        <v>0</v>
      </c>
      <c r="M123">
        <f>SUMIFS('Folha Rainha'!G:G,'Folha Rainha'!B:B,BASE_DE_NOMES[[#This Row],[Nome]],'Folha Rainha'!F:F,"*Quebra*",'Folha Rainha'!F:F,"*QUEBRA*")</f>
        <v>0</v>
      </c>
      <c r="N123">
        <f>SUMIFS('Folha Rainha'!G:G,'Folha Rainha'!B:B,BASE_DE_NOMES[[#This Row],[Nome]],'Folha Rainha'!F:F,"ADC. ANTIGUIDADE")</f>
        <v>0</v>
      </c>
      <c r="O123">
        <f>SUMIFS('Folha Rainha'!G:G,'Folha Rainha'!B:B,BASE_DE_NOMES[[#This Row],[Nome]],'Folha Rainha'!F:F,"*Trienio*")</f>
        <v>0</v>
      </c>
      <c r="P123">
        <f>SUMIFS('Folha Rainha'!G:G,'Folha Rainha'!B:B,BASE_DE_NOMES[[#This Row],[Nome]],'Folha Rainha'!F:F,"*TAXA*")</f>
        <v>0</v>
      </c>
      <c r="Q123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23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23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23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23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23">
        <f>BASE_DE_NOMES[[#This Row],[BOLSA DE AUXILIO]]+BASE_DE_NOMES[[#This Row],[VALE TRANSP]]+BASE_DE_NOMES[[#This Row],[PLANO DE SAUDE]]-BASE_DE_NOMES[[#This Row],[DESCONTOS]]</f>
        <v>0</v>
      </c>
      <c r="W123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23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23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123">
        <f>BASE_DE_NOMES[[#This Row],[PAGAMENTOS]]+BASE_DE_NOMES[[#This Row],[GRATIFICAÇÃO]]</f>
        <v>0</v>
      </c>
      <c r="AA123" s="4">
        <f>_xlfn.XLOOKUP(BASE_DE_NOMES[[#This Row],[NOME2]],Planilha1!C:C,Planilha1!D:D)*Y123</f>
        <v>764.00939999999991</v>
      </c>
      <c r="AB123" s="4">
        <f>BASE_DE_NOMES[[#This Row],[IMPOSTOS]]+BASE_DE_NOMES[[#This Row],[SALARIO BASE]]+BASE_DE_NOMES[[#This Row],[FAMILIA]]</f>
        <v>2282.0093999999999</v>
      </c>
      <c r="AC123" t="str">
        <f>_xlfn.XLOOKUP(BASE_DE_NOMES[[#This Row],[Razão Social]],Planilha1!B:B,Planilha1!C:C)</f>
        <v>FABRICA</v>
      </c>
      <c r="AD123" t="str">
        <f>_xlfn.XLOOKUP(BASE_DE_NOMES[[#This Row],[Alocações]],Planilha1!B:B,Planilha1!C:C)</f>
        <v>FABRICA</v>
      </c>
    </row>
    <row r="124" spans="1:30" x14ac:dyDescent="0.25">
      <c r="A124" t="s">
        <v>687</v>
      </c>
      <c r="B124" t="s">
        <v>213</v>
      </c>
      <c r="C124" t="s">
        <v>252</v>
      </c>
      <c r="D124" t="s">
        <v>252</v>
      </c>
      <c r="E124" s="1">
        <f>IFERROR(_xlfn.XLOOKUP(BASE_DE_NOMES[[#This Row],[Nome]],'Folha Rainha'!B:B,'Folha Rainha'!D:D),0)</f>
        <v>0</v>
      </c>
      <c r="F124" t="str">
        <f>IFERROR(_xlfn.XLOOKUP(BASE_DE_NOMES[[#This Row],[Nome]],'Folha Rainha'!B:B,'Folha Rainha'!E:E)," ")</f>
        <v xml:space="preserve"> </v>
      </c>
      <c r="G124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24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24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24" s="4">
        <f>BASE_DE_NOMES[[#This Row],[C.CHEQUE]]-BASE_DE_NOMES[[#This Row],[FALTAS]]-BASE_DE_NOMES[[#This Row],[DESCONTO ]]</f>
        <v>0</v>
      </c>
      <c r="K124">
        <f>SUMIF(GRATIFICAÇÃO!A:A,BASE_DE_NOMES[[#This Row],[Nome]],GRATIFICAÇÃO!F:F)</f>
        <v>0</v>
      </c>
      <c r="L124">
        <f>SUMIF(PG!A:A,BASE_DE_NOMES[[#This Row],[Nome]],PG!E:E)</f>
        <v>0</v>
      </c>
      <c r="M124">
        <f>SUMIFS('Folha Rainha'!G:G,'Folha Rainha'!B:B,BASE_DE_NOMES[[#This Row],[Nome]],'Folha Rainha'!F:F,"*Quebra*",'Folha Rainha'!F:F,"*QUEBRA*")</f>
        <v>0</v>
      </c>
      <c r="N124">
        <f>SUMIFS('Folha Rainha'!G:G,'Folha Rainha'!B:B,BASE_DE_NOMES[[#This Row],[Nome]],'Folha Rainha'!F:F,"ADC. ANTIGUIDADE")</f>
        <v>0</v>
      </c>
      <c r="O124">
        <f>SUMIFS('Folha Rainha'!G:G,'Folha Rainha'!B:B,BASE_DE_NOMES[[#This Row],[Nome]],'Folha Rainha'!F:F,"*Trienio*")</f>
        <v>0</v>
      </c>
      <c r="P124">
        <f>SUMIFS('Folha Rainha'!G:G,'Folha Rainha'!B:B,BASE_DE_NOMES[[#This Row],[Nome]],'Folha Rainha'!F:F,"*TAXA*")</f>
        <v>0</v>
      </c>
      <c r="Q124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24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24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24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24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24">
        <f>BASE_DE_NOMES[[#This Row],[BOLSA DE AUXILIO]]+BASE_DE_NOMES[[#This Row],[VALE TRANSP]]+BASE_DE_NOMES[[#This Row],[PLANO DE SAUDE]]-BASE_DE_NOMES[[#This Row],[DESCONTOS]]</f>
        <v>0</v>
      </c>
      <c r="W124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24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24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24">
        <f>BASE_DE_NOMES[[#This Row],[PAGAMENTOS]]+BASE_DE_NOMES[[#This Row],[GRATIFICAÇÃO]]</f>
        <v>0</v>
      </c>
      <c r="AA124" s="4">
        <f>_xlfn.XLOOKUP(BASE_DE_NOMES[[#This Row],[NOME2]],Planilha1!C:C,Planilha1!D:D)*Y124</f>
        <v>0</v>
      </c>
      <c r="AB124" s="4">
        <f>BASE_DE_NOMES[[#This Row],[IMPOSTOS]]+BASE_DE_NOMES[[#This Row],[SALARIO BASE]]+BASE_DE_NOMES[[#This Row],[FAMILIA]]</f>
        <v>0</v>
      </c>
      <c r="AC124" t="str">
        <f>_xlfn.XLOOKUP(BASE_DE_NOMES[[#This Row],[Razão Social]],Planilha1!B:B,Planilha1!C:C)</f>
        <v>FABRICA</v>
      </c>
      <c r="AD124" t="str">
        <f>_xlfn.XLOOKUP(BASE_DE_NOMES[[#This Row],[Alocações]],Planilha1!B:B,Planilha1!C:C)</f>
        <v>FABRICA</v>
      </c>
    </row>
    <row r="125" spans="1:30" x14ac:dyDescent="0.25">
      <c r="A125" t="s">
        <v>136</v>
      </c>
      <c r="B125" t="s">
        <v>407</v>
      </c>
      <c r="C125" t="s">
        <v>252</v>
      </c>
      <c r="D125" t="s">
        <v>252</v>
      </c>
      <c r="E125" s="1">
        <f>IFERROR(_xlfn.XLOOKUP(BASE_DE_NOMES[[#This Row],[Nome]],'Folha Rainha'!B:B,'Folha Rainha'!D:D),0)</f>
        <v>44216</v>
      </c>
      <c r="F125" t="str">
        <f>IFERROR(_xlfn.XLOOKUP(BASE_DE_NOMES[[#This Row],[Nome]],'Folha Rainha'!B:B,'Folha Rainha'!E:E)," ")</f>
        <v>Trabalhando</v>
      </c>
      <c r="G125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125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25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25" s="4">
        <f>BASE_DE_NOMES[[#This Row],[C.CHEQUE]]-BASE_DE_NOMES[[#This Row],[FALTAS]]-BASE_DE_NOMES[[#This Row],[DESCONTO ]]</f>
        <v>1518</v>
      </c>
      <c r="K125">
        <f>SUMIF(GRATIFICAÇÃO!A:A,BASE_DE_NOMES[[#This Row],[Nome]],GRATIFICAÇÃO!F:F)</f>
        <v>0</v>
      </c>
      <c r="L125">
        <f>SUMIF(PG!A:A,BASE_DE_NOMES[[#This Row],[Nome]],PG!E:E)</f>
        <v>0</v>
      </c>
      <c r="M125">
        <f>SUMIFS('Folha Rainha'!G:G,'Folha Rainha'!B:B,BASE_DE_NOMES[[#This Row],[Nome]],'Folha Rainha'!F:F,"*Quebra*",'Folha Rainha'!F:F,"*QUEBRA*")</f>
        <v>0</v>
      </c>
      <c r="N125">
        <f>SUMIFS('Folha Rainha'!G:G,'Folha Rainha'!B:B,BASE_DE_NOMES[[#This Row],[Nome]],'Folha Rainha'!F:F,"ADC. ANTIGUIDADE")</f>
        <v>0</v>
      </c>
      <c r="O125">
        <f>SUMIFS('Folha Rainha'!G:G,'Folha Rainha'!B:B,BASE_DE_NOMES[[#This Row],[Nome]],'Folha Rainha'!F:F,"*Trienio*")</f>
        <v>0</v>
      </c>
      <c r="P125">
        <f>SUMIFS('Folha Rainha'!G:G,'Folha Rainha'!B:B,BASE_DE_NOMES[[#This Row],[Nome]],'Folha Rainha'!F:F,"*TAXA*")</f>
        <v>0</v>
      </c>
      <c r="Q125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25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25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25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25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25">
        <f>BASE_DE_NOMES[[#This Row],[BOLSA DE AUXILIO]]+BASE_DE_NOMES[[#This Row],[VALE TRANSP]]+BASE_DE_NOMES[[#This Row],[PLANO DE SAUDE]]-BASE_DE_NOMES[[#This Row],[DESCONTOS]]</f>
        <v>0</v>
      </c>
      <c r="W125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25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25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125">
        <f>BASE_DE_NOMES[[#This Row],[PAGAMENTOS]]+BASE_DE_NOMES[[#This Row],[GRATIFICAÇÃO]]</f>
        <v>0</v>
      </c>
      <c r="AA125" s="4">
        <f>_xlfn.XLOOKUP(BASE_DE_NOMES[[#This Row],[NOME2]],Planilha1!C:C,Planilha1!D:D)*Y125</f>
        <v>764.00939999999991</v>
      </c>
      <c r="AB125" s="4">
        <f>BASE_DE_NOMES[[#This Row],[IMPOSTOS]]+BASE_DE_NOMES[[#This Row],[SALARIO BASE]]+BASE_DE_NOMES[[#This Row],[FAMILIA]]</f>
        <v>2282.0093999999999</v>
      </c>
      <c r="AC125" t="str">
        <f>_xlfn.XLOOKUP(BASE_DE_NOMES[[#This Row],[Razão Social]],Planilha1!B:B,Planilha1!C:C)</f>
        <v>FABRICA</v>
      </c>
      <c r="AD125" t="str">
        <f>_xlfn.XLOOKUP(BASE_DE_NOMES[[#This Row],[Alocações]],Planilha1!B:B,Planilha1!C:C)</f>
        <v>FABRICA</v>
      </c>
    </row>
    <row r="126" spans="1:30" x14ac:dyDescent="0.25">
      <c r="A126" t="s">
        <v>688</v>
      </c>
      <c r="B126" t="s">
        <v>56</v>
      </c>
      <c r="C126" t="s">
        <v>228</v>
      </c>
      <c r="D126" t="s">
        <v>556</v>
      </c>
      <c r="E126" s="1">
        <f>IFERROR(_xlfn.XLOOKUP(BASE_DE_NOMES[[#This Row],[Nome]],'Folha Rainha'!B:B,'Folha Rainha'!D:D),0)</f>
        <v>0</v>
      </c>
      <c r="F126" t="str">
        <f>IFERROR(_xlfn.XLOOKUP(BASE_DE_NOMES[[#This Row],[Nome]],'Folha Rainha'!B:B,'Folha Rainha'!E:E)," ")</f>
        <v xml:space="preserve"> </v>
      </c>
      <c r="G126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26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26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26" s="4">
        <f>BASE_DE_NOMES[[#This Row],[C.CHEQUE]]-BASE_DE_NOMES[[#This Row],[FALTAS]]-BASE_DE_NOMES[[#This Row],[DESCONTO ]]</f>
        <v>0</v>
      </c>
      <c r="K126">
        <f>SUMIF(GRATIFICAÇÃO!A:A,BASE_DE_NOMES[[#This Row],[Nome]],GRATIFICAÇÃO!F:F)</f>
        <v>0</v>
      </c>
      <c r="L126">
        <f>SUMIF(PG!A:A,BASE_DE_NOMES[[#This Row],[Nome]],PG!E:E)</f>
        <v>0</v>
      </c>
      <c r="M126">
        <f>SUMIFS('Folha Rainha'!G:G,'Folha Rainha'!B:B,BASE_DE_NOMES[[#This Row],[Nome]],'Folha Rainha'!F:F,"*Quebra*",'Folha Rainha'!F:F,"*QUEBRA*")</f>
        <v>0</v>
      </c>
      <c r="N126">
        <f>SUMIFS('Folha Rainha'!G:G,'Folha Rainha'!B:B,BASE_DE_NOMES[[#This Row],[Nome]],'Folha Rainha'!F:F,"ADC. ANTIGUIDADE")</f>
        <v>0</v>
      </c>
      <c r="O126">
        <f>SUMIFS('Folha Rainha'!G:G,'Folha Rainha'!B:B,BASE_DE_NOMES[[#This Row],[Nome]],'Folha Rainha'!F:F,"*Trienio*")</f>
        <v>0</v>
      </c>
      <c r="P126">
        <f>SUMIFS('Folha Rainha'!G:G,'Folha Rainha'!B:B,BASE_DE_NOMES[[#This Row],[Nome]],'Folha Rainha'!F:F,"*TAXA*")</f>
        <v>0</v>
      </c>
      <c r="Q126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26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26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26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26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26">
        <f>BASE_DE_NOMES[[#This Row],[BOLSA DE AUXILIO]]+BASE_DE_NOMES[[#This Row],[VALE TRANSP]]+BASE_DE_NOMES[[#This Row],[PLANO DE SAUDE]]-BASE_DE_NOMES[[#This Row],[DESCONTOS]]</f>
        <v>0</v>
      </c>
      <c r="W126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26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26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26">
        <f>BASE_DE_NOMES[[#This Row],[PAGAMENTOS]]+BASE_DE_NOMES[[#This Row],[GRATIFICAÇÃO]]</f>
        <v>0</v>
      </c>
      <c r="AA126" s="4">
        <f>_xlfn.XLOOKUP(BASE_DE_NOMES[[#This Row],[NOME2]],Planilha1!C:C,Planilha1!D:D)*Y126</f>
        <v>0</v>
      </c>
      <c r="AB126" s="4">
        <f>BASE_DE_NOMES[[#This Row],[IMPOSTOS]]+BASE_DE_NOMES[[#This Row],[SALARIO BASE]]+BASE_DE_NOMES[[#This Row],[FAMILIA]]</f>
        <v>0</v>
      </c>
      <c r="AC126" t="str">
        <f>_xlfn.XLOOKUP(BASE_DE_NOMES[[#This Row],[Razão Social]],Planilha1!B:B,Planilha1!C:C)</f>
        <v>GENESIS</v>
      </c>
      <c r="AD126" t="str">
        <f>_xlfn.XLOOKUP(BASE_DE_NOMES[[#This Row],[Alocações]],Planilha1!B:B,Planilha1!C:C)</f>
        <v>SR PASSOS</v>
      </c>
    </row>
    <row r="127" spans="1:30" x14ac:dyDescent="0.25">
      <c r="A127" t="s">
        <v>689</v>
      </c>
      <c r="B127" t="s">
        <v>212</v>
      </c>
      <c r="C127" t="s">
        <v>427</v>
      </c>
      <c r="D127" t="s">
        <v>508</v>
      </c>
      <c r="E127" s="1">
        <f>IFERROR(_xlfn.XLOOKUP(BASE_DE_NOMES[[#This Row],[Nome]],'Folha Rainha'!B:B,'Folha Rainha'!D:D),0)</f>
        <v>0</v>
      </c>
      <c r="F127" t="str">
        <f>IFERROR(_xlfn.XLOOKUP(BASE_DE_NOMES[[#This Row],[Nome]],'Folha Rainha'!B:B,'Folha Rainha'!E:E)," ")</f>
        <v xml:space="preserve"> </v>
      </c>
      <c r="G127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27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27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27" s="4">
        <f>BASE_DE_NOMES[[#This Row],[C.CHEQUE]]-BASE_DE_NOMES[[#This Row],[FALTAS]]-BASE_DE_NOMES[[#This Row],[DESCONTO ]]</f>
        <v>0</v>
      </c>
      <c r="K127">
        <f>SUMIF(GRATIFICAÇÃO!A:A,BASE_DE_NOMES[[#This Row],[Nome]],GRATIFICAÇÃO!F:F)</f>
        <v>0</v>
      </c>
      <c r="L127">
        <f>SUMIF(PG!A:A,BASE_DE_NOMES[[#This Row],[Nome]],PG!E:E)</f>
        <v>0</v>
      </c>
      <c r="M127">
        <f>SUMIFS('Folha Rainha'!G:G,'Folha Rainha'!B:B,BASE_DE_NOMES[[#This Row],[Nome]],'Folha Rainha'!F:F,"*Quebra*",'Folha Rainha'!F:F,"*QUEBRA*")</f>
        <v>0</v>
      </c>
      <c r="N127">
        <f>SUMIFS('Folha Rainha'!G:G,'Folha Rainha'!B:B,BASE_DE_NOMES[[#This Row],[Nome]],'Folha Rainha'!F:F,"ADC. ANTIGUIDADE")</f>
        <v>0</v>
      </c>
      <c r="O127">
        <f>SUMIFS('Folha Rainha'!G:G,'Folha Rainha'!B:B,BASE_DE_NOMES[[#This Row],[Nome]],'Folha Rainha'!F:F,"*Trienio*")</f>
        <v>0</v>
      </c>
      <c r="P127">
        <f>SUMIFS('Folha Rainha'!G:G,'Folha Rainha'!B:B,BASE_DE_NOMES[[#This Row],[Nome]],'Folha Rainha'!F:F,"*TAXA*")</f>
        <v>0</v>
      </c>
      <c r="Q127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27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27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27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27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27">
        <f>BASE_DE_NOMES[[#This Row],[BOLSA DE AUXILIO]]+BASE_DE_NOMES[[#This Row],[VALE TRANSP]]+BASE_DE_NOMES[[#This Row],[PLANO DE SAUDE]]-BASE_DE_NOMES[[#This Row],[DESCONTOS]]</f>
        <v>0</v>
      </c>
      <c r="W127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27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27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27">
        <f>BASE_DE_NOMES[[#This Row],[PAGAMENTOS]]+BASE_DE_NOMES[[#This Row],[GRATIFICAÇÃO]]</f>
        <v>0</v>
      </c>
      <c r="AA127" s="4">
        <f>_xlfn.XLOOKUP(BASE_DE_NOMES[[#This Row],[NOME2]],Planilha1!C:C,Planilha1!D:D)*Y127</f>
        <v>0</v>
      </c>
      <c r="AB127" s="4">
        <f>BASE_DE_NOMES[[#This Row],[IMPOSTOS]]+BASE_DE_NOMES[[#This Row],[SALARIO BASE]]+BASE_DE_NOMES[[#This Row],[FAMILIA]]</f>
        <v>0</v>
      </c>
      <c r="AC127" t="str">
        <f>_xlfn.XLOOKUP(BASE_DE_NOMES[[#This Row],[Razão Social]],Planilha1!B:B,Planilha1!C:C)</f>
        <v>ESCRITORIO</v>
      </c>
      <c r="AD127" t="str">
        <f>_xlfn.XLOOKUP(BASE_DE_NOMES[[#This Row],[Alocações]],Planilha1!B:B,Planilha1!C:C)</f>
        <v>5K DECORAÇÕES</v>
      </c>
    </row>
    <row r="128" spans="1:30" x14ac:dyDescent="0.25">
      <c r="A128" t="s">
        <v>440</v>
      </c>
      <c r="B128" t="s">
        <v>212</v>
      </c>
      <c r="C128" t="s">
        <v>253</v>
      </c>
      <c r="D128" t="s">
        <v>228</v>
      </c>
      <c r="E128" s="1">
        <f>IFERROR(_xlfn.XLOOKUP(BASE_DE_NOMES[[#This Row],[Nome]],'Folha Rainha'!B:B,'Folha Rainha'!D:D),0)</f>
        <v>45355</v>
      </c>
      <c r="F128" t="str">
        <f>IFERROR(_xlfn.XLOOKUP(BASE_DE_NOMES[[#This Row],[Nome]],'Folha Rainha'!B:B,'Folha Rainha'!E:E)," ")</f>
        <v>Trabalhando</v>
      </c>
      <c r="G128" s="4">
        <f>SUMIFS('Folha Rainha'!G:G,'Folha Rainha'!B:B,BASE_DE_NOMES[[#This Row],[Nome]],'Folha Rainha'!F:F,"Salário Base")+SUMIFS('Folha Rainha'!G:G,'Folha Rainha'!B:B,BASE_DE_NOMES[[#This Row],[Nome]],'Folha Rainha'!F:F,"Salário:")</f>
        <v>1660</v>
      </c>
      <c r="H128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28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28" s="4">
        <f>BASE_DE_NOMES[[#This Row],[C.CHEQUE]]-BASE_DE_NOMES[[#This Row],[FALTAS]]-BASE_DE_NOMES[[#This Row],[DESCONTO ]]</f>
        <v>1660</v>
      </c>
      <c r="K128">
        <f>SUMIF(GRATIFICAÇÃO!A:A,BASE_DE_NOMES[[#This Row],[Nome]],GRATIFICAÇÃO!F:F)</f>
        <v>0</v>
      </c>
      <c r="L128">
        <f>SUMIF(PG!A:A,BASE_DE_NOMES[[#This Row],[Nome]],PG!E:E)</f>
        <v>0</v>
      </c>
      <c r="M128">
        <f>SUMIFS('Folha Rainha'!G:G,'Folha Rainha'!B:B,BASE_DE_NOMES[[#This Row],[Nome]],'Folha Rainha'!F:F,"*Quebra*",'Folha Rainha'!F:F,"*QUEBRA*")</f>
        <v>0</v>
      </c>
      <c r="N128">
        <f>SUMIFS('Folha Rainha'!G:G,'Folha Rainha'!B:B,BASE_DE_NOMES[[#This Row],[Nome]],'Folha Rainha'!F:F,"ADC. ANTIGUIDADE")</f>
        <v>0</v>
      </c>
      <c r="O128">
        <f>SUMIFS('Folha Rainha'!G:G,'Folha Rainha'!B:B,BASE_DE_NOMES[[#This Row],[Nome]],'Folha Rainha'!F:F,"*Trienio*")</f>
        <v>0</v>
      </c>
      <c r="P128">
        <f>SUMIFS('Folha Rainha'!G:G,'Folha Rainha'!B:B,BASE_DE_NOMES[[#This Row],[Nome]],'Folha Rainha'!F:F,"*TAXA*")</f>
        <v>20</v>
      </c>
      <c r="Q128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28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28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28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28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20</v>
      </c>
      <c r="V128">
        <f>BASE_DE_NOMES[[#This Row],[BOLSA DE AUXILIO]]+BASE_DE_NOMES[[#This Row],[VALE TRANSP]]+BASE_DE_NOMES[[#This Row],[PLANO DE SAUDE]]-BASE_DE_NOMES[[#This Row],[DESCONTOS]]</f>
        <v>-20</v>
      </c>
      <c r="W128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28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28" s="4">
        <f>BASE_DE_NOMES[[#This Row],[TOTAL DE C.CHEQUE]]+BASE_DE_NOMES[[#This Row],[TOTAL DE QUEBRA]]+BASE_DE_NOMES[[#This Row],[ADC. ANTIGUIDADE]]+BASE_DE_NOMES[[#This Row],[TOTAL DE TRIENIO]]+BASE_DE_NOMES[[#This Row],[CCT]]</f>
        <v>1660</v>
      </c>
      <c r="Z128">
        <f>BASE_DE_NOMES[[#This Row],[PAGAMENTOS]]+BASE_DE_NOMES[[#This Row],[GRATIFICAÇÃO]]</f>
        <v>0</v>
      </c>
      <c r="AA128" s="4">
        <f>_xlfn.XLOOKUP(BASE_DE_NOMES[[#This Row],[NOME2]],Planilha1!C:C,Planilha1!D:D)*Y128</f>
        <v>332</v>
      </c>
      <c r="AB128" s="4">
        <f>BASE_DE_NOMES[[#This Row],[IMPOSTOS]]+BASE_DE_NOMES[[#This Row],[SALARIO BASE]]+BASE_DE_NOMES[[#This Row],[FAMILIA]]</f>
        <v>1992</v>
      </c>
      <c r="AC128" t="str">
        <f>_xlfn.XLOOKUP(BASE_DE_NOMES[[#This Row],[Razão Social]],Planilha1!B:B,Planilha1!C:C)</f>
        <v>HOME CENTER</v>
      </c>
      <c r="AD128" t="str">
        <f>_xlfn.XLOOKUP(BASE_DE_NOMES[[#This Row],[Alocações]],Planilha1!B:B,Planilha1!C:C)</f>
        <v>GENESIS</v>
      </c>
    </row>
    <row r="129" spans="1:30" x14ac:dyDescent="0.25">
      <c r="A129" t="s">
        <v>138</v>
      </c>
      <c r="B129" t="s">
        <v>213</v>
      </c>
      <c r="C129" t="s">
        <v>252</v>
      </c>
      <c r="D129" t="s">
        <v>252</v>
      </c>
      <c r="E129" s="1">
        <f>IFERROR(_xlfn.XLOOKUP(BASE_DE_NOMES[[#This Row],[Nome]],'Folha Rainha'!B:B,'Folha Rainha'!D:D),0)</f>
        <v>44287</v>
      </c>
      <c r="F129" t="str">
        <f>IFERROR(_xlfn.XLOOKUP(BASE_DE_NOMES[[#This Row],[Nome]],'Folha Rainha'!B:B,'Folha Rainha'!E:E)," ")</f>
        <v>Trabalhando</v>
      </c>
      <c r="G129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129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29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29" s="4">
        <f>BASE_DE_NOMES[[#This Row],[C.CHEQUE]]-BASE_DE_NOMES[[#This Row],[FALTAS]]-BASE_DE_NOMES[[#This Row],[DESCONTO ]]</f>
        <v>1518</v>
      </c>
      <c r="K129">
        <f>SUMIF(GRATIFICAÇÃO!A:A,BASE_DE_NOMES[[#This Row],[Nome]],GRATIFICAÇÃO!F:F)</f>
        <v>0</v>
      </c>
      <c r="L129">
        <f>SUMIF(PG!A:A,BASE_DE_NOMES[[#This Row],[Nome]],PG!E:E)</f>
        <v>0</v>
      </c>
      <c r="M129">
        <f>SUMIFS('Folha Rainha'!G:G,'Folha Rainha'!B:B,BASE_DE_NOMES[[#This Row],[Nome]],'Folha Rainha'!F:F,"*Quebra*",'Folha Rainha'!F:F,"*QUEBRA*")</f>
        <v>0</v>
      </c>
      <c r="N129">
        <f>SUMIFS('Folha Rainha'!G:G,'Folha Rainha'!B:B,BASE_DE_NOMES[[#This Row],[Nome]],'Folha Rainha'!F:F,"ADC. ANTIGUIDADE")</f>
        <v>0</v>
      </c>
      <c r="O129">
        <f>SUMIFS('Folha Rainha'!G:G,'Folha Rainha'!B:B,BASE_DE_NOMES[[#This Row],[Nome]],'Folha Rainha'!F:F,"*Trienio*")</f>
        <v>0</v>
      </c>
      <c r="P129">
        <f>SUMIFS('Folha Rainha'!G:G,'Folha Rainha'!B:B,BASE_DE_NOMES[[#This Row],[Nome]],'Folha Rainha'!F:F,"*TAXA*")</f>
        <v>0</v>
      </c>
      <c r="Q129" s="4">
        <f>SUMIFS('Folha Rainha'!G:G,'Folha Rainha'!B:B,BASE_DE_NOMES[[#This Row],[Nome]],'Folha Rainha'!F:F,"SALARIO FAMILIA")+SUMIFS('Folha Rainha'!G:G,'Folha Rainha'!B:B,BASE_DE_NOMES[[#This Row],[Nome]],'Folha Rainha'!F:F,"Salário Família")</f>
        <v>65</v>
      </c>
      <c r="R129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29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29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29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29">
        <f>BASE_DE_NOMES[[#This Row],[BOLSA DE AUXILIO]]+BASE_DE_NOMES[[#This Row],[VALE TRANSP]]+BASE_DE_NOMES[[#This Row],[PLANO DE SAUDE]]-BASE_DE_NOMES[[#This Row],[DESCONTOS]]</f>
        <v>0</v>
      </c>
      <c r="W129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29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29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129">
        <f>BASE_DE_NOMES[[#This Row],[PAGAMENTOS]]+BASE_DE_NOMES[[#This Row],[GRATIFICAÇÃO]]</f>
        <v>0</v>
      </c>
      <c r="AA129" s="4">
        <f>_xlfn.XLOOKUP(BASE_DE_NOMES[[#This Row],[NOME2]],Planilha1!C:C,Planilha1!D:D)*Y129</f>
        <v>764.00939999999991</v>
      </c>
      <c r="AB129" s="4">
        <f>BASE_DE_NOMES[[#This Row],[IMPOSTOS]]+BASE_DE_NOMES[[#This Row],[SALARIO BASE]]+BASE_DE_NOMES[[#This Row],[FAMILIA]]</f>
        <v>2347.0093999999999</v>
      </c>
      <c r="AC129" t="str">
        <f>_xlfn.XLOOKUP(BASE_DE_NOMES[[#This Row],[Razão Social]],Planilha1!B:B,Planilha1!C:C)</f>
        <v>FABRICA</v>
      </c>
      <c r="AD129" t="str">
        <f>_xlfn.XLOOKUP(BASE_DE_NOMES[[#This Row],[Alocações]],Planilha1!B:B,Planilha1!C:C)</f>
        <v>FABRICA</v>
      </c>
    </row>
    <row r="130" spans="1:30" x14ac:dyDescent="0.25">
      <c r="A130" t="s">
        <v>690</v>
      </c>
      <c r="B130" t="s">
        <v>544</v>
      </c>
      <c r="C130" t="s">
        <v>252</v>
      </c>
      <c r="D130" t="s">
        <v>252</v>
      </c>
      <c r="E130" s="1">
        <f>IFERROR(_xlfn.XLOOKUP(BASE_DE_NOMES[[#This Row],[Nome]],'Folha Rainha'!B:B,'Folha Rainha'!D:D),0)</f>
        <v>0</v>
      </c>
      <c r="F130" t="str">
        <f>IFERROR(_xlfn.XLOOKUP(BASE_DE_NOMES[[#This Row],[Nome]],'Folha Rainha'!B:B,'Folha Rainha'!E:E)," ")</f>
        <v xml:space="preserve"> </v>
      </c>
      <c r="G130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30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30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30" s="4">
        <f>BASE_DE_NOMES[[#This Row],[C.CHEQUE]]-BASE_DE_NOMES[[#This Row],[FALTAS]]-BASE_DE_NOMES[[#This Row],[DESCONTO ]]</f>
        <v>0</v>
      </c>
      <c r="K130">
        <f>SUMIF(GRATIFICAÇÃO!A:A,BASE_DE_NOMES[[#This Row],[Nome]],GRATIFICAÇÃO!F:F)</f>
        <v>0</v>
      </c>
      <c r="L130">
        <f>SUMIF(PG!A:A,BASE_DE_NOMES[[#This Row],[Nome]],PG!E:E)</f>
        <v>278.3</v>
      </c>
      <c r="M130">
        <f>SUMIFS('Folha Rainha'!G:G,'Folha Rainha'!B:B,BASE_DE_NOMES[[#This Row],[Nome]],'Folha Rainha'!F:F,"*Quebra*",'Folha Rainha'!F:F,"*QUEBRA*")</f>
        <v>0</v>
      </c>
      <c r="N130">
        <f>SUMIFS('Folha Rainha'!G:G,'Folha Rainha'!B:B,BASE_DE_NOMES[[#This Row],[Nome]],'Folha Rainha'!F:F,"ADC. ANTIGUIDADE")</f>
        <v>0</v>
      </c>
      <c r="O130">
        <f>SUMIFS('Folha Rainha'!G:G,'Folha Rainha'!B:B,BASE_DE_NOMES[[#This Row],[Nome]],'Folha Rainha'!F:F,"*Trienio*")</f>
        <v>0</v>
      </c>
      <c r="P130">
        <f>SUMIFS('Folha Rainha'!G:G,'Folha Rainha'!B:B,BASE_DE_NOMES[[#This Row],[Nome]],'Folha Rainha'!F:F,"*TAXA*")</f>
        <v>0</v>
      </c>
      <c r="Q130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30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30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30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30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30">
        <f>BASE_DE_NOMES[[#This Row],[BOLSA DE AUXILIO]]+BASE_DE_NOMES[[#This Row],[VALE TRANSP]]+BASE_DE_NOMES[[#This Row],[PLANO DE SAUDE]]-BASE_DE_NOMES[[#This Row],[DESCONTOS]]</f>
        <v>0</v>
      </c>
      <c r="W130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30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30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30">
        <f>BASE_DE_NOMES[[#This Row],[PAGAMENTOS]]+BASE_DE_NOMES[[#This Row],[GRATIFICAÇÃO]]</f>
        <v>278.3</v>
      </c>
      <c r="AA130" s="4">
        <f>_xlfn.XLOOKUP(BASE_DE_NOMES[[#This Row],[NOME2]],Planilha1!C:C,Planilha1!D:D)*Y130</f>
        <v>0</v>
      </c>
      <c r="AB130" s="4">
        <f>BASE_DE_NOMES[[#This Row],[IMPOSTOS]]+BASE_DE_NOMES[[#This Row],[SALARIO BASE]]+BASE_DE_NOMES[[#This Row],[FAMILIA]]</f>
        <v>0</v>
      </c>
      <c r="AC130" t="str">
        <f>_xlfn.XLOOKUP(BASE_DE_NOMES[[#This Row],[Razão Social]],Planilha1!B:B,Planilha1!C:C)</f>
        <v>FABRICA</v>
      </c>
      <c r="AD130" t="str">
        <f>_xlfn.XLOOKUP(BASE_DE_NOMES[[#This Row],[Alocações]],Planilha1!B:B,Planilha1!C:C)</f>
        <v>FABRICA</v>
      </c>
    </row>
    <row r="131" spans="1:30" x14ac:dyDescent="0.25">
      <c r="A131" t="s">
        <v>598</v>
      </c>
      <c r="B131" t="s">
        <v>550</v>
      </c>
      <c r="C131" t="s">
        <v>228</v>
      </c>
      <c r="D131" t="s">
        <v>556</v>
      </c>
      <c r="E131" s="1">
        <f>IFERROR(_xlfn.XLOOKUP(BASE_DE_NOMES[[#This Row],[Nome]],'Folha Rainha'!B:B,'Folha Rainha'!D:D),0)</f>
        <v>45617</v>
      </c>
      <c r="F131">
        <f>IFERROR(_xlfn.XLOOKUP(BASE_DE_NOMES[[#This Row],[Nome]],'Folha Rainha'!B:B,'Folha Rainha'!E:E)," ")</f>
        <v>0</v>
      </c>
      <c r="G131" s="4">
        <f>SUMIFS('Folha Rainha'!G:G,'Folha Rainha'!B:B,BASE_DE_NOMES[[#This Row],[Nome]],'Folha Rainha'!F:F,"Salário Base")+SUMIFS('Folha Rainha'!G:G,'Folha Rainha'!B:B,BASE_DE_NOMES[[#This Row],[Nome]],'Folha Rainha'!F:F,"Salário:")</f>
        <v>600</v>
      </c>
      <c r="H131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31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31" s="4">
        <f>BASE_DE_NOMES[[#This Row],[C.CHEQUE]]-BASE_DE_NOMES[[#This Row],[FALTAS]]-BASE_DE_NOMES[[#This Row],[DESCONTO ]]</f>
        <v>600</v>
      </c>
      <c r="K131">
        <f>SUMIF(GRATIFICAÇÃO!A:A,BASE_DE_NOMES[[#This Row],[Nome]],GRATIFICAÇÃO!F:F)</f>
        <v>0</v>
      </c>
      <c r="L131">
        <f>SUMIF(PG!A:A,BASE_DE_NOMES[[#This Row],[Nome]],PG!E:E)</f>
        <v>0</v>
      </c>
      <c r="M131">
        <f>SUMIFS('Folha Rainha'!G:G,'Folha Rainha'!B:B,BASE_DE_NOMES[[#This Row],[Nome]],'Folha Rainha'!F:F,"*Quebra*",'Folha Rainha'!F:F,"*QUEBRA*")</f>
        <v>0</v>
      </c>
      <c r="N131">
        <f>SUMIFS('Folha Rainha'!G:G,'Folha Rainha'!B:B,BASE_DE_NOMES[[#This Row],[Nome]],'Folha Rainha'!F:F,"ADC. ANTIGUIDADE")</f>
        <v>0</v>
      </c>
      <c r="O131">
        <f>SUMIFS('Folha Rainha'!G:G,'Folha Rainha'!B:B,BASE_DE_NOMES[[#This Row],[Nome]],'Folha Rainha'!F:F,"*Trienio*")</f>
        <v>0</v>
      </c>
      <c r="P131">
        <f>SUMIFS('Folha Rainha'!G:G,'Folha Rainha'!B:B,BASE_DE_NOMES[[#This Row],[Nome]],'Folha Rainha'!F:F,"*TAXA*")</f>
        <v>0</v>
      </c>
      <c r="Q131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31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31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100</v>
      </c>
      <c r="T131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31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31">
        <f>BASE_DE_NOMES[[#This Row],[BOLSA DE AUXILIO]]+BASE_DE_NOMES[[#This Row],[VALE TRANSP]]+BASE_DE_NOMES[[#This Row],[PLANO DE SAUDE]]-BASE_DE_NOMES[[#This Row],[DESCONTOS]]</f>
        <v>100</v>
      </c>
      <c r="W131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31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31" s="4">
        <f>BASE_DE_NOMES[[#This Row],[TOTAL DE C.CHEQUE]]+BASE_DE_NOMES[[#This Row],[TOTAL DE QUEBRA]]+BASE_DE_NOMES[[#This Row],[ADC. ANTIGUIDADE]]+BASE_DE_NOMES[[#This Row],[TOTAL DE TRIENIO]]+BASE_DE_NOMES[[#This Row],[CCT]]</f>
        <v>600</v>
      </c>
      <c r="Z131">
        <f>BASE_DE_NOMES[[#This Row],[PAGAMENTOS]]+BASE_DE_NOMES[[#This Row],[GRATIFICAÇÃO]]</f>
        <v>0</v>
      </c>
      <c r="AA131" s="4">
        <f>_xlfn.XLOOKUP(BASE_DE_NOMES[[#This Row],[NOME2]],Planilha1!C:C,Planilha1!D:D)*Y131</f>
        <v>120</v>
      </c>
      <c r="AB131" s="4">
        <f>BASE_DE_NOMES[[#This Row],[IMPOSTOS]]+BASE_DE_NOMES[[#This Row],[SALARIO BASE]]+BASE_DE_NOMES[[#This Row],[FAMILIA]]</f>
        <v>720</v>
      </c>
      <c r="AC131" t="str">
        <f>_xlfn.XLOOKUP(BASE_DE_NOMES[[#This Row],[Razão Social]],Planilha1!B:B,Planilha1!C:C)</f>
        <v>GENESIS</v>
      </c>
      <c r="AD131" t="str">
        <f>_xlfn.XLOOKUP(BASE_DE_NOMES[[#This Row],[Alocações]],Planilha1!B:B,Planilha1!C:C)</f>
        <v>SR PASSOS</v>
      </c>
    </row>
    <row r="132" spans="1:30" x14ac:dyDescent="0.25">
      <c r="A132" t="s">
        <v>88</v>
      </c>
      <c r="B132" t="s">
        <v>101</v>
      </c>
      <c r="C132" t="s">
        <v>556</v>
      </c>
      <c r="D132" t="s">
        <v>252</v>
      </c>
      <c r="E132" s="1">
        <f>IFERROR(_xlfn.XLOOKUP(BASE_DE_NOMES[[#This Row],[Nome]],'Folha Rainha'!B:B,'Folha Rainha'!D:D),0)</f>
        <v>44762</v>
      </c>
      <c r="F132" t="str">
        <f>IFERROR(_xlfn.XLOOKUP(BASE_DE_NOMES[[#This Row],[Nome]],'Folha Rainha'!B:B,'Folha Rainha'!E:E)," ")</f>
        <v>Trabalhando</v>
      </c>
      <c r="G132" s="4">
        <f>SUMIFS('Folha Rainha'!G:G,'Folha Rainha'!B:B,BASE_DE_NOMES[[#This Row],[Nome]],'Folha Rainha'!F:F,"Salário Base")+SUMIFS('Folha Rainha'!G:G,'Folha Rainha'!B:B,BASE_DE_NOMES[[#This Row],[Nome]],'Folha Rainha'!F:F,"Salário:")</f>
        <v>2596.36</v>
      </c>
      <c r="H132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32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32" s="4">
        <f>BASE_DE_NOMES[[#This Row],[C.CHEQUE]]-BASE_DE_NOMES[[#This Row],[FALTAS]]-BASE_DE_NOMES[[#This Row],[DESCONTO ]]</f>
        <v>2596.36</v>
      </c>
      <c r="K132">
        <f>SUMIF(GRATIFICAÇÃO!A:A,BASE_DE_NOMES[[#This Row],[Nome]],GRATIFICAÇÃO!F:F)</f>
        <v>539</v>
      </c>
      <c r="L132">
        <f>SUMIF(PG!A:A,BASE_DE_NOMES[[#This Row],[Nome]],PG!E:E)</f>
        <v>0</v>
      </c>
      <c r="M132">
        <f>SUMIFS('Folha Rainha'!G:G,'Folha Rainha'!B:B,BASE_DE_NOMES[[#This Row],[Nome]],'Folha Rainha'!F:F,"*Quebra*",'Folha Rainha'!F:F,"*QUEBRA*")</f>
        <v>0</v>
      </c>
      <c r="N132">
        <f>SUMIFS('Folha Rainha'!G:G,'Folha Rainha'!B:B,BASE_DE_NOMES[[#This Row],[Nome]],'Folha Rainha'!F:F,"ADC. ANTIGUIDADE")</f>
        <v>0</v>
      </c>
      <c r="O132">
        <f>SUMIFS('Folha Rainha'!G:G,'Folha Rainha'!B:B,BASE_DE_NOMES[[#This Row],[Nome]],'Folha Rainha'!F:F,"*Trienio*")</f>
        <v>0</v>
      </c>
      <c r="P132">
        <f>SUMIFS('Folha Rainha'!G:G,'Folha Rainha'!B:B,BASE_DE_NOMES[[#This Row],[Nome]],'Folha Rainha'!F:F,"*TAXA*")</f>
        <v>0</v>
      </c>
      <c r="Q132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32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32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32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32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32">
        <f>BASE_DE_NOMES[[#This Row],[BOLSA DE AUXILIO]]+BASE_DE_NOMES[[#This Row],[VALE TRANSP]]+BASE_DE_NOMES[[#This Row],[PLANO DE SAUDE]]-BASE_DE_NOMES[[#This Row],[DESCONTOS]]</f>
        <v>0</v>
      </c>
      <c r="W132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32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32" s="4">
        <f>BASE_DE_NOMES[[#This Row],[TOTAL DE C.CHEQUE]]+BASE_DE_NOMES[[#This Row],[TOTAL DE QUEBRA]]+BASE_DE_NOMES[[#This Row],[ADC. ANTIGUIDADE]]+BASE_DE_NOMES[[#This Row],[TOTAL DE TRIENIO]]+BASE_DE_NOMES[[#This Row],[CCT]]</f>
        <v>2596.36</v>
      </c>
      <c r="Z132">
        <f>BASE_DE_NOMES[[#This Row],[PAGAMENTOS]]+BASE_DE_NOMES[[#This Row],[GRATIFICAÇÃO]]</f>
        <v>539</v>
      </c>
      <c r="AA132" s="4">
        <f>_xlfn.XLOOKUP(BASE_DE_NOMES[[#This Row],[NOME2]],Planilha1!C:C,Planilha1!D:D)*Y132</f>
        <v>1306.7479880000001</v>
      </c>
      <c r="AB132" s="4">
        <f>BASE_DE_NOMES[[#This Row],[IMPOSTOS]]+BASE_DE_NOMES[[#This Row],[SALARIO BASE]]+BASE_DE_NOMES[[#This Row],[FAMILIA]]</f>
        <v>3903.1079880000002</v>
      </c>
      <c r="AC132" t="str">
        <f>_xlfn.XLOOKUP(BASE_DE_NOMES[[#This Row],[Razão Social]],Planilha1!B:B,Planilha1!C:C)</f>
        <v>SR PASSOS</v>
      </c>
      <c r="AD132" t="str">
        <f>_xlfn.XLOOKUP(BASE_DE_NOMES[[#This Row],[Alocações]],Planilha1!B:B,Planilha1!C:C)</f>
        <v>FABRICA</v>
      </c>
    </row>
    <row r="133" spans="1:30" x14ac:dyDescent="0.25">
      <c r="A133" t="s">
        <v>159</v>
      </c>
      <c r="B133" t="s">
        <v>258</v>
      </c>
      <c r="C133" t="s">
        <v>556</v>
      </c>
      <c r="D133" t="s">
        <v>556</v>
      </c>
      <c r="E133" s="1">
        <f>IFERROR(_xlfn.XLOOKUP(BASE_DE_NOMES[[#This Row],[Nome]],'Folha Rainha'!B:B,'Folha Rainha'!D:D),0)</f>
        <v>41974</v>
      </c>
      <c r="F133" t="str">
        <f>IFERROR(_xlfn.XLOOKUP(BASE_DE_NOMES[[#This Row],[Nome]],'Folha Rainha'!B:B,'Folha Rainha'!E:E)," ")</f>
        <v>Trabalhando</v>
      </c>
      <c r="G133" s="4">
        <f>SUMIFS('Folha Rainha'!G:G,'Folha Rainha'!B:B,BASE_DE_NOMES[[#This Row],[Nome]],'Folha Rainha'!F:F,"Salário Base")+SUMIFS('Folha Rainha'!G:G,'Folha Rainha'!B:B,BASE_DE_NOMES[[#This Row],[Nome]],'Folha Rainha'!F:F,"Salário:")</f>
        <v>1660</v>
      </c>
      <c r="H133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33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33" s="4">
        <f>BASE_DE_NOMES[[#This Row],[C.CHEQUE]]-BASE_DE_NOMES[[#This Row],[FALTAS]]-BASE_DE_NOMES[[#This Row],[DESCONTO ]]</f>
        <v>1660</v>
      </c>
      <c r="K133">
        <f>SUMIF(GRATIFICAÇÃO!A:A,BASE_DE_NOMES[[#This Row],[Nome]],GRATIFICAÇÃO!F:F)</f>
        <v>0</v>
      </c>
      <c r="L133">
        <f>SUMIF(PG!A:A,BASE_DE_NOMES[[#This Row],[Nome]],PG!E:E)</f>
        <v>0</v>
      </c>
      <c r="M133">
        <f>SUMIFS('Folha Rainha'!G:G,'Folha Rainha'!B:B,BASE_DE_NOMES[[#This Row],[Nome]],'Folha Rainha'!F:F,"*Quebra*",'Folha Rainha'!F:F,"*QUEBRA*")</f>
        <v>0</v>
      </c>
      <c r="N133">
        <f>SUMIFS('Folha Rainha'!G:G,'Folha Rainha'!B:B,BASE_DE_NOMES[[#This Row],[Nome]],'Folha Rainha'!F:F,"ADC. ANTIGUIDADE")</f>
        <v>0</v>
      </c>
      <c r="O133">
        <f>SUMIFS('Folha Rainha'!G:G,'Folha Rainha'!B:B,BASE_DE_NOMES[[#This Row],[Nome]],'Folha Rainha'!F:F,"*Trienio*")</f>
        <v>249</v>
      </c>
      <c r="P133">
        <f>SUMIFS('Folha Rainha'!G:G,'Folha Rainha'!B:B,BASE_DE_NOMES[[#This Row],[Nome]],'Folha Rainha'!F:F,"*TAXA*")</f>
        <v>0</v>
      </c>
      <c r="Q133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33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33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99.6</v>
      </c>
      <c r="T133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33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33">
        <f>BASE_DE_NOMES[[#This Row],[BOLSA DE AUXILIO]]+BASE_DE_NOMES[[#This Row],[VALE TRANSP]]+BASE_DE_NOMES[[#This Row],[PLANO DE SAUDE]]-BASE_DE_NOMES[[#This Row],[DESCONTOS]]</f>
        <v>99.6</v>
      </c>
      <c r="W133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33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33" s="4">
        <f>BASE_DE_NOMES[[#This Row],[TOTAL DE C.CHEQUE]]+BASE_DE_NOMES[[#This Row],[TOTAL DE QUEBRA]]+BASE_DE_NOMES[[#This Row],[ADC. ANTIGUIDADE]]+BASE_DE_NOMES[[#This Row],[TOTAL DE TRIENIO]]+BASE_DE_NOMES[[#This Row],[CCT]]</f>
        <v>1909</v>
      </c>
      <c r="Z133">
        <f>BASE_DE_NOMES[[#This Row],[PAGAMENTOS]]+BASE_DE_NOMES[[#This Row],[GRATIFICAÇÃO]]</f>
        <v>0</v>
      </c>
      <c r="AA133" s="4">
        <f>_xlfn.XLOOKUP(BASE_DE_NOMES[[#This Row],[NOME2]],Planilha1!C:C,Planilha1!D:D)*Y133</f>
        <v>960.79969999999992</v>
      </c>
      <c r="AB133" s="4">
        <f>BASE_DE_NOMES[[#This Row],[IMPOSTOS]]+BASE_DE_NOMES[[#This Row],[SALARIO BASE]]+BASE_DE_NOMES[[#This Row],[FAMILIA]]</f>
        <v>2869.7997</v>
      </c>
      <c r="AC133" t="str">
        <f>_xlfn.XLOOKUP(BASE_DE_NOMES[[#This Row],[Razão Social]],Planilha1!B:B,Planilha1!C:C)</f>
        <v>SR PASSOS</v>
      </c>
      <c r="AD133" t="str">
        <f>_xlfn.XLOOKUP(BASE_DE_NOMES[[#This Row],[Alocações]],Planilha1!B:B,Planilha1!C:C)</f>
        <v>SR PASSOS</v>
      </c>
    </row>
    <row r="134" spans="1:30" x14ac:dyDescent="0.25">
      <c r="A134" t="s">
        <v>205</v>
      </c>
      <c r="B134" t="s">
        <v>39</v>
      </c>
      <c r="C134" t="s">
        <v>508</v>
      </c>
      <c r="D134" t="s">
        <v>508</v>
      </c>
      <c r="E134" s="1">
        <f>IFERROR(_xlfn.XLOOKUP(BASE_DE_NOMES[[#This Row],[Nome]],'Folha Rainha'!B:B,'Folha Rainha'!D:D),0)</f>
        <v>43349</v>
      </c>
      <c r="F134" t="str">
        <f>IFERROR(_xlfn.XLOOKUP(BASE_DE_NOMES[[#This Row],[Nome]],'Folha Rainha'!B:B,'Folha Rainha'!E:E)," ")</f>
        <v>Trabalhando</v>
      </c>
      <c r="G134" s="4">
        <f>SUMIFS('Folha Rainha'!G:G,'Folha Rainha'!B:B,BASE_DE_NOMES[[#This Row],[Nome]],'Folha Rainha'!F:F,"Salário Base")+SUMIFS('Folha Rainha'!G:G,'Folha Rainha'!B:B,BASE_DE_NOMES[[#This Row],[Nome]],'Folha Rainha'!F:F,"Salário:")</f>
        <v>5230.5200000000004</v>
      </c>
      <c r="H134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34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34" s="4">
        <f>BASE_DE_NOMES[[#This Row],[C.CHEQUE]]-BASE_DE_NOMES[[#This Row],[FALTAS]]-BASE_DE_NOMES[[#This Row],[DESCONTO ]]</f>
        <v>5230.5200000000004</v>
      </c>
      <c r="K134">
        <f>SUMIF(GRATIFICAÇÃO!A:A,BASE_DE_NOMES[[#This Row],[Nome]],GRATIFICAÇÃO!F:F)</f>
        <v>0</v>
      </c>
      <c r="L134">
        <f>SUMIF(PG!A:A,BASE_DE_NOMES[[#This Row],[Nome]],PG!E:E)</f>
        <v>0</v>
      </c>
      <c r="M134">
        <f>SUMIFS('Folha Rainha'!G:G,'Folha Rainha'!B:B,BASE_DE_NOMES[[#This Row],[Nome]],'Folha Rainha'!F:F,"*Quebra*",'Folha Rainha'!F:F,"*QUEBRA*")</f>
        <v>0</v>
      </c>
      <c r="N134">
        <f>SUMIFS('Folha Rainha'!G:G,'Folha Rainha'!B:B,BASE_DE_NOMES[[#This Row],[Nome]],'Folha Rainha'!F:F,"ADC. ANTIGUIDADE")</f>
        <v>0</v>
      </c>
      <c r="O134">
        <f>SUMIFS('Folha Rainha'!G:G,'Folha Rainha'!B:B,BASE_DE_NOMES[[#This Row],[Nome]],'Folha Rainha'!F:F,"*Trienio*")</f>
        <v>523.05999999999995</v>
      </c>
      <c r="P134">
        <f>SUMIFS('Folha Rainha'!G:G,'Folha Rainha'!B:B,BASE_DE_NOMES[[#This Row],[Nome]],'Folha Rainha'!F:F,"*TAXA*")</f>
        <v>0</v>
      </c>
      <c r="Q134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34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34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34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34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34">
        <f>BASE_DE_NOMES[[#This Row],[BOLSA DE AUXILIO]]+BASE_DE_NOMES[[#This Row],[VALE TRANSP]]+BASE_DE_NOMES[[#This Row],[PLANO DE SAUDE]]-BASE_DE_NOMES[[#This Row],[DESCONTOS]]</f>
        <v>0</v>
      </c>
      <c r="W134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34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34" s="4">
        <f>BASE_DE_NOMES[[#This Row],[TOTAL DE C.CHEQUE]]+BASE_DE_NOMES[[#This Row],[TOTAL DE QUEBRA]]+BASE_DE_NOMES[[#This Row],[ADC. ANTIGUIDADE]]+BASE_DE_NOMES[[#This Row],[TOTAL DE TRIENIO]]+BASE_DE_NOMES[[#This Row],[CCT]]</f>
        <v>5753.58</v>
      </c>
      <c r="Z134">
        <f>BASE_DE_NOMES[[#This Row],[PAGAMENTOS]]+BASE_DE_NOMES[[#This Row],[GRATIFICAÇÃO]]</f>
        <v>0</v>
      </c>
      <c r="AA134" s="4">
        <f>_xlfn.XLOOKUP(BASE_DE_NOMES[[#This Row],[NOME2]],Planilha1!C:C,Planilha1!D:D)*Y134</f>
        <v>1150.7160000000001</v>
      </c>
      <c r="AB134" s="4">
        <f>BASE_DE_NOMES[[#This Row],[IMPOSTOS]]+BASE_DE_NOMES[[#This Row],[SALARIO BASE]]+BASE_DE_NOMES[[#This Row],[FAMILIA]]</f>
        <v>6904.2960000000003</v>
      </c>
      <c r="AC134" t="str">
        <f>_xlfn.XLOOKUP(BASE_DE_NOMES[[#This Row],[Razão Social]],Planilha1!B:B,Planilha1!C:C)</f>
        <v>5K DECORAÇÕES</v>
      </c>
      <c r="AD134" t="str">
        <f>_xlfn.XLOOKUP(BASE_DE_NOMES[[#This Row],[Alocações]],Planilha1!B:B,Planilha1!C:C)</f>
        <v>5K DECORAÇÕES</v>
      </c>
    </row>
    <row r="135" spans="1:30" x14ac:dyDescent="0.25">
      <c r="A135" t="s">
        <v>175</v>
      </c>
      <c r="B135" t="s">
        <v>212</v>
      </c>
      <c r="C135" t="s">
        <v>253</v>
      </c>
      <c r="D135" t="s">
        <v>253</v>
      </c>
      <c r="E135" s="1">
        <f>IFERROR(_xlfn.XLOOKUP(BASE_DE_NOMES[[#This Row],[Nome]],'Folha Rainha'!B:B,'Folha Rainha'!D:D),0)</f>
        <v>43255</v>
      </c>
      <c r="F135" t="str">
        <f>IFERROR(_xlfn.XLOOKUP(BASE_DE_NOMES[[#This Row],[Nome]],'Folha Rainha'!B:B,'Folha Rainha'!E:E)," ")</f>
        <v>Trabalhando</v>
      </c>
      <c r="G135" s="4">
        <f>SUMIFS('Folha Rainha'!G:G,'Folha Rainha'!B:B,BASE_DE_NOMES[[#This Row],[Nome]],'Folha Rainha'!F:F,"Salário Base")+SUMIFS('Folha Rainha'!G:G,'Folha Rainha'!B:B,BASE_DE_NOMES[[#This Row],[Nome]],'Folha Rainha'!F:F,"Salário:")</f>
        <v>1660</v>
      </c>
      <c r="H135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1660</v>
      </c>
      <c r="I135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35" s="4">
        <f>BASE_DE_NOMES[[#This Row],[C.CHEQUE]]-BASE_DE_NOMES[[#This Row],[FALTAS]]-BASE_DE_NOMES[[#This Row],[DESCONTO ]]</f>
        <v>0</v>
      </c>
      <c r="K135">
        <f>SUMIF(GRATIFICAÇÃO!A:A,BASE_DE_NOMES[[#This Row],[Nome]],GRATIFICAÇÃO!F:F)</f>
        <v>0</v>
      </c>
      <c r="L135">
        <f>SUMIF(PG!A:A,BASE_DE_NOMES[[#This Row],[Nome]],PG!E:E)</f>
        <v>0</v>
      </c>
      <c r="M135">
        <f>SUMIFS('Folha Rainha'!G:G,'Folha Rainha'!B:B,BASE_DE_NOMES[[#This Row],[Nome]],'Folha Rainha'!F:F,"*Quebra*",'Folha Rainha'!F:F,"*QUEBRA*")</f>
        <v>0</v>
      </c>
      <c r="N135">
        <f>SUMIFS('Folha Rainha'!G:G,'Folha Rainha'!B:B,BASE_DE_NOMES[[#This Row],[Nome]],'Folha Rainha'!F:F,"ADC. ANTIGUIDADE")</f>
        <v>0</v>
      </c>
      <c r="O135">
        <f>SUMIFS('Folha Rainha'!G:G,'Folha Rainha'!B:B,BASE_DE_NOMES[[#This Row],[Nome]],'Folha Rainha'!F:F,"*Trienio*")</f>
        <v>0</v>
      </c>
      <c r="P135">
        <f>SUMIFS('Folha Rainha'!G:G,'Folha Rainha'!B:B,BASE_DE_NOMES[[#This Row],[Nome]],'Folha Rainha'!F:F,"*TAXA*")</f>
        <v>0</v>
      </c>
      <c r="Q135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35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35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35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35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35">
        <f>BASE_DE_NOMES[[#This Row],[BOLSA DE AUXILIO]]+BASE_DE_NOMES[[#This Row],[VALE TRANSP]]+BASE_DE_NOMES[[#This Row],[PLANO DE SAUDE]]-BASE_DE_NOMES[[#This Row],[DESCONTOS]]</f>
        <v>0</v>
      </c>
      <c r="W135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35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35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35">
        <f>BASE_DE_NOMES[[#This Row],[PAGAMENTOS]]+BASE_DE_NOMES[[#This Row],[GRATIFICAÇÃO]]</f>
        <v>0</v>
      </c>
      <c r="AA135" s="4">
        <f>_xlfn.XLOOKUP(BASE_DE_NOMES[[#This Row],[NOME2]],Planilha1!C:C,Planilha1!D:D)*Y135</f>
        <v>0</v>
      </c>
      <c r="AB135" s="4">
        <f>BASE_DE_NOMES[[#This Row],[IMPOSTOS]]+BASE_DE_NOMES[[#This Row],[SALARIO BASE]]+BASE_DE_NOMES[[#This Row],[FAMILIA]]</f>
        <v>0</v>
      </c>
      <c r="AC135" t="str">
        <f>_xlfn.XLOOKUP(BASE_DE_NOMES[[#This Row],[Razão Social]],Planilha1!B:B,Planilha1!C:C)</f>
        <v>HOME CENTER</v>
      </c>
      <c r="AD135" t="str">
        <f>_xlfn.XLOOKUP(BASE_DE_NOMES[[#This Row],[Alocações]],Planilha1!B:B,Planilha1!C:C)</f>
        <v>HOME CENTER</v>
      </c>
    </row>
    <row r="136" spans="1:30" x14ac:dyDescent="0.25">
      <c r="A136" t="s">
        <v>139</v>
      </c>
      <c r="B136" t="s">
        <v>213</v>
      </c>
      <c r="C136" t="s">
        <v>252</v>
      </c>
      <c r="D136" t="s">
        <v>252</v>
      </c>
      <c r="E136" s="1">
        <f>IFERROR(_xlfn.XLOOKUP(BASE_DE_NOMES[[#This Row],[Nome]],'Folha Rainha'!B:B,'Folha Rainha'!D:D),0)</f>
        <v>44482</v>
      </c>
      <c r="F136" t="str">
        <f>IFERROR(_xlfn.XLOOKUP(BASE_DE_NOMES[[#This Row],[Nome]],'Folha Rainha'!B:B,'Folha Rainha'!E:E)," ")</f>
        <v>Trabalhando</v>
      </c>
      <c r="G136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136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36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36" s="4">
        <f>BASE_DE_NOMES[[#This Row],[C.CHEQUE]]-BASE_DE_NOMES[[#This Row],[FALTAS]]-BASE_DE_NOMES[[#This Row],[DESCONTO ]]</f>
        <v>1518</v>
      </c>
      <c r="K136">
        <f>SUMIF(GRATIFICAÇÃO!A:A,BASE_DE_NOMES[[#This Row],[Nome]],GRATIFICAÇÃO!F:F)</f>
        <v>0</v>
      </c>
      <c r="L136">
        <f>SUMIF(PG!A:A,BASE_DE_NOMES[[#This Row],[Nome]],PG!E:E)</f>
        <v>0</v>
      </c>
      <c r="M136">
        <f>SUMIFS('Folha Rainha'!G:G,'Folha Rainha'!B:B,BASE_DE_NOMES[[#This Row],[Nome]],'Folha Rainha'!F:F,"*Quebra*",'Folha Rainha'!F:F,"*QUEBRA*")</f>
        <v>0</v>
      </c>
      <c r="N136">
        <f>SUMIFS('Folha Rainha'!G:G,'Folha Rainha'!B:B,BASE_DE_NOMES[[#This Row],[Nome]],'Folha Rainha'!F:F,"ADC. ANTIGUIDADE")</f>
        <v>0</v>
      </c>
      <c r="O136">
        <f>SUMIFS('Folha Rainha'!G:G,'Folha Rainha'!B:B,BASE_DE_NOMES[[#This Row],[Nome]],'Folha Rainha'!F:F,"*Trienio*")</f>
        <v>0</v>
      </c>
      <c r="P136">
        <f>SUMIFS('Folha Rainha'!G:G,'Folha Rainha'!B:B,BASE_DE_NOMES[[#This Row],[Nome]],'Folha Rainha'!F:F,"*TAXA*")</f>
        <v>0</v>
      </c>
      <c r="Q136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36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36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36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36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36">
        <f>BASE_DE_NOMES[[#This Row],[BOLSA DE AUXILIO]]+BASE_DE_NOMES[[#This Row],[VALE TRANSP]]+BASE_DE_NOMES[[#This Row],[PLANO DE SAUDE]]-BASE_DE_NOMES[[#This Row],[DESCONTOS]]</f>
        <v>0</v>
      </c>
      <c r="W136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36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36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136">
        <f>BASE_DE_NOMES[[#This Row],[PAGAMENTOS]]+BASE_DE_NOMES[[#This Row],[GRATIFICAÇÃO]]</f>
        <v>0</v>
      </c>
      <c r="AA136" s="4">
        <f>_xlfn.XLOOKUP(BASE_DE_NOMES[[#This Row],[NOME2]],Planilha1!C:C,Planilha1!D:D)*Y136</f>
        <v>764.00939999999991</v>
      </c>
      <c r="AB136" s="4">
        <f>BASE_DE_NOMES[[#This Row],[IMPOSTOS]]+BASE_DE_NOMES[[#This Row],[SALARIO BASE]]+BASE_DE_NOMES[[#This Row],[FAMILIA]]</f>
        <v>2282.0093999999999</v>
      </c>
      <c r="AC136" t="str">
        <f>_xlfn.XLOOKUP(BASE_DE_NOMES[[#This Row],[Razão Social]],Planilha1!B:B,Planilha1!C:C)</f>
        <v>FABRICA</v>
      </c>
      <c r="AD136" t="str">
        <f>_xlfn.XLOOKUP(BASE_DE_NOMES[[#This Row],[Alocações]],Planilha1!B:B,Planilha1!C:C)</f>
        <v>FABRICA</v>
      </c>
    </row>
    <row r="137" spans="1:30" x14ac:dyDescent="0.25">
      <c r="A137" t="s">
        <v>444</v>
      </c>
      <c r="B137" t="s">
        <v>124</v>
      </c>
      <c r="C137" t="s">
        <v>322</v>
      </c>
      <c r="D137" t="s">
        <v>322</v>
      </c>
      <c r="E137" s="1">
        <f>IFERROR(_xlfn.XLOOKUP(BASE_DE_NOMES[[#This Row],[Nome]],'Folha Rainha'!B:B,'Folha Rainha'!D:D),0)</f>
        <v>45271</v>
      </c>
      <c r="F137" t="str">
        <f>IFERROR(_xlfn.XLOOKUP(BASE_DE_NOMES[[#This Row],[Nome]],'Folha Rainha'!B:B,'Folha Rainha'!E:E)," ")</f>
        <v>Trabalhando</v>
      </c>
      <c r="G137" s="4">
        <f>SUMIFS('Folha Rainha'!G:G,'Folha Rainha'!B:B,BASE_DE_NOMES[[#This Row],[Nome]],'Folha Rainha'!F:F,"Salário Base")+SUMIFS('Folha Rainha'!G:G,'Folha Rainha'!B:B,BASE_DE_NOMES[[#This Row],[Nome]],'Folha Rainha'!F:F,"Salário:")</f>
        <v>2834.71</v>
      </c>
      <c r="H137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37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37" s="4">
        <f>BASE_DE_NOMES[[#This Row],[C.CHEQUE]]-BASE_DE_NOMES[[#This Row],[FALTAS]]-BASE_DE_NOMES[[#This Row],[DESCONTO ]]</f>
        <v>2834.71</v>
      </c>
      <c r="K137">
        <f>SUMIF(GRATIFICAÇÃO!A:A,BASE_DE_NOMES[[#This Row],[Nome]],GRATIFICAÇÃO!F:F)</f>
        <v>0</v>
      </c>
      <c r="L137">
        <f>SUMIF(PG!A:A,BASE_DE_NOMES[[#This Row],[Nome]],PG!E:E)</f>
        <v>0</v>
      </c>
      <c r="M137">
        <f>SUMIFS('Folha Rainha'!G:G,'Folha Rainha'!B:B,BASE_DE_NOMES[[#This Row],[Nome]],'Folha Rainha'!F:F,"*Quebra*",'Folha Rainha'!F:F,"*QUEBRA*")</f>
        <v>0</v>
      </c>
      <c r="N137">
        <f>SUMIFS('Folha Rainha'!G:G,'Folha Rainha'!B:B,BASE_DE_NOMES[[#This Row],[Nome]],'Folha Rainha'!F:F,"ADC. ANTIGUIDADE")</f>
        <v>0</v>
      </c>
      <c r="O137">
        <f>SUMIFS('Folha Rainha'!G:G,'Folha Rainha'!B:B,BASE_DE_NOMES[[#This Row],[Nome]],'Folha Rainha'!F:F,"*Trienio*")</f>
        <v>0</v>
      </c>
      <c r="P137">
        <f>SUMIFS('Folha Rainha'!G:G,'Folha Rainha'!B:B,BASE_DE_NOMES[[#This Row],[Nome]],'Folha Rainha'!F:F,"*TAXA*")</f>
        <v>0</v>
      </c>
      <c r="Q137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37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37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37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37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37">
        <f>BASE_DE_NOMES[[#This Row],[BOLSA DE AUXILIO]]+BASE_DE_NOMES[[#This Row],[VALE TRANSP]]+BASE_DE_NOMES[[#This Row],[PLANO DE SAUDE]]-BASE_DE_NOMES[[#This Row],[DESCONTOS]]</f>
        <v>0</v>
      </c>
      <c r="W137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37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37" s="4">
        <f>BASE_DE_NOMES[[#This Row],[TOTAL DE C.CHEQUE]]+BASE_DE_NOMES[[#This Row],[TOTAL DE QUEBRA]]+BASE_DE_NOMES[[#This Row],[ADC. ANTIGUIDADE]]+BASE_DE_NOMES[[#This Row],[TOTAL DE TRIENIO]]+BASE_DE_NOMES[[#This Row],[CCT]]</f>
        <v>2834.71</v>
      </c>
      <c r="Z137">
        <f>BASE_DE_NOMES[[#This Row],[PAGAMENTOS]]+BASE_DE_NOMES[[#This Row],[GRATIFICAÇÃO]]</f>
        <v>0</v>
      </c>
      <c r="AA137" s="4">
        <f>_xlfn.XLOOKUP(BASE_DE_NOMES[[#This Row],[NOME2]],Planilha1!C:C,Planilha1!D:D)*Y137</f>
        <v>566.94200000000001</v>
      </c>
      <c r="AB137" s="4">
        <f>BASE_DE_NOMES[[#This Row],[IMPOSTOS]]+BASE_DE_NOMES[[#This Row],[SALARIO BASE]]+BASE_DE_NOMES[[#This Row],[FAMILIA]]</f>
        <v>3401.652</v>
      </c>
      <c r="AC137" t="str">
        <f>_xlfn.XLOOKUP(BASE_DE_NOMES[[#This Row],[Razão Social]],Planilha1!B:B,Planilha1!C:C)</f>
        <v>METANÓIA</v>
      </c>
      <c r="AD137" t="str">
        <f>_xlfn.XLOOKUP(BASE_DE_NOMES[[#This Row],[Alocações]],Planilha1!B:B,Planilha1!C:C)</f>
        <v>METANÓIA</v>
      </c>
    </row>
    <row r="138" spans="1:30" x14ac:dyDescent="0.25">
      <c r="A138" t="s">
        <v>691</v>
      </c>
      <c r="B138" t="s">
        <v>544</v>
      </c>
      <c r="C138" t="s">
        <v>252</v>
      </c>
      <c r="D138" t="s">
        <v>252</v>
      </c>
      <c r="E138" s="1">
        <f>IFERROR(_xlfn.XLOOKUP(BASE_DE_NOMES[[#This Row],[Nome]],'Folha Rainha'!B:B,'Folha Rainha'!D:D),0)</f>
        <v>0</v>
      </c>
      <c r="F138" t="str">
        <f>IFERROR(_xlfn.XLOOKUP(BASE_DE_NOMES[[#This Row],[Nome]],'Folha Rainha'!B:B,'Folha Rainha'!E:E)," ")</f>
        <v xml:space="preserve"> </v>
      </c>
      <c r="G138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38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38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38" s="4">
        <f>BASE_DE_NOMES[[#This Row],[C.CHEQUE]]-BASE_DE_NOMES[[#This Row],[FALTAS]]-BASE_DE_NOMES[[#This Row],[DESCONTO ]]</f>
        <v>0</v>
      </c>
      <c r="K138">
        <f>SUMIF(GRATIFICAÇÃO!A:A,BASE_DE_NOMES[[#This Row],[Nome]],GRATIFICAÇÃO!F:F)</f>
        <v>0</v>
      </c>
      <c r="L138">
        <f>SUMIF(PG!A:A,BASE_DE_NOMES[[#This Row],[Nome]],PG!E:E)</f>
        <v>759</v>
      </c>
      <c r="M138">
        <f>SUMIFS('Folha Rainha'!G:G,'Folha Rainha'!B:B,BASE_DE_NOMES[[#This Row],[Nome]],'Folha Rainha'!F:F,"*Quebra*",'Folha Rainha'!F:F,"*QUEBRA*")</f>
        <v>0</v>
      </c>
      <c r="N138">
        <f>SUMIFS('Folha Rainha'!G:G,'Folha Rainha'!B:B,BASE_DE_NOMES[[#This Row],[Nome]],'Folha Rainha'!F:F,"ADC. ANTIGUIDADE")</f>
        <v>0</v>
      </c>
      <c r="O138">
        <f>SUMIFS('Folha Rainha'!G:G,'Folha Rainha'!B:B,BASE_DE_NOMES[[#This Row],[Nome]],'Folha Rainha'!F:F,"*Trienio*")</f>
        <v>0</v>
      </c>
      <c r="P138">
        <f>SUMIFS('Folha Rainha'!G:G,'Folha Rainha'!B:B,BASE_DE_NOMES[[#This Row],[Nome]],'Folha Rainha'!F:F,"*TAXA*")</f>
        <v>0</v>
      </c>
      <c r="Q138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38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38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38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38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38">
        <f>BASE_DE_NOMES[[#This Row],[BOLSA DE AUXILIO]]+BASE_DE_NOMES[[#This Row],[VALE TRANSP]]+BASE_DE_NOMES[[#This Row],[PLANO DE SAUDE]]-BASE_DE_NOMES[[#This Row],[DESCONTOS]]</f>
        <v>0</v>
      </c>
      <c r="W138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38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38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38">
        <f>BASE_DE_NOMES[[#This Row],[PAGAMENTOS]]+BASE_DE_NOMES[[#This Row],[GRATIFICAÇÃO]]</f>
        <v>759</v>
      </c>
      <c r="AA138" s="4">
        <f>_xlfn.XLOOKUP(BASE_DE_NOMES[[#This Row],[NOME2]],Planilha1!C:C,Planilha1!D:D)*Y138</f>
        <v>0</v>
      </c>
      <c r="AB138" s="4">
        <f>BASE_DE_NOMES[[#This Row],[IMPOSTOS]]+BASE_DE_NOMES[[#This Row],[SALARIO BASE]]+BASE_DE_NOMES[[#This Row],[FAMILIA]]</f>
        <v>0</v>
      </c>
      <c r="AC138" t="str">
        <f>_xlfn.XLOOKUP(BASE_DE_NOMES[[#This Row],[Razão Social]],Planilha1!B:B,Planilha1!C:C)</f>
        <v>FABRICA</v>
      </c>
      <c r="AD138" t="str">
        <f>_xlfn.XLOOKUP(BASE_DE_NOMES[[#This Row],[Alocações]],Planilha1!B:B,Planilha1!C:C)</f>
        <v>FABRICA</v>
      </c>
    </row>
    <row r="139" spans="1:30" x14ac:dyDescent="0.25">
      <c r="A139" t="s">
        <v>692</v>
      </c>
      <c r="B139" t="s">
        <v>56</v>
      </c>
      <c r="C139" t="s">
        <v>556</v>
      </c>
      <c r="D139" t="s">
        <v>556</v>
      </c>
      <c r="E139" s="1">
        <f>IFERROR(_xlfn.XLOOKUP(BASE_DE_NOMES[[#This Row],[Nome]],'Folha Rainha'!B:B,'Folha Rainha'!D:D),0)</f>
        <v>0</v>
      </c>
      <c r="F139" t="str">
        <f>IFERROR(_xlfn.XLOOKUP(BASE_DE_NOMES[[#This Row],[Nome]],'Folha Rainha'!B:B,'Folha Rainha'!E:E)," ")</f>
        <v xml:space="preserve"> </v>
      </c>
      <c r="G139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39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39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39" s="4">
        <f>BASE_DE_NOMES[[#This Row],[C.CHEQUE]]-BASE_DE_NOMES[[#This Row],[FALTAS]]-BASE_DE_NOMES[[#This Row],[DESCONTO ]]</f>
        <v>0</v>
      </c>
      <c r="K139">
        <f>SUMIF(GRATIFICAÇÃO!A:A,BASE_DE_NOMES[[#This Row],[Nome]],GRATIFICAÇÃO!F:F)</f>
        <v>0</v>
      </c>
      <c r="L139">
        <f>SUMIF(PG!A:A,BASE_DE_NOMES[[#This Row],[Nome]],PG!E:E)</f>
        <v>0</v>
      </c>
      <c r="M139">
        <f>SUMIFS('Folha Rainha'!G:G,'Folha Rainha'!B:B,BASE_DE_NOMES[[#This Row],[Nome]],'Folha Rainha'!F:F,"*Quebra*",'Folha Rainha'!F:F,"*QUEBRA*")</f>
        <v>0</v>
      </c>
      <c r="N139">
        <f>SUMIFS('Folha Rainha'!G:G,'Folha Rainha'!B:B,BASE_DE_NOMES[[#This Row],[Nome]],'Folha Rainha'!F:F,"ADC. ANTIGUIDADE")</f>
        <v>0</v>
      </c>
      <c r="O139">
        <f>SUMIFS('Folha Rainha'!G:G,'Folha Rainha'!B:B,BASE_DE_NOMES[[#This Row],[Nome]],'Folha Rainha'!F:F,"*Trienio*")</f>
        <v>0</v>
      </c>
      <c r="P139">
        <f>SUMIFS('Folha Rainha'!G:G,'Folha Rainha'!B:B,BASE_DE_NOMES[[#This Row],[Nome]],'Folha Rainha'!F:F,"*TAXA*")</f>
        <v>0</v>
      </c>
      <c r="Q139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39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39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39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39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39">
        <f>BASE_DE_NOMES[[#This Row],[BOLSA DE AUXILIO]]+BASE_DE_NOMES[[#This Row],[VALE TRANSP]]+BASE_DE_NOMES[[#This Row],[PLANO DE SAUDE]]-BASE_DE_NOMES[[#This Row],[DESCONTOS]]</f>
        <v>0</v>
      </c>
      <c r="W139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39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39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39">
        <f>BASE_DE_NOMES[[#This Row],[PAGAMENTOS]]+BASE_DE_NOMES[[#This Row],[GRATIFICAÇÃO]]</f>
        <v>0</v>
      </c>
      <c r="AA139" s="4">
        <f>_xlfn.XLOOKUP(BASE_DE_NOMES[[#This Row],[NOME2]],Planilha1!C:C,Planilha1!D:D)*Y139</f>
        <v>0</v>
      </c>
      <c r="AB139" s="4">
        <f>BASE_DE_NOMES[[#This Row],[IMPOSTOS]]+BASE_DE_NOMES[[#This Row],[SALARIO BASE]]+BASE_DE_NOMES[[#This Row],[FAMILIA]]</f>
        <v>0</v>
      </c>
      <c r="AC139" t="str">
        <f>_xlfn.XLOOKUP(BASE_DE_NOMES[[#This Row],[Razão Social]],Planilha1!B:B,Planilha1!C:C)</f>
        <v>SR PASSOS</v>
      </c>
      <c r="AD139" t="str">
        <f>_xlfn.XLOOKUP(BASE_DE_NOMES[[#This Row],[Alocações]],Planilha1!B:B,Planilha1!C:C)</f>
        <v>SR PASSOS</v>
      </c>
    </row>
    <row r="140" spans="1:30" x14ac:dyDescent="0.25">
      <c r="A140" t="s">
        <v>576</v>
      </c>
      <c r="B140" t="s">
        <v>213</v>
      </c>
      <c r="C140" t="s">
        <v>252</v>
      </c>
      <c r="D140" t="s">
        <v>252</v>
      </c>
      <c r="E140" s="1">
        <f>IFERROR(_xlfn.XLOOKUP(BASE_DE_NOMES[[#This Row],[Nome]],'Folha Rainha'!B:B,'Folha Rainha'!D:D),0)</f>
        <v>45681</v>
      </c>
      <c r="F140" t="str">
        <f>IFERROR(_xlfn.XLOOKUP(BASE_DE_NOMES[[#This Row],[Nome]],'Folha Rainha'!B:B,'Folha Rainha'!E:E)," ")</f>
        <v>Trabalhando</v>
      </c>
      <c r="G140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140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40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40" s="4">
        <f>BASE_DE_NOMES[[#This Row],[C.CHEQUE]]-BASE_DE_NOMES[[#This Row],[FALTAS]]-BASE_DE_NOMES[[#This Row],[DESCONTO ]]</f>
        <v>1518</v>
      </c>
      <c r="K140">
        <f>SUMIF(GRATIFICAÇÃO!A:A,BASE_DE_NOMES[[#This Row],[Nome]],GRATIFICAÇÃO!F:F)</f>
        <v>0</v>
      </c>
      <c r="L140">
        <f>SUMIF(PG!A:A,BASE_DE_NOMES[[#This Row],[Nome]],PG!E:E)</f>
        <v>0</v>
      </c>
      <c r="M140">
        <f>SUMIFS('Folha Rainha'!G:G,'Folha Rainha'!B:B,BASE_DE_NOMES[[#This Row],[Nome]],'Folha Rainha'!F:F,"*Quebra*",'Folha Rainha'!F:F,"*QUEBRA*")</f>
        <v>0</v>
      </c>
      <c r="N140">
        <f>SUMIFS('Folha Rainha'!G:G,'Folha Rainha'!B:B,BASE_DE_NOMES[[#This Row],[Nome]],'Folha Rainha'!F:F,"ADC. ANTIGUIDADE")</f>
        <v>0</v>
      </c>
      <c r="O140">
        <f>SUMIFS('Folha Rainha'!G:G,'Folha Rainha'!B:B,BASE_DE_NOMES[[#This Row],[Nome]],'Folha Rainha'!F:F,"*Trienio*")</f>
        <v>0</v>
      </c>
      <c r="P140">
        <f>SUMIFS('Folha Rainha'!G:G,'Folha Rainha'!B:B,BASE_DE_NOMES[[#This Row],[Nome]],'Folha Rainha'!F:F,"*TAXA*")</f>
        <v>0</v>
      </c>
      <c r="Q140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40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40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40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40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40">
        <f>BASE_DE_NOMES[[#This Row],[BOLSA DE AUXILIO]]+BASE_DE_NOMES[[#This Row],[VALE TRANSP]]+BASE_DE_NOMES[[#This Row],[PLANO DE SAUDE]]-BASE_DE_NOMES[[#This Row],[DESCONTOS]]</f>
        <v>0</v>
      </c>
      <c r="W140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40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40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140">
        <f>BASE_DE_NOMES[[#This Row],[PAGAMENTOS]]+BASE_DE_NOMES[[#This Row],[GRATIFICAÇÃO]]</f>
        <v>0</v>
      </c>
      <c r="AA140" s="4">
        <f>_xlfn.XLOOKUP(BASE_DE_NOMES[[#This Row],[NOME2]],Planilha1!C:C,Planilha1!D:D)*Y140</f>
        <v>764.00939999999991</v>
      </c>
      <c r="AB140" s="4">
        <f>BASE_DE_NOMES[[#This Row],[IMPOSTOS]]+BASE_DE_NOMES[[#This Row],[SALARIO BASE]]+BASE_DE_NOMES[[#This Row],[FAMILIA]]</f>
        <v>2282.0093999999999</v>
      </c>
      <c r="AC140" t="str">
        <f>_xlfn.XLOOKUP(BASE_DE_NOMES[[#This Row],[Razão Social]],Planilha1!B:B,Planilha1!C:C)</f>
        <v>FABRICA</v>
      </c>
      <c r="AD140" t="str">
        <f>_xlfn.XLOOKUP(BASE_DE_NOMES[[#This Row],[Alocações]],Planilha1!B:B,Planilha1!C:C)</f>
        <v>FABRICA</v>
      </c>
    </row>
    <row r="141" spans="1:30" x14ac:dyDescent="0.25">
      <c r="A141" t="s">
        <v>693</v>
      </c>
      <c r="B141" t="s">
        <v>544</v>
      </c>
      <c r="C141" t="s">
        <v>252</v>
      </c>
      <c r="D141" t="s">
        <v>252</v>
      </c>
      <c r="E141" s="1">
        <f>IFERROR(_xlfn.XLOOKUP(BASE_DE_NOMES[[#This Row],[Nome]],'Folha Rainha'!B:B,'Folha Rainha'!D:D),0)</f>
        <v>0</v>
      </c>
      <c r="F141" t="str">
        <f>IFERROR(_xlfn.XLOOKUP(BASE_DE_NOMES[[#This Row],[Nome]],'Folha Rainha'!B:B,'Folha Rainha'!E:E)," ")</f>
        <v xml:space="preserve"> </v>
      </c>
      <c r="G141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41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41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41" s="4">
        <f>BASE_DE_NOMES[[#This Row],[C.CHEQUE]]-BASE_DE_NOMES[[#This Row],[FALTAS]]-BASE_DE_NOMES[[#This Row],[DESCONTO ]]</f>
        <v>0</v>
      </c>
      <c r="K141">
        <f>SUMIF(GRATIFICAÇÃO!A:A,BASE_DE_NOMES[[#This Row],[Nome]],GRATIFICAÇÃO!F:F)</f>
        <v>0</v>
      </c>
      <c r="L141">
        <f>SUMIF(PG!A:A,BASE_DE_NOMES[[#This Row],[Nome]],PG!E:E)</f>
        <v>759</v>
      </c>
      <c r="M141">
        <f>SUMIFS('Folha Rainha'!G:G,'Folha Rainha'!B:B,BASE_DE_NOMES[[#This Row],[Nome]],'Folha Rainha'!F:F,"*Quebra*",'Folha Rainha'!F:F,"*QUEBRA*")</f>
        <v>0</v>
      </c>
      <c r="N141">
        <f>SUMIFS('Folha Rainha'!G:G,'Folha Rainha'!B:B,BASE_DE_NOMES[[#This Row],[Nome]],'Folha Rainha'!F:F,"ADC. ANTIGUIDADE")</f>
        <v>0</v>
      </c>
      <c r="O141">
        <f>SUMIFS('Folha Rainha'!G:G,'Folha Rainha'!B:B,BASE_DE_NOMES[[#This Row],[Nome]],'Folha Rainha'!F:F,"*Trienio*")</f>
        <v>0</v>
      </c>
      <c r="P141">
        <f>SUMIFS('Folha Rainha'!G:G,'Folha Rainha'!B:B,BASE_DE_NOMES[[#This Row],[Nome]],'Folha Rainha'!F:F,"*TAXA*")</f>
        <v>0</v>
      </c>
      <c r="Q141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41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41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41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41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41">
        <f>BASE_DE_NOMES[[#This Row],[BOLSA DE AUXILIO]]+BASE_DE_NOMES[[#This Row],[VALE TRANSP]]+BASE_DE_NOMES[[#This Row],[PLANO DE SAUDE]]-BASE_DE_NOMES[[#This Row],[DESCONTOS]]</f>
        <v>0</v>
      </c>
      <c r="W141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41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41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41">
        <f>BASE_DE_NOMES[[#This Row],[PAGAMENTOS]]+BASE_DE_NOMES[[#This Row],[GRATIFICAÇÃO]]</f>
        <v>759</v>
      </c>
      <c r="AA141" s="4">
        <f>_xlfn.XLOOKUP(BASE_DE_NOMES[[#This Row],[NOME2]],Planilha1!C:C,Planilha1!D:D)*Y141</f>
        <v>0</v>
      </c>
      <c r="AB141" s="4">
        <f>BASE_DE_NOMES[[#This Row],[IMPOSTOS]]+BASE_DE_NOMES[[#This Row],[SALARIO BASE]]+BASE_DE_NOMES[[#This Row],[FAMILIA]]</f>
        <v>0</v>
      </c>
      <c r="AC141" t="str">
        <f>_xlfn.XLOOKUP(BASE_DE_NOMES[[#This Row],[Razão Social]],Planilha1!B:B,Planilha1!C:C)</f>
        <v>FABRICA</v>
      </c>
      <c r="AD141" t="str">
        <f>_xlfn.XLOOKUP(BASE_DE_NOMES[[#This Row],[Alocações]],Planilha1!B:B,Planilha1!C:C)</f>
        <v>FABRICA</v>
      </c>
    </row>
    <row r="142" spans="1:30" x14ac:dyDescent="0.25">
      <c r="A142" t="s">
        <v>95</v>
      </c>
      <c r="B142" t="s">
        <v>99</v>
      </c>
      <c r="C142" t="s">
        <v>253</v>
      </c>
      <c r="D142" t="s">
        <v>253</v>
      </c>
      <c r="E142" s="1">
        <f>IFERROR(_xlfn.XLOOKUP(BASE_DE_NOMES[[#This Row],[Nome]],'Folha Rainha'!B:B,'Folha Rainha'!D:D),0)</f>
        <v>42675</v>
      </c>
      <c r="F142" t="str">
        <f>IFERROR(_xlfn.XLOOKUP(BASE_DE_NOMES[[#This Row],[Nome]],'Folha Rainha'!B:B,'Folha Rainha'!E:E)," ")</f>
        <v>Trabalhando</v>
      </c>
      <c r="G142" s="4">
        <f>SUMIFS('Folha Rainha'!G:G,'Folha Rainha'!B:B,BASE_DE_NOMES[[#This Row],[Nome]],'Folha Rainha'!F:F,"Salário Base")+SUMIFS('Folha Rainha'!G:G,'Folha Rainha'!B:B,BASE_DE_NOMES[[#This Row],[Nome]],'Folha Rainha'!F:F,"Salário:")</f>
        <v>3041.4</v>
      </c>
      <c r="H142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42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42" s="4">
        <f>BASE_DE_NOMES[[#This Row],[C.CHEQUE]]-BASE_DE_NOMES[[#This Row],[FALTAS]]-BASE_DE_NOMES[[#This Row],[DESCONTO ]]</f>
        <v>3041.4</v>
      </c>
      <c r="K142">
        <f>SUMIF(GRATIFICAÇÃO!A:A,BASE_DE_NOMES[[#This Row],[Nome]],GRATIFICAÇÃO!F:F)</f>
        <v>0</v>
      </c>
      <c r="L142">
        <f>SUMIF(PG!A:A,BASE_DE_NOMES[[#This Row],[Nome]],PG!E:E)</f>
        <v>0</v>
      </c>
      <c r="M142">
        <f>SUMIFS('Folha Rainha'!G:G,'Folha Rainha'!B:B,BASE_DE_NOMES[[#This Row],[Nome]],'Folha Rainha'!F:F,"*Quebra*",'Folha Rainha'!F:F,"*QUEBRA*")</f>
        <v>0</v>
      </c>
      <c r="N142">
        <f>SUMIFS('Folha Rainha'!G:G,'Folha Rainha'!B:B,BASE_DE_NOMES[[#This Row],[Nome]],'Folha Rainha'!F:F,"ADC. ANTIGUIDADE")</f>
        <v>0</v>
      </c>
      <c r="O142">
        <f>SUMIFS('Folha Rainha'!G:G,'Folha Rainha'!B:B,BASE_DE_NOMES[[#This Row],[Nome]],'Folha Rainha'!F:F,"*Trienio*")</f>
        <v>304.14</v>
      </c>
      <c r="P142">
        <f>SUMIFS('Folha Rainha'!G:G,'Folha Rainha'!B:B,BASE_DE_NOMES[[#This Row],[Nome]],'Folha Rainha'!F:F,"*TAXA*")</f>
        <v>20</v>
      </c>
      <c r="Q142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42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42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42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42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20</v>
      </c>
      <c r="V142">
        <f>BASE_DE_NOMES[[#This Row],[BOLSA DE AUXILIO]]+BASE_DE_NOMES[[#This Row],[VALE TRANSP]]+BASE_DE_NOMES[[#This Row],[PLANO DE SAUDE]]-BASE_DE_NOMES[[#This Row],[DESCONTOS]]</f>
        <v>-20</v>
      </c>
      <c r="W142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42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42" s="4">
        <f>BASE_DE_NOMES[[#This Row],[TOTAL DE C.CHEQUE]]+BASE_DE_NOMES[[#This Row],[TOTAL DE QUEBRA]]+BASE_DE_NOMES[[#This Row],[ADC. ANTIGUIDADE]]+BASE_DE_NOMES[[#This Row],[TOTAL DE TRIENIO]]+BASE_DE_NOMES[[#This Row],[CCT]]</f>
        <v>3345.54</v>
      </c>
      <c r="Z142">
        <f>BASE_DE_NOMES[[#This Row],[PAGAMENTOS]]+BASE_DE_NOMES[[#This Row],[GRATIFICAÇÃO]]</f>
        <v>0</v>
      </c>
      <c r="AA142" s="4">
        <f>_xlfn.XLOOKUP(BASE_DE_NOMES[[#This Row],[NOME2]],Planilha1!C:C,Planilha1!D:D)*Y142</f>
        <v>669.10800000000006</v>
      </c>
      <c r="AB142" s="4">
        <f>BASE_DE_NOMES[[#This Row],[IMPOSTOS]]+BASE_DE_NOMES[[#This Row],[SALARIO BASE]]+BASE_DE_NOMES[[#This Row],[FAMILIA]]</f>
        <v>4014.6480000000001</v>
      </c>
      <c r="AC142" t="str">
        <f>_xlfn.XLOOKUP(BASE_DE_NOMES[[#This Row],[Razão Social]],Planilha1!B:B,Planilha1!C:C)</f>
        <v>HOME CENTER</v>
      </c>
      <c r="AD142" t="str">
        <f>_xlfn.XLOOKUP(BASE_DE_NOMES[[#This Row],[Alocações]],Planilha1!B:B,Planilha1!C:C)</f>
        <v>HOME CENTER</v>
      </c>
    </row>
    <row r="143" spans="1:30" x14ac:dyDescent="0.25">
      <c r="A143" t="s">
        <v>140</v>
      </c>
      <c r="B143" t="s">
        <v>407</v>
      </c>
      <c r="C143" t="s">
        <v>252</v>
      </c>
      <c r="D143" t="s">
        <v>252</v>
      </c>
      <c r="E143" s="1">
        <f>IFERROR(_xlfn.XLOOKUP(BASE_DE_NOMES[[#This Row],[Nome]],'Folha Rainha'!B:B,'Folha Rainha'!D:D),0)</f>
        <v>0</v>
      </c>
      <c r="F143" t="str">
        <f>IFERROR(_xlfn.XLOOKUP(BASE_DE_NOMES[[#This Row],[Nome]],'Folha Rainha'!B:B,'Folha Rainha'!E:E)," ")</f>
        <v xml:space="preserve"> </v>
      </c>
      <c r="G143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43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43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43" s="4">
        <f>BASE_DE_NOMES[[#This Row],[C.CHEQUE]]-BASE_DE_NOMES[[#This Row],[FALTAS]]-BASE_DE_NOMES[[#This Row],[DESCONTO ]]</f>
        <v>0</v>
      </c>
      <c r="K143">
        <f>SUMIF(GRATIFICAÇÃO!A:A,BASE_DE_NOMES[[#This Row],[Nome]],GRATIFICAÇÃO!F:F)</f>
        <v>300</v>
      </c>
      <c r="L143">
        <f>SUMIF(PG!A:A,BASE_DE_NOMES[[#This Row],[Nome]],PG!E:E)</f>
        <v>0</v>
      </c>
      <c r="M143">
        <f>SUMIFS('Folha Rainha'!G:G,'Folha Rainha'!B:B,BASE_DE_NOMES[[#This Row],[Nome]],'Folha Rainha'!F:F,"*Quebra*",'Folha Rainha'!F:F,"*QUEBRA*")</f>
        <v>0</v>
      </c>
      <c r="N143">
        <f>SUMIFS('Folha Rainha'!G:G,'Folha Rainha'!B:B,BASE_DE_NOMES[[#This Row],[Nome]],'Folha Rainha'!F:F,"ADC. ANTIGUIDADE")</f>
        <v>0</v>
      </c>
      <c r="O143">
        <f>SUMIFS('Folha Rainha'!G:G,'Folha Rainha'!B:B,BASE_DE_NOMES[[#This Row],[Nome]],'Folha Rainha'!F:F,"*Trienio*")</f>
        <v>0</v>
      </c>
      <c r="P143">
        <f>SUMIFS('Folha Rainha'!G:G,'Folha Rainha'!B:B,BASE_DE_NOMES[[#This Row],[Nome]],'Folha Rainha'!F:F,"*TAXA*")</f>
        <v>0</v>
      </c>
      <c r="Q143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43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43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43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43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43">
        <f>BASE_DE_NOMES[[#This Row],[BOLSA DE AUXILIO]]+BASE_DE_NOMES[[#This Row],[VALE TRANSP]]+BASE_DE_NOMES[[#This Row],[PLANO DE SAUDE]]-BASE_DE_NOMES[[#This Row],[DESCONTOS]]</f>
        <v>0</v>
      </c>
      <c r="W143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43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43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43">
        <f>BASE_DE_NOMES[[#This Row],[PAGAMENTOS]]+BASE_DE_NOMES[[#This Row],[GRATIFICAÇÃO]]</f>
        <v>300</v>
      </c>
      <c r="AA143" s="4">
        <f>_xlfn.XLOOKUP(BASE_DE_NOMES[[#This Row],[NOME2]],Planilha1!C:C,Planilha1!D:D)*Y143</f>
        <v>0</v>
      </c>
      <c r="AB143" s="4">
        <f>BASE_DE_NOMES[[#This Row],[IMPOSTOS]]+BASE_DE_NOMES[[#This Row],[SALARIO BASE]]+BASE_DE_NOMES[[#This Row],[FAMILIA]]</f>
        <v>0</v>
      </c>
      <c r="AC143" t="str">
        <f>_xlfn.XLOOKUP(BASE_DE_NOMES[[#This Row],[Razão Social]],Planilha1!B:B,Planilha1!C:C)</f>
        <v>FABRICA</v>
      </c>
      <c r="AD143" t="str">
        <f>_xlfn.XLOOKUP(BASE_DE_NOMES[[#This Row],[Alocações]],Planilha1!B:B,Planilha1!C:C)</f>
        <v>FABRICA</v>
      </c>
    </row>
    <row r="144" spans="1:30" x14ac:dyDescent="0.25">
      <c r="A144" t="s">
        <v>694</v>
      </c>
      <c r="B144" t="s">
        <v>544</v>
      </c>
      <c r="C144" t="s">
        <v>252</v>
      </c>
      <c r="D144" t="s">
        <v>252</v>
      </c>
      <c r="E144" s="1">
        <f>IFERROR(_xlfn.XLOOKUP(BASE_DE_NOMES[[#This Row],[Nome]],'Folha Rainha'!B:B,'Folha Rainha'!D:D),0)</f>
        <v>0</v>
      </c>
      <c r="F144" t="str">
        <f>IFERROR(_xlfn.XLOOKUP(BASE_DE_NOMES[[#This Row],[Nome]],'Folha Rainha'!B:B,'Folha Rainha'!E:E)," ")</f>
        <v xml:space="preserve"> </v>
      </c>
      <c r="G144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44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44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44" s="4">
        <f>BASE_DE_NOMES[[#This Row],[C.CHEQUE]]-BASE_DE_NOMES[[#This Row],[FALTAS]]-BASE_DE_NOMES[[#This Row],[DESCONTO ]]</f>
        <v>0</v>
      </c>
      <c r="K144">
        <f>SUMIF(GRATIFICAÇÃO!A:A,BASE_DE_NOMES[[#This Row],[Nome]],GRATIFICAÇÃO!F:F)</f>
        <v>0</v>
      </c>
      <c r="L144">
        <f>SUMIF(PG!A:A,BASE_DE_NOMES[[#This Row],[Nome]],PG!E:E)</f>
        <v>0</v>
      </c>
      <c r="M144">
        <f>SUMIFS('Folha Rainha'!G:G,'Folha Rainha'!B:B,BASE_DE_NOMES[[#This Row],[Nome]],'Folha Rainha'!F:F,"*Quebra*",'Folha Rainha'!F:F,"*QUEBRA*")</f>
        <v>0</v>
      </c>
      <c r="N144">
        <f>SUMIFS('Folha Rainha'!G:G,'Folha Rainha'!B:B,BASE_DE_NOMES[[#This Row],[Nome]],'Folha Rainha'!F:F,"ADC. ANTIGUIDADE")</f>
        <v>0</v>
      </c>
      <c r="O144">
        <f>SUMIFS('Folha Rainha'!G:G,'Folha Rainha'!B:B,BASE_DE_NOMES[[#This Row],[Nome]],'Folha Rainha'!F:F,"*Trienio*")</f>
        <v>0</v>
      </c>
      <c r="P144">
        <f>SUMIFS('Folha Rainha'!G:G,'Folha Rainha'!B:B,BASE_DE_NOMES[[#This Row],[Nome]],'Folha Rainha'!F:F,"*TAXA*")</f>
        <v>0</v>
      </c>
      <c r="Q144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44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44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44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44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44">
        <f>BASE_DE_NOMES[[#This Row],[BOLSA DE AUXILIO]]+BASE_DE_NOMES[[#This Row],[VALE TRANSP]]+BASE_DE_NOMES[[#This Row],[PLANO DE SAUDE]]-BASE_DE_NOMES[[#This Row],[DESCONTOS]]</f>
        <v>0</v>
      </c>
      <c r="W144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44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44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44">
        <f>BASE_DE_NOMES[[#This Row],[PAGAMENTOS]]+BASE_DE_NOMES[[#This Row],[GRATIFICAÇÃO]]</f>
        <v>0</v>
      </c>
      <c r="AA144" s="4">
        <f>_xlfn.XLOOKUP(BASE_DE_NOMES[[#This Row],[NOME2]],Planilha1!C:C,Planilha1!D:D)*Y144</f>
        <v>0</v>
      </c>
      <c r="AB144" s="4">
        <f>BASE_DE_NOMES[[#This Row],[IMPOSTOS]]+BASE_DE_NOMES[[#This Row],[SALARIO BASE]]+BASE_DE_NOMES[[#This Row],[FAMILIA]]</f>
        <v>0</v>
      </c>
      <c r="AC144" t="str">
        <f>_xlfn.XLOOKUP(BASE_DE_NOMES[[#This Row],[Razão Social]],Planilha1!B:B,Planilha1!C:C)</f>
        <v>FABRICA</v>
      </c>
      <c r="AD144" t="str">
        <f>_xlfn.XLOOKUP(BASE_DE_NOMES[[#This Row],[Alocações]],Planilha1!B:B,Planilha1!C:C)</f>
        <v>FABRICA</v>
      </c>
    </row>
    <row r="145" spans="1:30" x14ac:dyDescent="0.25">
      <c r="A145" t="s">
        <v>695</v>
      </c>
      <c r="B145" t="s">
        <v>213</v>
      </c>
      <c r="C145" t="s">
        <v>326</v>
      </c>
      <c r="D145" t="s">
        <v>252</v>
      </c>
      <c r="E145" s="1">
        <f>IFERROR(_xlfn.XLOOKUP(BASE_DE_NOMES[[#This Row],[Nome]],'Folha Rainha'!B:B,'Folha Rainha'!D:D),0)</f>
        <v>0</v>
      </c>
      <c r="F145" t="str">
        <f>IFERROR(_xlfn.XLOOKUP(BASE_DE_NOMES[[#This Row],[Nome]],'Folha Rainha'!B:B,'Folha Rainha'!E:E)," ")</f>
        <v xml:space="preserve"> </v>
      </c>
      <c r="G145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45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45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45" s="4">
        <f>BASE_DE_NOMES[[#This Row],[C.CHEQUE]]-BASE_DE_NOMES[[#This Row],[FALTAS]]-BASE_DE_NOMES[[#This Row],[DESCONTO ]]</f>
        <v>0</v>
      </c>
      <c r="K145">
        <f>SUMIF(GRATIFICAÇÃO!A:A,BASE_DE_NOMES[[#This Row],[Nome]],GRATIFICAÇÃO!F:F)</f>
        <v>0</v>
      </c>
      <c r="L145">
        <f>SUMIF(PG!A:A,BASE_DE_NOMES[[#This Row],[Nome]],PG!E:E)</f>
        <v>0</v>
      </c>
      <c r="M145">
        <f>SUMIFS('Folha Rainha'!G:G,'Folha Rainha'!B:B,BASE_DE_NOMES[[#This Row],[Nome]],'Folha Rainha'!F:F,"*Quebra*",'Folha Rainha'!F:F,"*QUEBRA*")</f>
        <v>0</v>
      </c>
      <c r="N145">
        <f>SUMIFS('Folha Rainha'!G:G,'Folha Rainha'!B:B,BASE_DE_NOMES[[#This Row],[Nome]],'Folha Rainha'!F:F,"ADC. ANTIGUIDADE")</f>
        <v>0</v>
      </c>
      <c r="O145">
        <f>SUMIFS('Folha Rainha'!G:G,'Folha Rainha'!B:B,BASE_DE_NOMES[[#This Row],[Nome]],'Folha Rainha'!F:F,"*Trienio*")</f>
        <v>0</v>
      </c>
      <c r="P145">
        <f>SUMIFS('Folha Rainha'!G:G,'Folha Rainha'!B:B,BASE_DE_NOMES[[#This Row],[Nome]],'Folha Rainha'!F:F,"*TAXA*")</f>
        <v>0</v>
      </c>
      <c r="Q145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45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45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45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45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45">
        <f>BASE_DE_NOMES[[#This Row],[BOLSA DE AUXILIO]]+BASE_DE_NOMES[[#This Row],[VALE TRANSP]]+BASE_DE_NOMES[[#This Row],[PLANO DE SAUDE]]-BASE_DE_NOMES[[#This Row],[DESCONTOS]]</f>
        <v>0</v>
      </c>
      <c r="W145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45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45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45">
        <f>BASE_DE_NOMES[[#This Row],[PAGAMENTOS]]+BASE_DE_NOMES[[#This Row],[GRATIFICAÇÃO]]</f>
        <v>0</v>
      </c>
      <c r="AA145" s="4">
        <f>_xlfn.XLOOKUP(BASE_DE_NOMES[[#This Row],[NOME2]],Planilha1!C:C,Planilha1!D:D)*Y145</f>
        <v>0</v>
      </c>
      <c r="AB145" s="4">
        <f>BASE_DE_NOMES[[#This Row],[IMPOSTOS]]+BASE_DE_NOMES[[#This Row],[SALARIO BASE]]+BASE_DE_NOMES[[#This Row],[FAMILIA]]</f>
        <v>0</v>
      </c>
      <c r="AC145" t="str">
        <f>_xlfn.XLOOKUP(BASE_DE_NOMES[[#This Row],[Razão Social]],Planilha1!B:B,Planilha1!C:C)</f>
        <v>VALE XEL</v>
      </c>
      <c r="AD145" t="str">
        <f>_xlfn.XLOOKUP(BASE_DE_NOMES[[#This Row],[Alocações]],Planilha1!B:B,Planilha1!C:C)</f>
        <v>FABRICA</v>
      </c>
    </row>
    <row r="146" spans="1:30" x14ac:dyDescent="0.25">
      <c r="A146" t="s">
        <v>577</v>
      </c>
      <c r="B146" t="s">
        <v>213</v>
      </c>
      <c r="C146" t="s">
        <v>252</v>
      </c>
      <c r="D146" t="s">
        <v>252</v>
      </c>
      <c r="E146" s="1">
        <f>IFERROR(_xlfn.XLOOKUP(BASE_DE_NOMES[[#This Row],[Nome]],'Folha Rainha'!B:B,'Folha Rainha'!D:D),0)</f>
        <v>45748</v>
      </c>
      <c r="F146" t="str">
        <f>IFERROR(_xlfn.XLOOKUP(BASE_DE_NOMES[[#This Row],[Nome]],'Folha Rainha'!B:B,'Folha Rainha'!E:E)," ")</f>
        <v>Trabalhando</v>
      </c>
      <c r="G146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146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46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46" s="4">
        <f>BASE_DE_NOMES[[#This Row],[C.CHEQUE]]-BASE_DE_NOMES[[#This Row],[FALTAS]]-BASE_DE_NOMES[[#This Row],[DESCONTO ]]</f>
        <v>1518</v>
      </c>
      <c r="K146">
        <f>SUMIF(GRATIFICAÇÃO!A:A,BASE_DE_NOMES[[#This Row],[Nome]],GRATIFICAÇÃO!F:F)</f>
        <v>0</v>
      </c>
      <c r="L146">
        <f>SUMIF(PG!A:A,BASE_DE_NOMES[[#This Row],[Nome]],PG!E:E)</f>
        <v>0</v>
      </c>
      <c r="M146">
        <f>SUMIFS('Folha Rainha'!G:G,'Folha Rainha'!B:B,BASE_DE_NOMES[[#This Row],[Nome]],'Folha Rainha'!F:F,"*Quebra*",'Folha Rainha'!F:F,"*QUEBRA*")</f>
        <v>0</v>
      </c>
      <c r="N146">
        <f>SUMIFS('Folha Rainha'!G:G,'Folha Rainha'!B:B,BASE_DE_NOMES[[#This Row],[Nome]],'Folha Rainha'!F:F,"ADC. ANTIGUIDADE")</f>
        <v>0</v>
      </c>
      <c r="O146">
        <f>SUMIFS('Folha Rainha'!G:G,'Folha Rainha'!B:B,BASE_DE_NOMES[[#This Row],[Nome]],'Folha Rainha'!F:F,"*Trienio*")</f>
        <v>0</v>
      </c>
      <c r="P146">
        <f>SUMIFS('Folha Rainha'!G:G,'Folha Rainha'!B:B,BASE_DE_NOMES[[#This Row],[Nome]],'Folha Rainha'!F:F,"*TAXA*")</f>
        <v>0</v>
      </c>
      <c r="Q146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46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46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46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46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46">
        <f>BASE_DE_NOMES[[#This Row],[BOLSA DE AUXILIO]]+BASE_DE_NOMES[[#This Row],[VALE TRANSP]]+BASE_DE_NOMES[[#This Row],[PLANO DE SAUDE]]-BASE_DE_NOMES[[#This Row],[DESCONTOS]]</f>
        <v>0</v>
      </c>
      <c r="W146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46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46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146">
        <f>BASE_DE_NOMES[[#This Row],[PAGAMENTOS]]+BASE_DE_NOMES[[#This Row],[GRATIFICAÇÃO]]</f>
        <v>0</v>
      </c>
      <c r="AA146" s="4">
        <f>_xlfn.XLOOKUP(BASE_DE_NOMES[[#This Row],[NOME2]],Planilha1!C:C,Planilha1!D:D)*Y146</f>
        <v>764.00939999999991</v>
      </c>
      <c r="AB146" s="4">
        <f>BASE_DE_NOMES[[#This Row],[IMPOSTOS]]+BASE_DE_NOMES[[#This Row],[SALARIO BASE]]+BASE_DE_NOMES[[#This Row],[FAMILIA]]</f>
        <v>2282.0093999999999</v>
      </c>
      <c r="AC146" t="str">
        <f>_xlfn.XLOOKUP(BASE_DE_NOMES[[#This Row],[Razão Social]],Planilha1!B:B,Planilha1!C:C)</f>
        <v>FABRICA</v>
      </c>
      <c r="AD146" t="str">
        <f>_xlfn.XLOOKUP(BASE_DE_NOMES[[#This Row],[Alocações]],Planilha1!B:B,Planilha1!C:C)</f>
        <v>FABRICA</v>
      </c>
    </row>
    <row r="147" spans="1:30" x14ac:dyDescent="0.25">
      <c r="A147" t="s">
        <v>160</v>
      </c>
      <c r="B147" t="s">
        <v>258</v>
      </c>
      <c r="C147" t="s">
        <v>556</v>
      </c>
      <c r="D147" t="s">
        <v>556</v>
      </c>
      <c r="E147" s="1">
        <f>IFERROR(_xlfn.XLOOKUP(BASE_DE_NOMES[[#This Row],[Nome]],'Folha Rainha'!B:B,'Folha Rainha'!D:D),0)</f>
        <v>40210</v>
      </c>
      <c r="F147" t="str">
        <f>IFERROR(_xlfn.XLOOKUP(BASE_DE_NOMES[[#This Row],[Nome]],'Folha Rainha'!B:B,'Folha Rainha'!E:E)," ")</f>
        <v>Trabalhando</v>
      </c>
      <c r="G147" s="4">
        <f>SUMIFS('Folha Rainha'!G:G,'Folha Rainha'!B:B,BASE_DE_NOMES[[#This Row],[Nome]],'Folha Rainha'!F:F,"Salário Base")+SUMIFS('Folha Rainha'!G:G,'Folha Rainha'!B:B,BASE_DE_NOMES[[#This Row],[Nome]],'Folha Rainha'!F:F,"Salário:")</f>
        <v>1660</v>
      </c>
      <c r="H147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47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47" s="4">
        <f>BASE_DE_NOMES[[#This Row],[C.CHEQUE]]-BASE_DE_NOMES[[#This Row],[FALTAS]]-BASE_DE_NOMES[[#This Row],[DESCONTO ]]</f>
        <v>1660</v>
      </c>
      <c r="K147">
        <f>SUMIF(GRATIFICAÇÃO!A:A,BASE_DE_NOMES[[#This Row],[Nome]],GRATIFICAÇÃO!F:F)</f>
        <v>0</v>
      </c>
      <c r="L147">
        <f>SUMIF(PG!A:A,BASE_DE_NOMES[[#This Row],[Nome]],PG!E:E)</f>
        <v>0</v>
      </c>
      <c r="M147">
        <f>SUMIFS('Folha Rainha'!G:G,'Folha Rainha'!B:B,BASE_DE_NOMES[[#This Row],[Nome]],'Folha Rainha'!F:F,"*Quebra*",'Folha Rainha'!F:F,"*QUEBRA*")</f>
        <v>0</v>
      </c>
      <c r="N147">
        <f>SUMIFS('Folha Rainha'!G:G,'Folha Rainha'!B:B,BASE_DE_NOMES[[#This Row],[Nome]],'Folha Rainha'!F:F,"ADC. ANTIGUIDADE")</f>
        <v>0</v>
      </c>
      <c r="O147">
        <f>SUMIFS('Folha Rainha'!G:G,'Folha Rainha'!B:B,BASE_DE_NOMES[[#This Row],[Nome]],'Folha Rainha'!F:F,"*Trienio*")</f>
        <v>249</v>
      </c>
      <c r="P147">
        <f>SUMIFS('Folha Rainha'!G:G,'Folha Rainha'!B:B,BASE_DE_NOMES[[#This Row],[Nome]],'Folha Rainha'!F:F,"*TAXA*")</f>
        <v>0</v>
      </c>
      <c r="Q147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47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47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99.6</v>
      </c>
      <c r="T147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47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47">
        <f>BASE_DE_NOMES[[#This Row],[BOLSA DE AUXILIO]]+BASE_DE_NOMES[[#This Row],[VALE TRANSP]]+BASE_DE_NOMES[[#This Row],[PLANO DE SAUDE]]-BASE_DE_NOMES[[#This Row],[DESCONTOS]]</f>
        <v>99.6</v>
      </c>
      <c r="W147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47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47" s="4">
        <f>BASE_DE_NOMES[[#This Row],[TOTAL DE C.CHEQUE]]+BASE_DE_NOMES[[#This Row],[TOTAL DE QUEBRA]]+BASE_DE_NOMES[[#This Row],[ADC. ANTIGUIDADE]]+BASE_DE_NOMES[[#This Row],[TOTAL DE TRIENIO]]+BASE_DE_NOMES[[#This Row],[CCT]]</f>
        <v>1909</v>
      </c>
      <c r="Z147">
        <f>BASE_DE_NOMES[[#This Row],[PAGAMENTOS]]+BASE_DE_NOMES[[#This Row],[GRATIFICAÇÃO]]</f>
        <v>0</v>
      </c>
      <c r="AA147" s="4">
        <f>_xlfn.XLOOKUP(BASE_DE_NOMES[[#This Row],[NOME2]],Planilha1!C:C,Planilha1!D:D)*Y147</f>
        <v>960.79969999999992</v>
      </c>
      <c r="AB147" s="4">
        <f>BASE_DE_NOMES[[#This Row],[IMPOSTOS]]+BASE_DE_NOMES[[#This Row],[SALARIO BASE]]+BASE_DE_NOMES[[#This Row],[FAMILIA]]</f>
        <v>2869.7997</v>
      </c>
      <c r="AC147" t="str">
        <f>_xlfn.XLOOKUP(BASE_DE_NOMES[[#This Row],[Razão Social]],Planilha1!B:B,Planilha1!C:C)</f>
        <v>SR PASSOS</v>
      </c>
      <c r="AD147" t="str">
        <f>_xlfn.XLOOKUP(BASE_DE_NOMES[[#This Row],[Alocações]],Planilha1!B:B,Planilha1!C:C)</f>
        <v>SR PASSOS</v>
      </c>
    </row>
    <row r="148" spans="1:30" x14ac:dyDescent="0.25">
      <c r="A148" t="s">
        <v>642</v>
      </c>
      <c r="B148" t="s">
        <v>311</v>
      </c>
      <c r="C148" t="s">
        <v>427</v>
      </c>
      <c r="D148" t="s">
        <v>225</v>
      </c>
      <c r="E148" s="1">
        <f>IFERROR(_xlfn.XLOOKUP(BASE_DE_NOMES[[#This Row],[Nome]],'Folha Rainha'!B:B,'Folha Rainha'!D:D),0)</f>
        <v>0</v>
      </c>
      <c r="F148" t="str">
        <f>IFERROR(_xlfn.XLOOKUP(BASE_DE_NOMES[[#This Row],[Nome]],'Folha Rainha'!B:B,'Folha Rainha'!E:E)," ")</f>
        <v xml:space="preserve"> </v>
      </c>
      <c r="G148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48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48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48" s="4">
        <f>BASE_DE_NOMES[[#This Row],[C.CHEQUE]]-BASE_DE_NOMES[[#This Row],[FALTAS]]-BASE_DE_NOMES[[#This Row],[DESCONTO ]]</f>
        <v>0</v>
      </c>
      <c r="K148">
        <f>SUMIF(GRATIFICAÇÃO!A:A,BASE_DE_NOMES[[#This Row],[Nome]],GRATIFICAÇÃO!F:F)</f>
        <v>0</v>
      </c>
      <c r="L148">
        <f>SUMIF(PG!A:A,BASE_DE_NOMES[[#This Row],[Nome]],PG!E:E)</f>
        <v>3666.66</v>
      </c>
      <c r="M148">
        <f>SUMIFS('Folha Rainha'!G:G,'Folha Rainha'!B:B,BASE_DE_NOMES[[#This Row],[Nome]],'Folha Rainha'!F:F,"*Quebra*",'Folha Rainha'!F:F,"*QUEBRA*")</f>
        <v>0</v>
      </c>
      <c r="N148">
        <f>SUMIFS('Folha Rainha'!G:G,'Folha Rainha'!B:B,BASE_DE_NOMES[[#This Row],[Nome]],'Folha Rainha'!F:F,"ADC. ANTIGUIDADE")</f>
        <v>0</v>
      </c>
      <c r="O148">
        <f>SUMIFS('Folha Rainha'!G:G,'Folha Rainha'!B:B,BASE_DE_NOMES[[#This Row],[Nome]],'Folha Rainha'!F:F,"*Trienio*")</f>
        <v>0</v>
      </c>
      <c r="P148">
        <f>SUMIFS('Folha Rainha'!G:G,'Folha Rainha'!B:B,BASE_DE_NOMES[[#This Row],[Nome]],'Folha Rainha'!F:F,"*TAXA*")</f>
        <v>0</v>
      </c>
      <c r="Q148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48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48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48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48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48">
        <f>BASE_DE_NOMES[[#This Row],[BOLSA DE AUXILIO]]+BASE_DE_NOMES[[#This Row],[VALE TRANSP]]+BASE_DE_NOMES[[#This Row],[PLANO DE SAUDE]]-BASE_DE_NOMES[[#This Row],[DESCONTOS]]</f>
        <v>0</v>
      </c>
      <c r="W148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48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48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48">
        <f>BASE_DE_NOMES[[#This Row],[PAGAMENTOS]]+BASE_DE_NOMES[[#This Row],[GRATIFICAÇÃO]]</f>
        <v>3666.66</v>
      </c>
      <c r="AA148" s="4">
        <f>_xlfn.XLOOKUP(BASE_DE_NOMES[[#This Row],[NOME2]],Planilha1!C:C,Planilha1!D:D)*Y148</f>
        <v>0</v>
      </c>
      <c r="AB148" s="4">
        <f>BASE_DE_NOMES[[#This Row],[IMPOSTOS]]+BASE_DE_NOMES[[#This Row],[SALARIO BASE]]+BASE_DE_NOMES[[#This Row],[FAMILIA]]</f>
        <v>0</v>
      </c>
      <c r="AC148" t="str">
        <f>_xlfn.XLOOKUP(BASE_DE_NOMES[[#This Row],[Razão Social]],Planilha1!B:B,Planilha1!C:C)</f>
        <v>ESCRITORIO</v>
      </c>
      <c r="AD148" t="str">
        <f>_xlfn.XLOOKUP(BASE_DE_NOMES[[#This Row],[Alocações]],Planilha1!B:B,Planilha1!C:C)</f>
        <v>ESCRITORIO</v>
      </c>
    </row>
    <row r="149" spans="1:30" x14ac:dyDescent="0.25">
      <c r="A149" t="s">
        <v>206</v>
      </c>
      <c r="B149" t="s">
        <v>258</v>
      </c>
      <c r="C149" t="s">
        <v>508</v>
      </c>
      <c r="D149" t="s">
        <v>228</v>
      </c>
      <c r="E149" s="1">
        <f>IFERROR(_xlfn.XLOOKUP(BASE_DE_NOMES[[#This Row],[Nome]],'Folha Rainha'!B:B,'Folha Rainha'!D:D),0)</f>
        <v>42320</v>
      </c>
      <c r="F149" t="str">
        <f>IFERROR(_xlfn.XLOOKUP(BASE_DE_NOMES[[#This Row],[Nome]],'Folha Rainha'!B:B,'Folha Rainha'!E:E)," ")</f>
        <v>Trabalhando</v>
      </c>
      <c r="G149" s="4">
        <f>SUMIFS('Folha Rainha'!G:G,'Folha Rainha'!B:B,BASE_DE_NOMES[[#This Row],[Nome]],'Folha Rainha'!F:F,"Salário Base")+SUMIFS('Folha Rainha'!G:G,'Folha Rainha'!B:B,BASE_DE_NOMES[[#This Row],[Nome]],'Folha Rainha'!F:F,"Salário:")</f>
        <v>1660</v>
      </c>
      <c r="H149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49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49" s="4">
        <f>BASE_DE_NOMES[[#This Row],[C.CHEQUE]]-BASE_DE_NOMES[[#This Row],[FALTAS]]-BASE_DE_NOMES[[#This Row],[DESCONTO ]]</f>
        <v>1660</v>
      </c>
      <c r="K149">
        <f>SUMIF(GRATIFICAÇÃO!A:A,BASE_DE_NOMES[[#This Row],[Nome]],GRATIFICAÇÃO!F:F)</f>
        <v>0</v>
      </c>
      <c r="L149">
        <f>SUMIF(PG!A:A,BASE_DE_NOMES[[#This Row],[Nome]],PG!E:E)</f>
        <v>0</v>
      </c>
      <c r="M149">
        <f>SUMIFS('Folha Rainha'!G:G,'Folha Rainha'!B:B,BASE_DE_NOMES[[#This Row],[Nome]],'Folha Rainha'!F:F,"*Quebra*",'Folha Rainha'!F:F,"*QUEBRA*")</f>
        <v>0</v>
      </c>
      <c r="N149">
        <f>SUMIFS('Folha Rainha'!G:G,'Folha Rainha'!B:B,BASE_DE_NOMES[[#This Row],[Nome]],'Folha Rainha'!F:F,"ADC. ANTIGUIDADE")</f>
        <v>0</v>
      </c>
      <c r="O149">
        <f>SUMIFS('Folha Rainha'!G:G,'Folha Rainha'!B:B,BASE_DE_NOMES[[#This Row],[Nome]],'Folha Rainha'!F:F,"*Trienio*")</f>
        <v>249</v>
      </c>
      <c r="P149">
        <f>SUMIFS('Folha Rainha'!G:G,'Folha Rainha'!B:B,BASE_DE_NOMES[[#This Row],[Nome]],'Folha Rainha'!F:F,"*TAXA*")</f>
        <v>0</v>
      </c>
      <c r="Q149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49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49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99.6</v>
      </c>
      <c r="T149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49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49">
        <f>BASE_DE_NOMES[[#This Row],[BOLSA DE AUXILIO]]+BASE_DE_NOMES[[#This Row],[VALE TRANSP]]+BASE_DE_NOMES[[#This Row],[PLANO DE SAUDE]]-BASE_DE_NOMES[[#This Row],[DESCONTOS]]</f>
        <v>99.6</v>
      </c>
      <c r="W149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49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49" s="4">
        <f>BASE_DE_NOMES[[#This Row],[TOTAL DE C.CHEQUE]]+BASE_DE_NOMES[[#This Row],[TOTAL DE QUEBRA]]+BASE_DE_NOMES[[#This Row],[ADC. ANTIGUIDADE]]+BASE_DE_NOMES[[#This Row],[TOTAL DE TRIENIO]]+BASE_DE_NOMES[[#This Row],[CCT]]</f>
        <v>1909</v>
      </c>
      <c r="Z149">
        <f>BASE_DE_NOMES[[#This Row],[PAGAMENTOS]]+BASE_DE_NOMES[[#This Row],[GRATIFICAÇÃO]]</f>
        <v>0</v>
      </c>
      <c r="AA149" s="4">
        <f>_xlfn.XLOOKUP(BASE_DE_NOMES[[#This Row],[NOME2]],Planilha1!C:C,Planilha1!D:D)*Y149</f>
        <v>381.8</v>
      </c>
      <c r="AB149" s="4">
        <f>BASE_DE_NOMES[[#This Row],[IMPOSTOS]]+BASE_DE_NOMES[[#This Row],[SALARIO BASE]]+BASE_DE_NOMES[[#This Row],[FAMILIA]]</f>
        <v>2290.8000000000002</v>
      </c>
      <c r="AC149" t="str">
        <f>_xlfn.XLOOKUP(BASE_DE_NOMES[[#This Row],[Razão Social]],Planilha1!B:B,Planilha1!C:C)</f>
        <v>5K DECORAÇÕES</v>
      </c>
      <c r="AD149" t="str">
        <f>_xlfn.XLOOKUP(BASE_DE_NOMES[[#This Row],[Alocações]],Planilha1!B:B,Planilha1!C:C)</f>
        <v>GENESIS</v>
      </c>
    </row>
    <row r="150" spans="1:30" x14ac:dyDescent="0.25">
      <c r="A150" t="s">
        <v>96</v>
      </c>
      <c r="B150" t="s">
        <v>258</v>
      </c>
      <c r="C150" t="s">
        <v>253</v>
      </c>
      <c r="D150" t="s">
        <v>228</v>
      </c>
      <c r="E150" s="1">
        <f>IFERROR(_xlfn.XLOOKUP(BASE_DE_NOMES[[#This Row],[Nome]],'Folha Rainha'!B:B,'Folha Rainha'!D:D),0)</f>
        <v>42927</v>
      </c>
      <c r="F150" t="str">
        <f>IFERROR(_xlfn.XLOOKUP(BASE_DE_NOMES[[#This Row],[Nome]],'Folha Rainha'!B:B,'Folha Rainha'!E:E)," ")</f>
        <v>Trabalhando</v>
      </c>
      <c r="G150" s="4">
        <f>SUMIFS('Folha Rainha'!G:G,'Folha Rainha'!B:B,BASE_DE_NOMES[[#This Row],[Nome]],'Folha Rainha'!F:F,"Salário Base")+SUMIFS('Folha Rainha'!G:G,'Folha Rainha'!B:B,BASE_DE_NOMES[[#This Row],[Nome]],'Folha Rainha'!F:F,"Salário:")</f>
        <v>1660</v>
      </c>
      <c r="H150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50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50" s="4">
        <f>BASE_DE_NOMES[[#This Row],[C.CHEQUE]]-BASE_DE_NOMES[[#This Row],[FALTAS]]-BASE_DE_NOMES[[#This Row],[DESCONTO ]]</f>
        <v>1660</v>
      </c>
      <c r="K150">
        <f>SUMIF(GRATIFICAÇÃO!A:A,BASE_DE_NOMES[[#This Row],[Nome]],GRATIFICAÇÃO!F:F)</f>
        <v>0</v>
      </c>
      <c r="L150">
        <f>SUMIF(PG!A:A,BASE_DE_NOMES[[#This Row],[Nome]],PG!E:E)</f>
        <v>0</v>
      </c>
      <c r="M150">
        <f>SUMIFS('Folha Rainha'!G:G,'Folha Rainha'!B:B,BASE_DE_NOMES[[#This Row],[Nome]],'Folha Rainha'!F:F,"*Quebra*",'Folha Rainha'!F:F,"*QUEBRA*")</f>
        <v>0</v>
      </c>
      <c r="N150">
        <f>SUMIFS('Folha Rainha'!G:G,'Folha Rainha'!B:B,BASE_DE_NOMES[[#This Row],[Nome]],'Folha Rainha'!F:F,"ADC. ANTIGUIDADE")</f>
        <v>0</v>
      </c>
      <c r="O150">
        <f>SUMIFS('Folha Rainha'!G:G,'Folha Rainha'!B:B,BASE_DE_NOMES[[#This Row],[Nome]],'Folha Rainha'!F:F,"*Trienio*")</f>
        <v>166</v>
      </c>
      <c r="P150">
        <f>SUMIFS('Folha Rainha'!G:G,'Folha Rainha'!B:B,BASE_DE_NOMES[[#This Row],[Nome]],'Folha Rainha'!F:F,"*TAXA*")</f>
        <v>20</v>
      </c>
      <c r="Q150" s="4">
        <f>SUMIFS('Folha Rainha'!G:G,'Folha Rainha'!B:B,BASE_DE_NOMES[[#This Row],[Nome]],'Folha Rainha'!F:F,"SALARIO FAMILIA")+SUMIFS('Folha Rainha'!G:G,'Folha Rainha'!B:B,BASE_DE_NOMES[[#This Row],[Nome]],'Folha Rainha'!F:F,"Salário Família")</f>
        <v>65</v>
      </c>
      <c r="R150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50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50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50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20</v>
      </c>
      <c r="V150">
        <f>BASE_DE_NOMES[[#This Row],[BOLSA DE AUXILIO]]+BASE_DE_NOMES[[#This Row],[VALE TRANSP]]+BASE_DE_NOMES[[#This Row],[PLANO DE SAUDE]]-BASE_DE_NOMES[[#This Row],[DESCONTOS]]</f>
        <v>-20</v>
      </c>
      <c r="W150" s="4">
        <f>SUMIFS('Folha Rainha'!G:G,'Folha Rainha'!B:B,BASE_DE_NOMES[[#This Row],[Nome]],'Folha Rainha'!F:F,"VALE COMPRAS")+SUMIFS('Folha Rainha'!G:G,'Folha Rainha'!B:B,BASE_DE_NOMES[[#This Row],[Nome]],'Folha Rainha'!F:F,"VALES")</f>
        <v>102</v>
      </c>
      <c r="X150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50" s="4">
        <f>BASE_DE_NOMES[[#This Row],[TOTAL DE C.CHEQUE]]+BASE_DE_NOMES[[#This Row],[TOTAL DE QUEBRA]]+BASE_DE_NOMES[[#This Row],[ADC. ANTIGUIDADE]]+BASE_DE_NOMES[[#This Row],[TOTAL DE TRIENIO]]+BASE_DE_NOMES[[#This Row],[CCT]]</f>
        <v>1826</v>
      </c>
      <c r="Z150">
        <f>BASE_DE_NOMES[[#This Row],[PAGAMENTOS]]+BASE_DE_NOMES[[#This Row],[GRATIFICAÇÃO]]</f>
        <v>0</v>
      </c>
      <c r="AA150" s="4">
        <f>_xlfn.XLOOKUP(BASE_DE_NOMES[[#This Row],[NOME2]],Planilha1!C:C,Planilha1!D:D)*Y150</f>
        <v>365.20000000000005</v>
      </c>
      <c r="AB150" s="4">
        <f>BASE_DE_NOMES[[#This Row],[IMPOSTOS]]+BASE_DE_NOMES[[#This Row],[SALARIO BASE]]+BASE_DE_NOMES[[#This Row],[FAMILIA]]</f>
        <v>2256.1999999999998</v>
      </c>
      <c r="AC150" t="str">
        <f>_xlfn.XLOOKUP(BASE_DE_NOMES[[#This Row],[Razão Social]],Planilha1!B:B,Planilha1!C:C)</f>
        <v>HOME CENTER</v>
      </c>
      <c r="AD150" t="str">
        <f>_xlfn.XLOOKUP(BASE_DE_NOMES[[#This Row],[Alocações]],Planilha1!B:B,Planilha1!C:C)</f>
        <v>GENESIS</v>
      </c>
    </row>
    <row r="151" spans="1:30" x14ac:dyDescent="0.25">
      <c r="A151" t="s">
        <v>696</v>
      </c>
      <c r="B151" t="s">
        <v>681</v>
      </c>
      <c r="C151" t="s">
        <v>228</v>
      </c>
      <c r="D151" t="s">
        <v>228</v>
      </c>
      <c r="E151" s="1">
        <f>IFERROR(_xlfn.XLOOKUP(BASE_DE_NOMES[[#This Row],[Nome]],'Folha Rainha'!B:B,'Folha Rainha'!D:D),0)</f>
        <v>45110</v>
      </c>
      <c r="F151">
        <f>IFERROR(_xlfn.XLOOKUP(BASE_DE_NOMES[[#This Row],[Nome]],'Folha Rainha'!B:B,'Folha Rainha'!E:E)," ")</f>
        <v>0</v>
      </c>
      <c r="G151" s="4">
        <f>SUMIFS('Folha Rainha'!G:G,'Folha Rainha'!B:B,BASE_DE_NOMES[[#This Row],[Nome]],'Folha Rainha'!F:F,"Salário Base")+SUMIFS('Folha Rainha'!G:G,'Folha Rainha'!B:B,BASE_DE_NOMES[[#This Row],[Nome]],'Folha Rainha'!F:F,"Salário:")</f>
        <v>2000</v>
      </c>
      <c r="H151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51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51" s="4">
        <f>BASE_DE_NOMES[[#This Row],[C.CHEQUE]]-BASE_DE_NOMES[[#This Row],[FALTAS]]-BASE_DE_NOMES[[#This Row],[DESCONTO ]]</f>
        <v>2000</v>
      </c>
      <c r="K151">
        <f>SUMIF(GRATIFICAÇÃO!A:A,BASE_DE_NOMES[[#This Row],[Nome]],GRATIFICAÇÃO!F:F)</f>
        <v>0</v>
      </c>
      <c r="L151">
        <f>SUMIF(PG!A:A,BASE_DE_NOMES[[#This Row],[Nome]],PG!E:E)</f>
        <v>0</v>
      </c>
      <c r="M151">
        <f>SUMIFS('Folha Rainha'!G:G,'Folha Rainha'!B:B,BASE_DE_NOMES[[#This Row],[Nome]],'Folha Rainha'!F:F,"*Quebra*",'Folha Rainha'!F:F,"*QUEBRA*")</f>
        <v>0</v>
      </c>
      <c r="N151">
        <f>SUMIFS('Folha Rainha'!G:G,'Folha Rainha'!B:B,BASE_DE_NOMES[[#This Row],[Nome]],'Folha Rainha'!F:F,"ADC. ANTIGUIDADE")</f>
        <v>0</v>
      </c>
      <c r="O151">
        <f>SUMIFS('Folha Rainha'!G:G,'Folha Rainha'!B:B,BASE_DE_NOMES[[#This Row],[Nome]],'Folha Rainha'!F:F,"*Trienio*")</f>
        <v>0</v>
      </c>
      <c r="P151">
        <f>SUMIFS('Folha Rainha'!G:G,'Folha Rainha'!B:B,BASE_DE_NOMES[[#This Row],[Nome]],'Folha Rainha'!F:F,"*TAXA*")</f>
        <v>0</v>
      </c>
      <c r="Q151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51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51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120</v>
      </c>
      <c r="T151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51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51">
        <f>BASE_DE_NOMES[[#This Row],[BOLSA DE AUXILIO]]+BASE_DE_NOMES[[#This Row],[VALE TRANSP]]+BASE_DE_NOMES[[#This Row],[PLANO DE SAUDE]]-BASE_DE_NOMES[[#This Row],[DESCONTOS]]</f>
        <v>120</v>
      </c>
      <c r="W151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51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51" s="4">
        <f>BASE_DE_NOMES[[#This Row],[TOTAL DE C.CHEQUE]]+BASE_DE_NOMES[[#This Row],[TOTAL DE QUEBRA]]+BASE_DE_NOMES[[#This Row],[ADC. ANTIGUIDADE]]+BASE_DE_NOMES[[#This Row],[TOTAL DE TRIENIO]]+BASE_DE_NOMES[[#This Row],[CCT]]</f>
        <v>2000</v>
      </c>
      <c r="Z151">
        <f>BASE_DE_NOMES[[#This Row],[PAGAMENTOS]]+BASE_DE_NOMES[[#This Row],[GRATIFICAÇÃO]]</f>
        <v>0</v>
      </c>
      <c r="AA151" s="4">
        <f>_xlfn.XLOOKUP(BASE_DE_NOMES[[#This Row],[NOME2]],Planilha1!C:C,Planilha1!D:D)*Y151</f>
        <v>400</v>
      </c>
      <c r="AB151" s="4">
        <f>BASE_DE_NOMES[[#This Row],[IMPOSTOS]]+BASE_DE_NOMES[[#This Row],[SALARIO BASE]]+BASE_DE_NOMES[[#This Row],[FAMILIA]]</f>
        <v>2400</v>
      </c>
      <c r="AC151" t="str">
        <f>_xlfn.XLOOKUP(BASE_DE_NOMES[[#This Row],[Razão Social]],Planilha1!B:B,Planilha1!C:C)</f>
        <v>GENESIS</v>
      </c>
      <c r="AD151" t="str">
        <f>_xlfn.XLOOKUP(BASE_DE_NOMES[[#This Row],[Alocações]],Planilha1!B:B,Planilha1!C:C)</f>
        <v>GENESIS</v>
      </c>
    </row>
    <row r="152" spans="1:30" x14ac:dyDescent="0.25">
      <c r="A152" t="s">
        <v>625</v>
      </c>
      <c r="B152" t="s">
        <v>651</v>
      </c>
      <c r="C152" t="s">
        <v>542</v>
      </c>
      <c r="D152" t="s">
        <v>542</v>
      </c>
      <c r="E152" s="1">
        <f>IFERROR(_xlfn.XLOOKUP(BASE_DE_NOMES[[#This Row],[Nome]],'Folha Rainha'!B:B,'Folha Rainha'!D:D),0)</f>
        <v>45717</v>
      </c>
      <c r="F152" t="str">
        <f>IFERROR(_xlfn.XLOOKUP(BASE_DE_NOMES[[#This Row],[Nome]],'Folha Rainha'!B:B,'Folha Rainha'!E:E)," ")</f>
        <v>Demitido</v>
      </c>
      <c r="G152" s="4">
        <f>SUMIFS('Folha Rainha'!G:G,'Folha Rainha'!B:B,BASE_DE_NOMES[[#This Row],[Nome]],'Folha Rainha'!F:F,"Salário Base")+SUMIFS('Folha Rainha'!G:G,'Folha Rainha'!B:B,BASE_DE_NOMES[[#This Row],[Nome]],'Folha Rainha'!F:F,"Salário:")</f>
        <v>1607</v>
      </c>
      <c r="H152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52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52" s="4">
        <f>BASE_DE_NOMES[[#This Row],[C.CHEQUE]]-BASE_DE_NOMES[[#This Row],[FALTAS]]-BASE_DE_NOMES[[#This Row],[DESCONTO ]]</f>
        <v>1607</v>
      </c>
      <c r="K152">
        <f>SUMIF(GRATIFICAÇÃO!A:A,BASE_DE_NOMES[[#This Row],[Nome]],GRATIFICAÇÃO!F:F)</f>
        <v>0</v>
      </c>
      <c r="L152">
        <f>SUMIF(PG!A:A,BASE_DE_NOMES[[#This Row],[Nome]],PG!E:E)</f>
        <v>0</v>
      </c>
      <c r="M152">
        <f>SUMIFS('Folha Rainha'!G:G,'Folha Rainha'!B:B,BASE_DE_NOMES[[#This Row],[Nome]],'Folha Rainha'!F:F,"*Quebra*",'Folha Rainha'!F:F,"*QUEBRA*")</f>
        <v>0</v>
      </c>
      <c r="N152">
        <f>SUMIFS('Folha Rainha'!G:G,'Folha Rainha'!B:B,BASE_DE_NOMES[[#This Row],[Nome]],'Folha Rainha'!F:F,"ADC. ANTIGUIDADE")</f>
        <v>0</v>
      </c>
      <c r="O152">
        <f>SUMIFS('Folha Rainha'!G:G,'Folha Rainha'!B:B,BASE_DE_NOMES[[#This Row],[Nome]],'Folha Rainha'!F:F,"*Trienio*")</f>
        <v>0</v>
      </c>
      <c r="P152">
        <f>SUMIFS('Folha Rainha'!G:G,'Folha Rainha'!B:B,BASE_DE_NOMES[[#This Row],[Nome]],'Folha Rainha'!F:F,"*TAXA*")</f>
        <v>0</v>
      </c>
      <c r="Q152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52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52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52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52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52">
        <f>BASE_DE_NOMES[[#This Row],[BOLSA DE AUXILIO]]+BASE_DE_NOMES[[#This Row],[VALE TRANSP]]+BASE_DE_NOMES[[#This Row],[PLANO DE SAUDE]]-BASE_DE_NOMES[[#This Row],[DESCONTOS]]</f>
        <v>0</v>
      </c>
      <c r="W152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52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52" s="4">
        <f>BASE_DE_NOMES[[#This Row],[TOTAL DE C.CHEQUE]]+BASE_DE_NOMES[[#This Row],[TOTAL DE QUEBRA]]+BASE_DE_NOMES[[#This Row],[ADC. ANTIGUIDADE]]+BASE_DE_NOMES[[#This Row],[TOTAL DE TRIENIO]]+BASE_DE_NOMES[[#This Row],[CCT]]</f>
        <v>1607</v>
      </c>
      <c r="Z152">
        <f>BASE_DE_NOMES[[#This Row],[PAGAMENTOS]]+BASE_DE_NOMES[[#This Row],[GRATIFICAÇÃO]]</f>
        <v>0</v>
      </c>
      <c r="AA152" s="4">
        <f>_xlfn.XLOOKUP(BASE_DE_NOMES[[#This Row],[NOME2]],Planilha1!C:C,Planilha1!D:D)*Y152</f>
        <v>321.40000000000003</v>
      </c>
      <c r="AB152" s="4">
        <f>BASE_DE_NOMES[[#This Row],[IMPOSTOS]]+BASE_DE_NOMES[[#This Row],[SALARIO BASE]]+BASE_DE_NOMES[[#This Row],[FAMILIA]]</f>
        <v>1928.4</v>
      </c>
      <c r="AC152" t="str">
        <f>_xlfn.XLOOKUP(BASE_DE_NOMES[[#This Row],[Razão Social]],Planilha1!B:B,Planilha1!C:C)</f>
        <v xml:space="preserve">30 K </v>
      </c>
      <c r="AD152" t="str">
        <f>_xlfn.XLOOKUP(BASE_DE_NOMES[[#This Row],[Alocações]],Planilha1!B:B,Planilha1!C:C)</f>
        <v xml:space="preserve">30 K </v>
      </c>
    </row>
    <row r="153" spans="1:30" x14ac:dyDescent="0.25">
      <c r="A153" t="s">
        <v>365</v>
      </c>
      <c r="B153" t="s">
        <v>213</v>
      </c>
      <c r="C153" t="s">
        <v>326</v>
      </c>
      <c r="D153" t="s">
        <v>252</v>
      </c>
      <c r="E153" s="1">
        <f>IFERROR(_xlfn.XLOOKUP(BASE_DE_NOMES[[#This Row],[Nome]],'Folha Rainha'!B:B,'Folha Rainha'!D:D),0)</f>
        <v>45110</v>
      </c>
      <c r="F153" t="str">
        <f>IFERROR(_xlfn.XLOOKUP(BASE_DE_NOMES[[#This Row],[Nome]],'Folha Rainha'!B:B,'Folha Rainha'!E:E)," ")</f>
        <v>Trabalhando</v>
      </c>
      <c r="G153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153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53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53" s="4">
        <f>BASE_DE_NOMES[[#This Row],[C.CHEQUE]]-BASE_DE_NOMES[[#This Row],[FALTAS]]-BASE_DE_NOMES[[#This Row],[DESCONTO ]]</f>
        <v>1518</v>
      </c>
      <c r="K153">
        <f>SUMIF(GRATIFICAÇÃO!A:A,BASE_DE_NOMES[[#This Row],[Nome]],GRATIFICAÇÃO!F:F)</f>
        <v>0</v>
      </c>
      <c r="L153">
        <f>SUMIF(PG!A:A,BASE_DE_NOMES[[#This Row],[Nome]],PG!E:E)</f>
        <v>0</v>
      </c>
      <c r="M153">
        <f>SUMIFS('Folha Rainha'!G:G,'Folha Rainha'!B:B,BASE_DE_NOMES[[#This Row],[Nome]],'Folha Rainha'!F:F,"*Quebra*",'Folha Rainha'!F:F,"*QUEBRA*")</f>
        <v>0</v>
      </c>
      <c r="N153">
        <f>SUMIFS('Folha Rainha'!G:G,'Folha Rainha'!B:B,BASE_DE_NOMES[[#This Row],[Nome]],'Folha Rainha'!F:F,"ADC. ANTIGUIDADE")</f>
        <v>0</v>
      </c>
      <c r="O153">
        <f>SUMIFS('Folha Rainha'!G:G,'Folha Rainha'!B:B,BASE_DE_NOMES[[#This Row],[Nome]],'Folha Rainha'!F:F,"*Trienio*")</f>
        <v>0</v>
      </c>
      <c r="P153">
        <f>SUMIFS('Folha Rainha'!G:G,'Folha Rainha'!B:B,BASE_DE_NOMES[[#This Row],[Nome]],'Folha Rainha'!F:F,"*TAXA*")</f>
        <v>0</v>
      </c>
      <c r="Q153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53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53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53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53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53">
        <f>BASE_DE_NOMES[[#This Row],[BOLSA DE AUXILIO]]+BASE_DE_NOMES[[#This Row],[VALE TRANSP]]+BASE_DE_NOMES[[#This Row],[PLANO DE SAUDE]]-BASE_DE_NOMES[[#This Row],[DESCONTOS]]</f>
        <v>0</v>
      </c>
      <c r="W153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53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53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153">
        <f>BASE_DE_NOMES[[#This Row],[PAGAMENTOS]]+BASE_DE_NOMES[[#This Row],[GRATIFICAÇÃO]]</f>
        <v>0</v>
      </c>
      <c r="AA153" s="4">
        <f>_xlfn.XLOOKUP(BASE_DE_NOMES[[#This Row],[NOME2]],Planilha1!C:C,Planilha1!D:D)*Y153</f>
        <v>303.60000000000002</v>
      </c>
      <c r="AB153" s="4">
        <f>BASE_DE_NOMES[[#This Row],[IMPOSTOS]]+BASE_DE_NOMES[[#This Row],[SALARIO BASE]]+BASE_DE_NOMES[[#This Row],[FAMILIA]]</f>
        <v>1821.6</v>
      </c>
      <c r="AC153" t="str">
        <f>_xlfn.XLOOKUP(BASE_DE_NOMES[[#This Row],[Razão Social]],Planilha1!B:B,Planilha1!C:C)</f>
        <v>VALE XEL</v>
      </c>
      <c r="AD153" t="str">
        <f>_xlfn.XLOOKUP(BASE_DE_NOMES[[#This Row],[Alocações]],Planilha1!B:B,Planilha1!C:C)</f>
        <v>FABRICA</v>
      </c>
    </row>
    <row r="154" spans="1:30" x14ac:dyDescent="0.25">
      <c r="A154" t="s">
        <v>183</v>
      </c>
      <c r="B154" t="s">
        <v>212</v>
      </c>
      <c r="C154" t="s">
        <v>556</v>
      </c>
      <c r="D154" t="s">
        <v>556</v>
      </c>
      <c r="E154" s="1">
        <f>IFERROR(_xlfn.XLOOKUP(BASE_DE_NOMES[[#This Row],[Nome]],'Folha Rainha'!B:B,'Folha Rainha'!D:D),0)</f>
        <v>43437</v>
      </c>
      <c r="F154" t="str">
        <f>IFERROR(_xlfn.XLOOKUP(BASE_DE_NOMES[[#This Row],[Nome]],'Folha Rainha'!B:B,'Folha Rainha'!E:E)," ")</f>
        <v>Trabalhando</v>
      </c>
      <c r="G154" s="4">
        <f>SUMIFS('Folha Rainha'!G:G,'Folha Rainha'!B:B,BASE_DE_NOMES[[#This Row],[Nome]],'Folha Rainha'!F:F,"Salário Base")+SUMIFS('Folha Rainha'!G:G,'Folha Rainha'!B:B,BASE_DE_NOMES[[#This Row],[Nome]],'Folha Rainha'!F:F,"Salário:")</f>
        <v>1660</v>
      </c>
      <c r="H154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54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54" s="4">
        <f>BASE_DE_NOMES[[#This Row],[C.CHEQUE]]-BASE_DE_NOMES[[#This Row],[FALTAS]]-BASE_DE_NOMES[[#This Row],[DESCONTO ]]</f>
        <v>1660</v>
      </c>
      <c r="K154">
        <f>SUMIF(GRATIFICAÇÃO!A:A,BASE_DE_NOMES[[#This Row],[Nome]],GRATIFICAÇÃO!F:F)</f>
        <v>300</v>
      </c>
      <c r="L154">
        <f>SUMIF(PG!A:A,BASE_DE_NOMES[[#This Row],[Nome]],PG!E:E)</f>
        <v>0</v>
      </c>
      <c r="M154">
        <f>SUMIFS('Folha Rainha'!G:G,'Folha Rainha'!B:B,BASE_DE_NOMES[[#This Row],[Nome]],'Folha Rainha'!F:F,"*Quebra*",'Folha Rainha'!F:F,"*QUEBRA*")</f>
        <v>0</v>
      </c>
      <c r="N154">
        <f>SUMIFS('Folha Rainha'!G:G,'Folha Rainha'!B:B,BASE_DE_NOMES[[#This Row],[Nome]],'Folha Rainha'!F:F,"ADC. ANTIGUIDADE")</f>
        <v>0</v>
      </c>
      <c r="O154">
        <f>SUMIFS('Folha Rainha'!G:G,'Folha Rainha'!B:B,BASE_DE_NOMES[[#This Row],[Nome]],'Folha Rainha'!F:F,"*Trienio*")</f>
        <v>166</v>
      </c>
      <c r="P154">
        <f>SUMIFS('Folha Rainha'!G:G,'Folha Rainha'!B:B,BASE_DE_NOMES[[#This Row],[Nome]],'Folha Rainha'!F:F,"*TAXA*")</f>
        <v>0</v>
      </c>
      <c r="Q154" s="4">
        <f>SUMIFS('Folha Rainha'!G:G,'Folha Rainha'!B:B,BASE_DE_NOMES[[#This Row],[Nome]],'Folha Rainha'!F:F,"SALARIO FAMILIA")+SUMIFS('Folha Rainha'!G:G,'Folha Rainha'!B:B,BASE_DE_NOMES[[#This Row],[Nome]],'Folha Rainha'!F:F,"Salário Família")</f>
        <v>130</v>
      </c>
      <c r="R154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54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54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54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54">
        <f>BASE_DE_NOMES[[#This Row],[BOLSA DE AUXILIO]]+BASE_DE_NOMES[[#This Row],[VALE TRANSP]]+BASE_DE_NOMES[[#This Row],[PLANO DE SAUDE]]-BASE_DE_NOMES[[#This Row],[DESCONTOS]]</f>
        <v>0</v>
      </c>
      <c r="W154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54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54" s="4">
        <f>BASE_DE_NOMES[[#This Row],[TOTAL DE C.CHEQUE]]+BASE_DE_NOMES[[#This Row],[TOTAL DE QUEBRA]]+BASE_DE_NOMES[[#This Row],[ADC. ANTIGUIDADE]]+BASE_DE_NOMES[[#This Row],[TOTAL DE TRIENIO]]+BASE_DE_NOMES[[#This Row],[CCT]]</f>
        <v>1826</v>
      </c>
      <c r="Z154">
        <f>BASE_DE_NOMES[[#This Row],[PAGAMENTOS]]+BASE_DE_NOMES[[#This Row],[GRATIFICAÇÃO]]</f>
        <v>300</v>
      </c>
      <c r="AA154" s="4">
        <f>_xlfn.XLOOKUP(BASE_DE_NOMES[[#This Row],[NOME2]],Planilha1!C:C,Planilha1!D:D)*Y154</f>
        <v>919.02579999999989</v>
      </c>
      <c r="AB154" s="4">
        <f>BASE_DE_NOMES[[#This Row],[IMPOSTOS]]+BASE_DE_NOMES[[#This Row],[SALARIO BASE]]+BASE_DE_NOMES[[#This Row],[FAMILIA]]</f>
        <v>2875.0257999999999</v>
      </c>
      <c r="AC154" t="str">
        <f>_xlfn.XLOOKUP(BASE_DE_NOMES[[#This Row],[Razão Social]],Planilha1!B:B,Planilha1!C:C)</f>
        <v>SR PASSOS</v>
      </c>
      <c r="AD154" t="str">
        <f>_xlfn.XLOOKUP(BASE_DE_NOMES[[#This Row],[Alocações]],Planilha1!B:B,Planilha1!C:C)</f>
        <v>SR PASSOS</v>
      </c>
    </row>
    <row r="155" spans="1:30" x14ac:dyDescent="0.25">
      <c r="A155" t="s">
        <v>100</v>
      </c>
      <c r="B155" t="s">
        <v>101</v>
      </c>
      <c r="C155" t="s">
        <v>280</v>
      </c>
      <c r="D155" t="s">
        <v>252</v>
      </c>
      <c r="E155" s="1">
        <f>IFERROR(_xlfn.XLOOKUP(BASE_DE_NOMES[[#This Row],[Nome]],'Folha Rainha'!B:B,'Folha Rainha'!D:D),0)</f>
        <v>40940</v>
      </c>
      <c r="F155" t="str">
        <f>IFERROR(_xlfn.XLOOKUP(BASE_DE_NOMES[[#This Row],[Nome]],'Folha Rainha'!B:B,'Folha Rainha'!E:E)," ")</f>
        <v>Trabalhando</v>
      </c>
      <c r="G155" s="4">
        <f>SUMIFS('Folha Rainha'!G:G,'Folha Rainha'!B:B,BASE_DE_NOMES[[#This Row],[Nome]],'Folha Rainha'!F:F,"Salário Base")+SUMIFS('Folha Rainha'!G:G,'Folha Rainha'!B:B,BASE_DE_NOMES[[#This Row],[Nome]],'Folha Rainha'!F:F,"Salário:")</f>
        <v>4595.8899999999994</v>
      </c>
      <c r="H155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55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55" s="4">
        <f>BASE_DE_NOMES[[#This Row],[C.CHEQUE]]-BASE_DE_NOMES[[#This Row],[FALTAS]]-BASE_DE_NOMES[[#This Row],[DESCONTO ]]</f>
        <v>4595.8899999999994</v>
      </c>
      <c r="K155">
        <f>SUMIF(GRATIFICAÇÃO!A:A,BASE_DE_NOMES[[#This Row],[Nome]],GRATIFICAÇÃO!F:F)</f>
        <v>0</v>
      </c>
      <c r="L155">
        <f>SUMIF(PG!A:A,BASE_DE_NOMES[[#This Row],[Nome]],PG!E:E)</f>
        <v>0</v>
      </c>
      <c r="M155">
        <f>SUMIFS('Folha Rainha'!G:G,'Folha Rainha'!B:B,BASE_DE_NOMES[[#This Row],[Nome]],'Folha Rainha'!F:F,"*Quebra*",'Folha Rainha'!F:F,"*QUEBRA*")</f>
        <v>0</v>
      </c>
      <c r="N155">
        <f>SUMIFS('Folha Rainha'!G:G,'Folha Rainha'!B:B,BASE_DE_NOMES[[#This Row],[Nome]],'Folha Rainha'!F:F,"ADC. ANTIGUIDADE")</f>
        <v>0</v>
      </c>
      <c r="O155">
        <f>SUMIFS('Folha Rainha'!G:G,'Folha Rainha'!B:B,BASE_DE_NOMES[[#This Row],[Nome]],'Folha Rainha'!F:F,"*Trienio*")</f>
        <v>334.78</v>
      </c>
      <c r="P155">
        <f>SUMIFS('Folha Rainha'!G:G,'Folha Rainha'!B:B,BASE_DE_NOMES[[#This Row],[Nome]],'Folha Rainha'!F:F,"*TAXA*")</f>
        <v>0</v>
      </c>
      <c r="Q155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55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55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55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55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55">
        <f>BASE_DE_NOMES[[#This Row],[BOLSA DE AUXILIO]]+BASE_DE_NOMES[[#This Row],[VALE TRANSP]]+BASE_DE_NOMES[[#This Row],[PLANO DE SAUDE]]-BASE_DE_NOMES[[#This Row],[DESCONTOS]]</f>
        <v>0</v>
      </c>
      <c r="W155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55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55" s="4">
        <f>BASE_DE_NOMES[[#This Row],[TOTAL DE C.CHEQUE]]+BASE_DE_NOMES[[#This Row],[TOTAL DE QUEBRA]]+BASE_DE_NOMES[[#This Row],[ADC. ANTIGUIDADE]]+BASE_DE_NOMES[[#This Row],[TOTAL DE TRIENIO]]+BASE_DE_NOMES[[#This Row],[CCT]]</f>
        <v>4930.6699999999992</v>
      </c>
      <c r="Z155">
        <f>BASE_DE_NOMES[[#This Row],[PAGAMENTOS]]+BASE_DE_NOMES[[#This Row],[GRATIFICAÇÃO]]</f>
        <v>0</v>
      </c>
      <c r="AA155" s="4">
        <f>_xlfn.XLOOKUP(BASE_DE_NOMES[[#This Row],[NOME2]],Planilha1!C:C,Planilha1!D:D)*Y155</f>
        <v>986.1339999999999</v>
      </c>
      <c r="AB155" s="4">
        <f>BASE_DE_NOMES[[#This Row],[IMPOSTOS]]+BASE_DE_NOMES[[#This Row],[SALARIO BASE]]+BASE_DE_NOMES[[#This Row],[FAMILIA]]</f>
        <v>5916.8039999999992</v>
      </c>
      <c r="AC155" t="str">
        <f>_xlfn.XLOOKUP(BASE_DE_NOMES[[#This Row],[Razão Social]],Planilha1!B:B,Planilha1!C:C)</f>
        <v>MAISON</v>
      </c>
      <c r="AD155" t="str">
        <f>_xlfn.XLOOKUP(BASE_DE_NOMES[[#This Row],[Alocações]],Planilha1!B:B,Planilha1!C:C)</f>
        <v>FABRICA</v>
      </c>
    </row>
    <row r="156" spans="1:30" x14ac:dyDescent="0.25">
      <c r="A156" t="s">
        <v>697</v>
      </c>
      <c r="B156" t="s">
        <v>258</v>
      </c>
      <c r="C156" t="s">
        <v>556</v>
      </c>
      <c r="D156" t="s">
        <v>556</v>
      </c>
      <c r="E156" s="1">
        <f>IFERROR(_xlfn.XLOOKUP(BASE_DE_NOMES[[#This Row],[Nome]],'Folha Rainha'!B:B,'Folha Rainha'!D:D),0)</f>
        <v>0</v>
      </c>
      <c r="F156" t="str">
        <f>IFERROR(_xlfn.XLOOKUP(BASE_DE_NOMES[[#This Row],[Nome]],'Folha Rainha'!B:B,'Folha Rainha'!E:E)," ")</f>
        <v xml:space="preserve"> </v>
      </c>
      <c r="G156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56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56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56" s="4">
        <f>BASE_DE_NOMES[[#This Row],[C.CHEQUE]]-BASE_DE_NOMES[[#This Row],[FALTAS]]-BASE_DE_NOMES[[#This Row],[DESCONTO ]]</f>
        <v>0</v>
      </c>
      <c r="K156">
        <f>SUMIF(GRATIFICAÇÃO!A:A,BASE_DE_NOMES[[#This Row],[Nome]],GRATIFICAÇÃO!F:F)</f>
        <v>0</v>
      </c>
      <c r="L156">
        <f>SUMIF(PG!A:A,BASE_DE_NOMES[[#This Row],[Nome]],PG!E:E)</f>
        <v>0</v>
      </c>
      <c r="M156">
        <f>SUMIFS('Folha Rainha'!G:G,'Folha Rainha'!B:B,BASE_DE_NOMES[[#This Row],[Nome]],'Folha Rainha'!F:F,"*Quebra*",'Folha Rainha'!F:F,"*QUEBRA*")</f>
        <v>0</v>
      </c>
      <c r="N156">
        <f>SUMIFS('Folha Rainha'!G:G,'Folha Rainha'!B:B,BASE_DE_NOMES[[#This Row],[Nome]],'Folha Rainha'!F:F,"ADC. ANTIGUIDADE")</f>
        <v>0</v>
      </c>
      <c r="O156">
        <f>SUMIFS('Folha Rainha'!G:G,'Folha Rainha'!B:B,BASE_DE_NOMES[[#This Row],[Nome]],'Folha Rainha'!F:F,"*Trienio*")</f>
        <v>0</v>
      </c>
      <c r="P156">
        <f>SUMIFS('Folha Rainha'!G:G,'Folha Rainha'!B:B,BASE_DE_NOMES[[#This Row],[Nome]],'Folha Rainha'!F:F,"*TAXA*")</f>
        <v>0</v>
      </c>
      <c r="Q156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56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56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56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56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56">
        <f>BASE_DE_NOMES[[#This Row],[BOLSA DE AUXILIO]]+BASE_DE_NOMES[[#This Row],[VALE TRANSP]]+BASE_DE_NOMES[[#This Row],[PLANO DE SAUDE]]-BASE_DE_NOMES[[#This Row],[DESCONTOS]]</f>
        <v>0</v>
      </c>
      <c r="W156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56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56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56">
        <f>BASE_DE_NOMES[[#This Row],[PAGAMENTOS]]+BASE_DE_NOMES[[#This Row],[GRATIFICAÇÃO]]</f>
        <v>0</v>
      </c>
      <c r="AA156" s="4">
        <f>_xlfn.XLOOKUP(BASE_DE_NOMES[[#This Row],[NOME2]],Planilha1!C:C,Planilha1!D:D)*Y156</f>
        <v>0</v>
      </c>
      <c r="AB156" s="4">
        <f>BASE_DE_NOMES[[#This Row],[IMPOSTOS]]+BASE_DE_NOMES[[#This Row],[SALARIO BASE]]+BASE_DE_NOMES[[#This Row],[FAMILIA]]</f>
        <v>0</v>
      </c>
      <c r="AC156" t="str">
        <f>_xlfn.XLOOKUP(BASE_DE_NOMES[[#This Row],[Razão Social]],Planilha1!B:B,Planilha1!C:C)</f>
        <v>SR PASSOS</v>
      </c>
      <c r="AD156" t="str">
        <f>_xlfn.XLOOKUP(BASE_DE_NOMES[[#This Row],[Alocações]],Planilha1!B:B,Planilha1!C:C)</f>
        <v>SR PASSOS</v>
      </c>
    </row>
    <row r="157" spans="1:30" x14ac:dyDescent="0.25">
      <c r="A157" t="s">
        <v>698</v>
      </c>
      <c r="B157" t="s">
        <v>213</v>
      </c>
      <c r="C157" t="s">
        <v>252</v>
      </c>
      <c r="D157" t="s">
        <v>252</v>
      </c>
      <c r="E157" s="1">
        <f>IFERROR(_xlfn.XLOOKUP(BASE_DE_NOMES[[#This Row],[Nome]],'Folha Rainha'!B:B,'Folha Rainha'!D:D),0)</f>
        <v>0</v>
      </c>
      <c r="F157" t="str">
        <f>IFERROR(_xlfn.XLOOKUP(BASE_DE_NOMES[[#This Row],[Nome]],'Folha Rainha'!B:B,'Folha Rainha'!E:E)," ")</f>
        <v xml:space="preserve"> </v>
      </c>
      <c r="G157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57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57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57" s="4">
        <f>BASE_DE_NOMES[[#This Row],[C.CHEQUE]]-BASE_DE_NOMES[[#This Row],[FALTAS]]-BASE_DE_NOMES[[#This Row],[DESCONTO ]]</f>
        <v>0</v>
      </c>
      <c r="K157">
        <f>SUMIF(GRATIFICAÇÃO!A:A,BASE_DE_NOMES[[#This Row],[Nome]],GRATIFICAÇÃO!F:F)</f>
        <v>0</v>
      </c>
      <c r="L157">
        <f>SUMIF(PG!A:A,BASE_DE_NOMES[[#This Row],[Nome]],PG!E:E)</f>
        <v>0</v>
      </c>
      <c r="M157">
        <f>SUMIFS('Folha Rainha'!G:G,'Folha Rainha'!B:B,BASE_DE_NOMES[[#This Row],[Nome]],'Folha Rainha'!F:F,"*Quebra*",'Folha Rainha'!F:F,"*QUEBRA*")</f>
        <v>0</v>
      </c>
      <c r="N157">
        <f>SUMIFS('Folha Rainha'!G:G,'Folha Rainha'!B:B,BASE_DE_NOMES[[#This Row],[Nome]],'Folha Rainha'!F:F,"ADC. ANTIGUIDADE")</f>
        <v>0</v>
      </c>
      <c r="O157">
        <f>SUMIFS('Folha Rainha'!G:G,'Folha Rainha'!B:B,BASE_DE_NOMES[[#This Row],[Nome]],'Folha Rainha'!F:F,"*Trienio*")</f>
        <v>0</v>
      </c>
      <c r="P157">
        <f>SUMIFS('Folha Rainha'!G:G,'Folha Rainha'!B:B,BASE_DE_NOMES[[#This Row],[Nome]],'Folha Rainha'!F:F,"*TAXA*")</f>
        <v>0</v>
      </c>
      <c r="Q157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57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57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57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57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57">
        <f>BASE_DE_NOMES[[#This Row],[BOLSA DE AUXILIO]]+BASE_DE_NOMES[[#This Row],[VALE TRANSP]]+BASE_DE_NOMES[[#This Row],[PLANO DE SAUDE]]-BASE_DE_NOMES[[#This Row],[DESCONTOS]]</f>
        <v>0</v>
      </c>
      <c r="W157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57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57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57">
        <f>BASE_DE_NOMES[[#This Row],[PAGAMENTOS]]+BASE_DE_NOMES[[#This Row],[GRATIFICAÇÃO]]</f>
        <v>0</v>
      </c>
      <c r="AA157" s="4">
        <f>_xlfn.XLOOKUP(BASE_DE_NOMES[[#This Row],[NOME2]],Planilha1!C:C,Planilha1!D:D)*Y157</f>
        <v>0</v>
      </c>
      <c r="AB157" s="4">
        <f>BASE_DE_NOMES[[#This Row],[IMPOSTOS]]+BASE_DE_NOMES[[#This Row],[SALARIO BASE]]+BASE_DE_NOMES[[#This Row],[FAMILIA]]</f>
        <v>0</v>
      </c>
      <c r="AC157" t="str">
        <f>_xlfn.XLOOKUP(BASE_DE_NOMES[[#This Row],[Razão Social]],Planilha1!B:B,Planilha1!C:C)</f>
        <v>FABRICA</v>
      </c>
      <c r="AD157" t="str">
        <f>_xlfn.XLOOKUP(BASE_DE_NOMES[[#This Row],[Alocações]],Planilha1!B:B,Planilha1!C:C)</f>
        <v>FABRICA</v>
      </c>
    </row>
    <row r="158" spans="1:30" x14ac:dyDescent="0.25">
      <c r="A158" t="s">
        <v>554</v>
      </c>
      <c r="B158" t="s">
        <v>213</v>
      </c>
      <c r="C158" t="s">
        <v>252</v>
      </c>
      <c r="D158" t="s">
        <v>252</v>
      </c>
      <c r="E158" s="1">
        <f>IFERROR(_xlfn.XLOOKUP(BASE_DE_NOMES[[#This Row],[Nome]],'Folha Rainha'!B:B,'Folha Rainha'!D:D),0)</f>
        <v>45673</v>
      </c>
      <c r="F158" t="str">
        <f>IFERROR(_xlfn.XLOOKUP(BASE_DE_NOMES[[#This Row],[Nome]],'Folha Rainha'!B:B,'Folha Rainha'!E:E)," ")</f>
        <v>Trabalhando</v>
      </c>
      <c r="G158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158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58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58" s="4">
        <f>BASE_DE_NOMES[[#This Row],[C.CHEQUE]]-BASE_DE_NOMES[[#This Row],[FALTAS]]-BASE_DE_NOMES[[#This Row],[DESCONTO ]]</f>
        <v>1518</v>
      </c>
      <c r="K158">
        <f>SUMIF(GRATIFICAÇÃO!A:A,BASE_DE_NOMES[[#This Row],[Nome]],GRATIFICAÇÃO!F:F)</f>
        <v>0</v>
      </c>
      <c r="L158">
        <f>SUMIF(PG!A:A,BASE_DE_NOMES[[#This Row],[Nome]],PG!E:E)</f>
        <v>0</v>
      </c>
      <c r="M158">
        <f>SUMIFS('Folha Rainha'!G:G,'Folha Rainha'!B:B,BASE_DE_NOMES[[#This Row],[Nome]],'Folha Rainha'!F:F,"*Quebra*",'Folha Rainha'!F:F,"*QUEBRA*")</f>
        <v>0</v>
      </c>
      <c r="N158">
        <f>SUMIFS('Folha Rainha'!G:G,'Folha Rainha'!B:B,BASE_DE_NOMES[[#This Row],[Nome]],'Folha Rainha'!F:F,"ADC. ANTIGUIDADE")</f>
        <v>0</v>
      </c>
      <c r="O158">
        <f>SUMIFS('Folha Rainha'!G:G,'Folha Rainha'!B:B,BASE_DE_NOMES[[#This Row],[Nome]],'Folha Rainha'!F:F,"*Trienio*")</f>
        <v>0</v>
      </c>
      <c r="P158">
        <f>SUMIFS('Folha Rainha'!G:G,'Folha Rainha'!B:B,BASE_DE_NOMES[[#This Row],[Nome]],'Folha Rainha'!F:F,"*TAXA*")</f>
        <v>0</v>
      </c>
      <c r="Q158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58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58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58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58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58">
        <f>BASE_DE_NOMES[[#This Row],[BOLSA DE AUXILIO]]+BASE_DE_NOMES[[#This Row],[VALE TRANSP]]+BASE_DE_NOMES[[#This Row],[PLANO DE SAUDE]]-BASE_DE_NOMES[[#This Row],[DESCONTOS]]</f>
        <v>0</v>
      </c>
      <c r="W158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58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58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158">
        <f>BASE_DE_NOMES[[#This Row],[PAGAMENTOS]]+BASE_DE_NOMES[[#This Row],[GRATIFICAÇÃO]]</f>
        <v>0</v>
      </c>
      <c r="AA158" s="4">
        <f>_xlfn.XLOOKUP(BASE_DE_NOMES[[#This Row],[NOME2]],Planilha1!C:C,Planilha1!D:D)*Y158</f>
        <v>764.00939999999991</v>
      </c>
      <c r="AB158" s="4">
        <f>BASE_DE_NOMES[[#This Row],[IMPOSTOS]]+BASE_DE_NOMES[[#This Row],[SALARIO BASE]]+BASE_DE_NOMES[[#This Row],[FAMILIA]]</f>
        <v>2282.0093999999999</v>
      </c>
      <c r="AC158" t="str">
        <f>_xlfn.XLOOKUP(BASE_DE_NOMES[[#This Row],[Razão Social]],Planilha1!B:B,Planilha1!C:C)</f>
        <v>FABRICA</v>
      </c>
      <c r="AD158" t="str">
        <f>_xlfn.XLOOKUP(BASE_DE_NOMES[[#This Row],[Alocações]],Planilha1!B:B,Planilha1!C:C)</f>
        <v>FABRICA</v>
      </c>
    </row>
    <row r="159" spans="1:30" x14ac:dyDescent="0.25">
      <c r="A159" t="s">
        <v>699</v>
      </c>
      <c r="B159" t="s">
        <v>544</v>
      </c>
      <c r="C159" t="s">
        <v>252</v>
      </c>
      <c r="D159" t="s">
        <v>252</v>
      </c>
      <c r="E159" s="1">
        <f>IFERROR(_xlfn.XLOOKUP(BASE_DE_NOMES[[#This Row],[Nome]],'Folha Rainha'!B:B,'Folha Rainha'!D:D),0)</f>
        <v>0</v>
      </c>
      <c r="F159" t="str">
        <f>IFERROR(_xlfn.XLOOKUP(BASE_DE_NOMES[[#This Row],[Nome]],'Folha Rainha'!B:B,'Folha Rainha'!E:E)," ")</f>
        <v xml:space="preserve"> </v>
      </c>
      <c r="G159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59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59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59" s="4">
        <f>BASE_DE_NOMES[[#This Row],[C.CHEQUE]]-BASE_DE_NOMES[[#This Row],[FALTAS]]-BASE_DE_NOMES[[#This Row],[DESCONTO ]]</f>
        <v>0</v>
      </c>
      <c r="K159">
        <f>SUMIF(GRATIFICAÇÃO!A:A,BASE_DE_NOMES[[#This Row],[Nome]],GRATIFICAÇÃO!F:F)</f>
        <v>0</v>
      </c>
      <c r="L159">
        <f>SUMIF(PG!A:A,BASE_DE_NOMES[[#This Row],[Nome]],PG!E:E)</f>
        <v>0</v>
      </c>
      <c r="M159">
        <f>SUMIFS('Folha Rainha'!G:G,'Folha Rainha'!B:B,BASE_DE_NOMES[[#This Row],[Nome]],'Folha Rainha'!F:F,"*Quebra*",'Folha Rainha'!F:F,"*QUEBRA*")</f>
        <v>0</v>
      </c>
      <c r="N159">
        <f>SUMIFS('Folha Rainha'!G:G,'Folha Rainha'!B:B,BASE_DE_NOMES[[#This Row],[Nome]],'Folha Rainha'!F:F,"ADC. ANTIGUIDADE")</f>
        <v>0</v>
      </c>
      <c r="O159">
        <f>SUMIFS('Folha Rainha'!G:G,'Folha Rainha'!B:B,BASE_DE_NOMES[[#This Row],[Nome]],'Folha Rainha'!F:F,"*Trienio*")</f>
        <v>0</v>
      </c>
      <c r="P159">
        <f>SUMIFS('Folha Rainha'!G:G,'Folha Rainha'!B:B,BASE_DE_NOMES[[#This Row],[Nome]],'Folha Rainha'!F:F,"*TAXA*")</f>
        <v>0</v>
      </c>
      <c r="Q159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59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59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59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59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59">
        <f>BASE_DE_NOMES[[#This Row],[BOLSA DE AUXILIO]]+BASE_DE_NOMES[[#This Row],[VALE TRANSP]]+BASE_DE_NOMES[[#This Row],[PLANO DE SAUDE]]-BASE_DE_NOMES[[#This Row],[DESCONTOS]]</f>
        <v>0</v>
      </c>
      <c r="W159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59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59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59">
        <f>BASE_DE_NOMES[[#This Row],[PAGAMENTOS]]+BASE_DE_NOMES[[#This Row],[GRATIFICAÇÃO]]</f>
        <v>0</v>
      </c>
      <c r="AA159" s="4">
        <f>_xlfn.XLOOKUP(BASE_DE_NOMES[[#This Row],[NOME2]],Planilha1!C:C,Planilha1!D:D)*Y159</f>
        <v>0</v>
      </c>
      <c r="AB159" s="4">
        <f>BASE_DE_NOMES[[#This Row],[IMPOSTOS]]+BASE_DE_NOMES[[#This Row],[SALARIO BASE]]+BASE_DE_NOMES[[#This Row],[FAMILIA]]</f>
        <v>0</v>
      </c>
      <c r="AC159" t="str">
        <f>_xlfn.XLOOKUP(BASE_DE_NOMES[[#This Row],[Razão Social]],Planilha1!B:B,Planilha1!C:C)</f>
        <v>FABRICA</v>
      </c>
      <c r="AD159" t="str">
        <f>_xlfn.XLOOKUP(BASE_DE_NOMES[[#This Row],[Alocações]],Planilha1!B:B,Planilha1!C:C)</f>
        <v>FABRICA</v>
      </c>
    </row>
    <row r="160" spans="1:30" x14ac:dyDescent="0.25">
      <c r="A160" t="s">
        <v>700</v>
      </c>
      <c r="B160" t="s">
        <v>213</v>
      </c>
      <c r="C160" t="s">
        <v>252</v>
      </c>
      <c r="D160" t="s">
        <v>252</v>
      </c>
      <c r="E160" s="1">
        <f>IFERROR(_xlfn.XLOOKUP(BASE_DE_NOMES[[#This Row],[Nome]],'Folha Rainha'!B:B,'Folha Rainha'!D:D),0)</f>
        <v>0</v>
      </c>
      <c r="F160" t="str">
        <f>IFERROR(_xlfn.XLOOKUP(BASE_DE_NOMES[[#This Row],[Nome]],'Folha Rainha'!B:B,'Folha Rainha'!E:E)," ")</f>
        <v xml:space="preserve"> </v>
      </c>
      <c r="G160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60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60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60" s="4">
        <f>BASE_DE_NOMES[[#This Row],[C.CHEQUE]]-BASE_DE_NOMES[[#This Row],[FALTAS]]-BASE_DE_NOMES[[#This Row],[DESCONTO ]]</f>
        <v>0</v>
      </c>
      <c r="K160">
        <f>SUMIF(GRATIFICAÇÃO!A:A,BASE_DE_NOMES[[#This Row],[Nome]],GRATIFICAÇÃO!F:F)</f>
        <v>0</v>
      </c>
      <c r="L160">
        <f>SUMIF(PG!A:A,BASE_DE_NOMES[[#This Row],[Nome]],PG!E:E)</f>
        <v>0</v>
      </c>
      <c r="M160">
        <f>SUMIFS('Folha Rainha'!G:G,'Folha Rainha'!B:B,BASE_DE_NOMES[[#This Row],[Nome]],'Folha Rainha'!F:F,"*Quebra*",'Folha Rainha'!F:F,"*QUEBRA*")</f>
        <v>0</v>
      </c>
      <c r="N160">
        <f>SUMIFS('Folha Rainha'!G:G,'Folha Rainha'!B:B,BASE_DE_NOMES[[#This Row],[Nome]],'Folha Rainha'!F:F,"ADC. ANTIGUIDADE")</f>
        <v>0</v>
      </c>
      <c r="O160">
        <f>SUMIFS('Folha Rainha'!G:G,'Folha Rainha'!B:B,BASE_DE_NOMES[[#This Row],[Nome]],'Folha Rainha'!F:F,"*Trienio*")</f>
        <v>0</v>
      </c>
      <c r="P160">
        <f>SUMIFS('Folha Rainha'!G:G,'Folha Rainha'!B:B,BASE_DE_NOMES[[#This Row],[Nome]],'Folha Rainha'!F:F,"*TAXA*")</f>
        <v>0</v>
      </c>
      <c r="Q160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60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60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60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60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60">
        <f>BASE_DE_NOMES[[#This Row],[BOLSA DE AUXILIO]]+BASE_DE_NOMES[[#This Row],[VALE TRANSP]]+BASE_DE_NOMES[[#This Row],[PLANO DE SAUDE]]-BASE_DE_NOMES[[#This Row],[DESCONTOS]]</f>
        <v>0</v>
      </c>
      <c r="W160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60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60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60">
        <f>BASE_DE_NOMES[[#This Row],[PAGAMENTOS]]+BASE_DE_NOMES[[#This Row],[GRATIFICAÇÃO]]</f>
        <v>0</v>
      </c>
      <c r="AA160" s="4">
        <f>_xlfn.XLOOKUP(BASE_DE_NOMES[[#This Row],[NOME2]],Planilha1!C:C,Planilha1!D:D)*Y160</f>
        <v>0</v>
      </c>
      <c r="AB160" s="4">
        <f>BASE_DE_NOMES[[#This Row],[IMPOSTOS]]+BASE_DE_NOMES[[#This Row],[SALARIO BASE]]+BASE_DE_NOMES[[#This Row],[FAMILIA]]</f>
        <v>0</v>
      </c>
      <c r="AC160" t="str">
        <f>_xlfn.XLOOKUP(BASE_DE_NOMES[[#This Row],[Razão Social]],Planilha1!B:B,Planilha1!C:C)</f>
        <v>FABRICA</v>
      </c>
      <c r="AD160" t="str">
        <f>_xlfn.XLOOKUP(BASE_DE_NOMES[[#This Row],[Alocações]],Planilha1!B:B,Planilha1!C:C)</f>
        <v>FABRICA</v>
      </c>
    </row>
    <row r="161" spans="1:30" x14ac:dyDescent="0.25">
      <c r="A161" t="s">
        <v>148</v>
      </c>
      <c r="B161" t="s">
        <v>407</v>
      </c>
      <c r="C161" t="s">
        <v>252</v>
      </c>
      <c r="D161" t="s">
        <v>252</v>
      </c>
      <c r="E161" s="1">
        <f>IFERROR(_xlfn.XLOOKUP(BASE_DE_NOMES[[#This Row],[Nome]],'Folha Rainha'!B:B,'Folha Rainha'!D:D),0)</f>
        <v>41852</v>
      </c>
      <c r="F161" t="str">
        <f>IFERROR(_xlfn.XLOOKUP(BASE_DE_NOMES[[#This Row],[Nome]],'Folha Rainha'!B:B,'Folha Rainha'!E:E)," ")</f>
        <v>Trabalhando</v>
      </c>
      <c r="G161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161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61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61" s="4">
        <f>BASE_DE_NOMES[[#This Row],[C.CHEQUE]]-BASE_DE_NOMES[[#This Row],[FALTAS]]-BASE_DE_NOMES[[#This Row],[DESCONTO ]]</f>
        <v>1518</v>
      </c>
      <c r="K161">
        <f>SUMIF(GRATIFICAÇÃO!A:A,BASE_DE_NOMES[[#This Row],[Nome]],GRATIFICAÇÃO!F:F)</f>
        <v>100</v>
      </c>
      <c r="L161">
        <f>SUMIF(PG!A:A,BASE_DE_NOMES[[#This Row],[Nome]],PG!E:E)</f>
        <v>0</v>
      </c>
      <c r="M161">
        <f>SUMIFS('Folha Rainha'!G:G,'Folha Rainha'!B:B,BASE_DE_NOMES[[#This Row],[Nome]],'Folha Rainha'!F:F,"*Quebra*",'Folha Rainha'!F:F,"*QUEBRA*")</f>
        <v>0</v>
      </c>
      <c r="N161">
        <f>SUMIFS('Folha Rainha'!G:G,'Folha Rainha'!B:B,BASE_DE_NOMES[[#This Row],[Nome]],'Folha Rainha'!F:F,"ADC. ANTIGUIDADE")</f>
        <v>0</v>
      </c>
      <c r="O161">
        <f>SUMIFS('Folha Rainha'!G:G,'Folha Rainha'!B:B,BASE_DE_NOMES[[#This Row],[Nome]],'Folha Rainha'!F:F,"*Trienio*")</f>
        <v>0</v>
      </c>
      <c r="P161">
        <f>SUMIFS('Folha Rainha'!G:G,'Folha Rainha'!B:B,BASE_DE_NOMES[[#This Row],[Nome]],'Folha Rainha'!F:F,"*TAXA*")</f>
        <v>0</v>
      </c>
      <c r="Q161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61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61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61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61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61">
        <f>BASE_DE_NOMES[[#This Row],[BOLSA DE AUXILIO]]+BASE_DE_NOMES[[#This Row],[VALE TRANSP]]+BASE_DE_NOMES[[#This Row],[PLANO DE SAUDE]]-BASE_DE_NOMES[[#This Row],[DESCONTOS]]</f>
        <v>0</v>
      </c>
      <c r="W161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61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61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161">
        <f>BASE_DE_NOMES[[#This Row],[PAGAMENTOS]]+BASE_DE_NOMES[[#This Row],[GRATIFICAÇÃO]]</f>
        <v>100</v>
      </c>
      <c r="AA161" s="4">
        <f>_xlfn.XLOOKUP(BASE_DE_NOMES[[#This Row],[NOME2]],Planilha1!C:C,Planilha1!D:D)*Y161</f>
        <v>764.00939999999991</v>
      </c>
      <c r="AB161" s="4">
        <f>BASE_DE_NOMES[[#This Row],[IMPOSTOS]]+BASE_DE_NOMES[[#This Row],[SALARIO BASE]]+BASE_DE_NOMES[[#This Row],[FAMILIA]]</f>
        <v>2282.0093999999999</v>
      </c>
      <c r="AC161" t="str">
        <f>_xlfn.XLOOKUP(BASE_DE_NOMES[[#This Row],[Razão Social]],Planilha1!B:B,Planilha1!C:C)</f>
        <v>FABRICA</v>
      </c>
      <c r="AD161" t="str">
        <f>_xlfn.XLOOKUP(BASE_DE_NOMES[[#This Row],[Alocações]],Planilha1!B:B,Planilha1!C:C)</f>
        <v>FABRICA</v>
      </c>
    </row>
    <row r="162" spans="1:30" x14ac:dyDescent="0.25">
      <c r="A162" t="s">
        <v>149</v>
      </c>
      <c r="B162" t="s">
        <v>130</v>
      </c>
      <c r="C162" t="s">
        <v>252</v>
      </c>
      <c r="D162" t="s">
        <v>252</v>
      </c>
      <c r="E162" s="1">
        <f>IFERROR(_xlfn.XLOOKUP(BASE_DE_NOMES[[#This Row],[Nome]],'Folha Rainha'!B:B,'Folha Rainha'!D:D),0)</f>
        <v>41946</v>
      </c>
      <c r="F162" t="str">
        <f>IFERROR(_xlfn.XLOOKUP(BASE_DE_NOMES[[#This Row],[Nome]],'Folha Rainha'!B:B,'Folha Rainha'!E:E)," ")</f>
        <v>Trabalhando</v>
      </c>
      <c r="G162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162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62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62" s="4">
        <f>BASE_DE_NOMES[[#This Row],[C.CHEQUE]]-BASE_DE_NOMES[[#This Row],[FALTAS]]-BASE_DE_NOMES[[#This Row],[DESCONTO ]]</f>
        <v>1518</v>
      </c>
      <c r="K162">
        <f>SUMIF(GRATIFICAÇÃO!A:A,BASE_DE_NOMES[[#This Row],[Nome]],GRATIFICAÇÃO!F:F)</f>
        <v>200</v>
      </c>
      <c r="L162">
        <f>SUMIF(PG!A:A,BASE_DE_NOMES[[#This Row],[Nome]],PG!E:E)</f>
        <v>0</v>
      </c>
      <c r="M162">
        <f>SUMIFS('Folha Rainha'!G:G,'Folha Rainha'!B:B,BASE_DE_NOMES[[#This Row],[Nome]],'Folha Rainha'!F:F,"*Quebra*",'Folha Rainha'!F:F,"*QUEBRA*")</f>
        <v>0</v>
      </c>
      <c r="N162">
        <f>SUMIFS('Folha Rainha'!G:G,'Folha Rainha'!B:B,BASE_DE_NOMES[[#This Row],[Nome]],'Folha Rainha'!F:F,"ADC. ANTIGUIDADE")</f>
        <v>0</v>
      </c>
      <c r="O162">
        <f>SUMIFS('Folha Rainha'!G:G,'Folha Rainha'!B:B,BASE_DE_NOMES[[#This Row],[Nome]],'Folha Rainha'!F:F,"*Trienio*")</f>
        <v>0</v>
      </c>
      <c r="P162">
        <f>SUMIFS('Folha Rainha'!G:G,'Folha Rainha'!B:B,BASE_DE_NOMES[[#This Row],[Nome]],'Folha Rainha'!F:F,"*TAXA*")</f>
        <v>0</v>
      </c>
      <c r="Q162" s="4">
        <f>SUMIFS('Folha Rainha'!G:G,'Folha Rainha'!B:B,BASE_DE_NOMES[[#This Row],[Nome]],'Folha Rainha'!F:F,"SALARIO FAMILIA")+SUMIFS('Folha Rainha'!G:G,'Folha Rainha'!B:B,BASE_DE_NOMES[[#This Row],[Nome]],'Folha Rainha'!F:F,"Salário Família")</f>
        <v>65</v>
      </c>
      <c r="R162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62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62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62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62">
        <f>BASE_DE_NOMES[[#This Row],[BOLSA DE AUXILIO]]+BASE_DE_NOMES[[#This Row],[VALE TRANSP]]+BASE_DE_NOMES[[#This Row],[PLANO DE SAUDE]]-BASE_DE_NOMES[[#This Row],[DESCONTOS]]</f>
        <v>0</v>
      </c>
      <c r="W162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62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62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162">
        <f>BASE_DE_NOMES[[#This Row],[PAGAMENTOS]]+BASE_DE_NOMES[[#This Row],[GRATIFICAÇÃO]]</f>
        <v>200</v>
      </c>
      <c r="AA162" s="4">
        <f>_xlfn.XLOOKUP(BASE_DE_NOMES[[#This Row],[NOME2]],Planilha1!C:C,Planilha1!D:D)*Y162</f>
        <v>764.00939999999991</v>
      </c>
      <c r="AB162" s="4">
        <f>BASE_DE_NOMES[[#This Row],[IMPOSTOS]]+BASE_DE_NOMES[[#This Row],[SALARIO BASE]]+BASE_DE_NOMES[[#This Row],[FAMILIA]]</f>
        <v>2347.0093999999999</v>
      </c>
      <c r="AC162" t="str">
        <f>_xlfn.XLOOKUP(BASE_DE_NOMES[[#This Row],[Razão Social]],Planilha1!B:B,Planilha1!C:C)</f>
        <v>FABRICA</v>
      </c>
      <c r="AD162" t="str">
        <f>_xlfn.XLOOKUP(BASE_DE_NOMES[[#This Row],[Alocações]],Planilha1!B:B,Planilha1!C:C)</f>
        <v>FABRICA</v>
      </c>
    </row>
    <row r="163" spans="1:30" x14ac:dyDescent="0.25">
      <c r="A163" t="s">
        <v>150</v>
      </c>
      <c r="B163" t="s">
        <v>213</v>
      </c>
      <c r="C163" t="s">
        <v>252</v>
      </c>
      <c r="D163" t="s">
        <v>252</v>
      </c>
      <c r="E163" s="1">
        <f>IFERROR(_xlfn.XLOOKUP(BASE_DE_NOMES[[#This Row],[Nome]],'Folha Rainha'!B:B,'Folha Rainha'!D:D),0)</f>
        <v>45474</v>
      </c>
      <c r="F163" t="str">
        <f>IFERROR(_xlfn.XLOOKUP(BASE_DE_NOMES[[#This Row],[Nome]],'Folha Rainha'!B:B,'Folha Rainha'!E:E)," ")</f>
        <v>Trabalhando</v>
      </c>
      <c r="G163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163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63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63" s="4">
        <f>BASE_DE_NOMES[[#This Row],[C.CHEQUE]]-BASE_DE_NOMES[[#This Row],[FALTAS]]-BASE_DE_NOMES[[#This Row],[DESCONTO ]]</f>
        <v>1518</v>
      </c>
      <c r="K163">
        <f>SUMIF(GRATIFICAÇÃO!A:A,BASE_DE_NOMES[[#This Row],[Nome]],GRATIFICAÇÃO!F:F)</f>
        <v>200</v>
      </c>
      <c r="L163">
        <f>SUMIF(PG!A:A,BASE_DE_NOMES[[#This Row],[Nome]],PG!E:E)</f>
        <v>0</v>
      </c>
      <c r="M163">
        <f>SUMIFS('Folha Rainha'!G:G,'Folha Rainha'!B:B,BASE_DE_NOMES[[#This Row],[Nome]],'Folha Rainha'!F:F,"*Quebra*",'Folha Rainha'!F:F,"*QUEBRA*")</f>
        <v>0</v>
      </c>
      <c r="N163">
        <f>SUMIFS('Folha Rainha'!G:G,'Folha Rainha'!B:B,BASE_DE_NOMES[[#This Row],[Nome]],'Folha Rainha'!F:F,"ADC. ANTIGUIDADE")</f>
        <v>0</v>
      </c>
      <c r="O163">
        <f>SUMIFS('Folha Rainha'!G:G,'Folha Rainha'!B:B,BASE_DE_NOMES[[#This Row],[Nome]],'Folha Rainha'!F:F,"*Trienio*")</f>
        <v>0</v>
      </c>
      <c r="P163">
        <f>SUMIFS('Folha Rainha'!G:G,'Folha Rainha'!B:B,BASE_DE_NOMES[[#This Row],[Nome]],'Folha Rainha'!F:F,"*TAXA*")</f>
        <v>0</v>
      </c>
      <c r="Q163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63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63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63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63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63">
        <f>BASE_DE_NOMES[[#This Row],[BOLSA DE AUXILIO]]+BASE_DE_NOMES[[#This Row],[VALE TRANSP]]+BASE_DE_NOMES[[#This Row],[PLANO DE SAUDE]]-BASE_DE_NOMES[[#This Row],[DESCONTOS]]</f>
        <v>0</v>
      </c>
      <c r="W163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63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63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163">
        <f>BASE_DE_NOMES[[#This Row],[PAGAMENTOS]]+BASE_DE_NOMES[[#This Row],[GRATIFICAÇÃO]]</f>
        <v>200</v>
      </c>
      <c r="AA163" s="4">
        <f>_xlfn.XLOOKUP(BASE_DE_NOMES[[#This Row],[NOME2]],Planilha1!C:C,Planilha1!D:D)*Y163</f>
        <v>764.00939999999991</v>
      </c>
      <c r="AB163" s="4">
        <f>BASE_DE_NOMES[[#This Row],[IMPOSTOS]]+BASE_DE_NOMES[[#This Row],[SALARIO BASE]]+BASE_DE_NOMES[[#This Row],[FAMILIA]]</f>
        <v>2282.0093999999999</v>
      </c>
      <c r="AC163" t="str">
        <f>_xlfn.XLOOKUP(BASE_DE_NOMES[[#This Row],[Razão Social]],Planilha1!B:B,Planilha1!C:C)</f>
        <v>FABRICA</v>
      </c>
      <c r="AD163" t="str">
        <f>_xlfn.XLOOKUP(BASE_DE_NOMES[[#This Row],[Alocações]],Planilha1!B:B,Planilha1!C:C)</f>
        <v>FABRICA</v>
      </c>
    </row>
    <row r="164" spans="1:30" x14ac:dyDescent="0.25">
      <c r="A164" t="s">
        <v>151</v>
      </c>
      <c r="B164" t="s">
        <v>407</v>
      </c>
      <c r="C164" t="s">
        <v>252</v>
      </c>
      <c r="D164" t="s">
        <v>252</v>
      </c>
      <c r="E164" s="1">
        <f>IFERROR(_xlfn.XLOOKUP(BASE_DE_NOMES[[#This Row],[Nome]],'Folha Rainha'!B:B,'Folha Rainha'!D:D),0)</f>
        <v>41655</v>
      </c>
      <c r="F164" t="str">
        <f>IFERROR(_xlfn.XLOOKUP(BASE_DE_NOMES[[#This Row],[Nome]],'Folha Rainha'!B:B,'Folha Rainha'!E:E)," ")</f>
        <v>Trabalhando</v>
      </c>
      <c r="G164" s="4">
        <f>SUMIFS('Folha Rainha'!G:G,'Folha Rainha'!B:B,BASE_DE_NOMES[[#This Row],[Nome]],'Folha Rainha'!F:F,"Salário Base")+SUMIFS('Folha Rainha'!G:G,'Folha Rainha'!B:B,BASE_DE_NOMES[[#This Row],[Nome]],'Folha Rainha'!F:F,"Salário:")</f>
        <v>1518</v>
      </c>
      <c r="H164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64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64" s="4">
        <f>BASE_DE_NOMES[[#This Row],[C.CHEQUE]]-BASE_DE_NOMES[[#This Row],[FALTAS]]-BASE_DE_NOMES[[#This Row],[DESCONTO ]]</f>
        <v>1518</v>
      </c>
      <c r="K164">
        <f>SUMIF(GRATIFICAÇÃO!A:A,BASE_DE_NOMES[[#This Row],[Nome]],GRATIFICAÇÃO!F:F)</f>
        <v>300</v>
      </c>
      <c r="L164">
        <f>SUMIF(PG!A:A,BASE_DE_NOMES[[#This Row],[Nome]],PG!E:E)</f>
        <v>0</v>
      </c>
      <c r="M164">
        <f>SUMIFS('Folha Rainha'!G:G,'Folha Rainha'!B:B,BASE_DE_NOMES[[#This Row],[Nome]],'Folha Rainha'!F:F,"*Quebra*",'Folha Rainha'!F:F,"*QUEBRA*")</f>
        <v>0</v>
      </c>
      <c r="N164">
        <f>SUMIFS('Folha Rainha'!G:G,'Folha Rainha'!B:B,BASE_DE_NOMES[[#This Row],[Nome]],'Folha Rainha'!F:F,"ADC. ANTIGUIDADE")</f>
        <v>0</v>
      </c>
      <c r="O164">
        <f>SUMIFS('Folha Rainha'!G:G,'Folha Rainha'!B:B,BASE_DE_NOMES[[#This Row],[Nome]],'Folha Rainha'!F:F,"*Trienio*")</f>
        <v>0</v>
      </c>
      <c r="P164">
        <f>SUMIFS('Folha Rainha'!G:G,'Folha Rainha'!B:B,BASE_DE_NOMES[[#This Row],[Nome]],'Folha Rainha'!F:F,"*TAXA*")</f>
        <v>0</v>
      </c>
      <c r="Q164" s="4">
        <f>SUMIFS('Folha Rainha'!G:G,'Folha Rainha'!B:B,BASE_DE_NOMES[[#This Row],[Nome]],'Folha Rainha'!F:F,"SALARIO FAMILIA")+SUMIFS('Folha Rainha'!G:G,'Folha Rainha'!B:B,BASE_DE_NOMES[[#This Row],[Nome]],'Folha Rainha'!F:F,"Salário Família")</f>
        <v>65</v>
      </c>
      <c r="R164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64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64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64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64">
        <f>BASE_DE_NOMES[[#This Row],[BOLSA DE AUXILIO]]+BASE_DE_NOMES[[#This Row],[VALE TRANSP]]+BASE_DE_NOMES[[#This Row],[PLANO DE SAUDE]]-BASE_DE_NOMES[[#This Row],[DESCONTOS]]</f>
        <v>0</v>
      </c>
      <c r="W164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64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64" s="4">
        <f>BASE_DE_NOMES[[#This Row],[TOTAL DE C.CHEQUE]]+BASE_DE_NOMES[[#This Row],[TOTAL DE QUEBRA]]+BASE_DE_NOMES[[#This Row],[ADC. ANTIGUIDADE]]+BASE_DE_NOMES[[#This Row],[TOTAL DE TRIENIO]]+BASE_DE_NOMES[[#This Row],[CCT]]</f>
        <v>1518</v>
      </c>
      <c r="Z164">
        <f>BASE_DE_NOMES[[#This Row],[PAGAMENTOS]]+BASE_DE_NOMES[[#This Row],[GRATIFICAÇÃO]]</f>
        <v>300</v>
      </c>
      <c r="AA164" s="4">
        <f>_xlfn.XLOOKUP(BASE_DE_NOMES[[#This Row],[NOME2]],Planilha1!C:C,Planilha1!D:D)*Y164</f>
        <v>764.00939999999991</v>
      </c>
      <c r="AB164" s="4">
        <f>BASE_DE_NOMES[[#This Row],[IMPOSTOS]]+BASE_DE_NOMES[[#This Row],[SALARIO BASE]]+BASE_DE_NOMES[[#This Row],[FAMILIA]]</f>
        <v>2347.0093999999999</v>
      </c>
      <c r="AC164" t="str">
        <f>_xlfn.XLOOKUP(BASE_DE_NOMES[[#This Row],[Razão Social]],Planilha1!B:B,Planilha1!C:C)</f>
        <v>FABRICA</v>
      </c>
      <c r="AD164" t="str">
        <f>_xlfn.XLOOKUP(BASE_DE_NOMES[[#This Row],[Alocações]],Planilha1!B:B,Planilha1!C:C)</f>
        <v>FABRICA</v>
      </c>
    </row>
    <row r="165" spans="1:30" x14ac:dyDescent="0.25">
      <c r="A165" t="s">
        <v>701</v>
      </c>
      <c r="B165" t="s">
        <v>258</v>
      </c>
      <c r="C165" t="s">
        <v>322</v>
      </c>
      <c r="D165" t="s">
        <v>322</v>
      </c>
      <c r="E165" s="1">
        <f>IFERROR(_xlfn.XLOOKUP(BASE_DE_NOMES[[#This Row],[Nome]],'Folha Rainha'!B:B,'Folha Rainha'!D:D),0)</f>
        <v>0</v>
      </c>
      <c r="F165" t="str">
        <f>IFERROR(_xlfn.XLOOKUP(BASE_DE_NOMES[[#This Row],[Nome]],'Folha Rainha'!B:B,'Folha Rainha'!E:E)," ")</f>
        <v xml:space="preserve"> </v>
      </c>
      <c r="G165" s="4">
        <f>SUMIFS('Folha Rainha'!G:G,'Folha Rainha'!B:B,BASE_DE_NOMES[[#This Row],[Nome]],'Folha Rainha'!F:F,"Salário Base")+SUMIFS('Folha Rainha'!G:G,'Folha Rainha'!B:B,BASE_DE_NOMES[[#This Row],[Nome]],'Folha Rainha'!F:F,"Salário:")</f>
        <v>0</v>
      </c>
      <c r="H165" s="4">
        <f>SUMIFS('Folha Rainha'!G:G,'Folha Rainha'!B:B,BASE_DE_NOMES[[#This Row],[Nome]],'Folha Rainha'!F:F,"HORAS FALTAS PARCIAL")+SUMIFS('Folha Rainha'!G:G,'Folha Rainha'!B:B,BASE_DE_NOMES[[#This Row],[Nome]],'Folha Rainha'!F:F,"HORAS FALTAS")+SUMIFS('Folha Rainha'!G:G,'Folha Rainha'!B:B,BASE_DE_NOMES[[#This Row],[Nome]],'Folha Rainha'!F:F,"HORAS FALTAS DSR")+SUMIFS('Folha Rainha'!G:G,'Folha Rainha'!B:B,BASE_DE_NOMES[[#This Row],[Nome]],'Folha Rainha'!F:F,"FALTA DE CAIXA")</f>
        <v>0</v>
      </c>
      <c r="I165" s="4">
        <f>SUMIFS('Folha Rainha'!G:G,'Folha Rainha'!B:B,BASE_DE_NOMES[[#This Row],[Nome]],'Folha Rainha'!F:F,"DESCONTO HORAS AFASTADAS")+SUMIFS('Folha Rainha'!G:G,'Folha Rainha'!B:B,BASE_DE_NOMES[[#This Row],[Nome]],'Folha Rainha'!F:F,"DESCONTO HORAS AFASTADAS ACID TRABALHO")+SUMIFS('Folha Rainha'!G:G,'Folha Rainha'!B:B,BASE_DE_NOMES[[#This Row],[Nome]],'Folha Rainha'!F:F,"SALARIO MATERNIDADE")</f>
        <v>0</v>
      </c>
      <c r="J165" s="4">
        <f>BASE_DE_NOMES[[#This Row],[C.CHEQUE]]-BASE_DE_NOMES[[#This Row],[FALTAS]]-BASE_DE_NOMES[[#This Row],[DESCONTO ]]</f>
        <v>0</v>
      </c>
      <c r="K165">
        <f>SUMIF(GRATIFICAÇÃO!A:A,BASE_DE_NOMES[[#This Row],[Nome]],GRATIFICAÇÃO!F:F)</f>
        <v>0</v>
      </c>
      <c r="L165">
        <f>SUMIF(PG!A:A,BASE_DE_NOMES[[#This Row],[Nome]],PG!E:E)</f>
        <v>0</v>
      </c>
      <c r="M165">
        <f>SUMIFS('Folha Rainha'!G:G,'Folha Rainha'!B:B,BASE_DE_NOMES[[#This Row],[Nome]],'Folha Rainha'!F:F,"*Quebra*",'Folha Rainha'!F:F,"*QUEBRA*")</f>
        <v>0</v>
      </c>
      <c r="N165">
        <f>SUMIFS('Folha Rainha'!G:G,'Folha Rainha'!B:B,BASE_DE_NOMES[[#This Row],[Nome]],'Folha Rainha'!F:F,"ADC. ANTIGUIDADE")</f>
        <v>0</v>
      </c>
      <c r="O165">
        <f>SUMIFS('Folha Rainha'!G:G,'Folha Rainha'!B:B,BASE_DE_NOMES[[#This Row],[Nome]],'Folha Rainha'!F:F,"*Trienio*")</f>
        <v>0</v>
      </c>
      <c r="P165">
        <f>SUMIFS('Folha Rainha'!G:G,'Folha Rainha'!B:B,BASE_DE_NOMES[[#This Row],[Nome]],'Folha Rainha'!F:F,"*TAXA*")</f>
        <v>0</v>
      </c>
      <c r="Q165" s="4">
        <f>SUMIFS('Folha Rainha'!G:G,'Folha Rainha'!B:B,BASE_DE_NOMES[[#This Row],[Nome]],'Folha Rainha'!F:F,"SALARIO FAMILIA")+SUMIFS('Folha Rainha'!G:G,'Folha Rainha'!B:B,BASE_DE_NOMES[[#This Row],[Nome]],'Folha Rainha'!F:F,"Salário Família")</f>
        <v>0</v>
      </c>
      <c r="R165" s="4">
        <f>SUMIFS('Folha Rainha'!G:G,'Folha Rainha'!B:B,BASE_DE_NOMES[[#This Row],[Nome]],'Folha Rainha'!F:F,"BOLSA AUXILIO")+SUMIFS('Folha Rainha'!G:G,'Folha Rainha'!B:B,BASE_DE_NOMES[[#This Row],[Nome]],'Folha Rainha'!F:F,"BOLSA AUXILIO AFASTAMENTO DIREITOS INT")</f>
        <v>0</v>
      </c>
      <c r="S165" s="4">
        <f>SUMIFS('Folha Rainha'!G:G,'Folha Rainha'!B:B,BASE_DE_NOMES[[#This Row],[Nome]],'Folha Rainha'!F:F,"Vale Transporte")+SUMIFS('Folha Rainha'!G:G,'Folha Rainha'!B:B,BASE_DE_NOMES[[#This Row],[Nome]],'Folha Rainha'!F:F,"VALE TRANSPORTE 6%")+SUMIFS('Folha Rainha'!G:G,'Folha Rainha'!B:B,BASE_DE_NOMES[[#This Row],[Nome]],'Folha Rainha'!F:F,"AUXILIO TRANSPORTE ")</f>
        <v>0</v>
      </c>
      <c r="T165" s="4">
        <f>SUMIFS('Folha Rainha'!G:G,'Folha Rainha'!B:B,BASE_DE_NOMES[[#This Row],[Nome]],'Folha Rainha'!F:F,"ASSISTÊNCIA ODONTOLÓGICA")+SUMIFS('Folha Rainha'!G:G,'Folha Rainha'!B:B,BASE_DE_NOMES[[#This Row],[Nome]],'Folha Rainha'!F:F,"ASSIST. ODONTO OUTROS DEPENDENTES")+SUMIFS('Folha Rainha'!G:G,'Folha Rainha'!B:B,BASE_DE_NOMES[[#This Row],[Nome]],'Folha Rainha'!F:F,"AUXILIO PLANO DE BENEFICIOS DEPENDENTES ")</f>
        <v>0</v>
      </c>
      <c r="U165" s="4">
        <f>SUMIFS('Folha Rainha'!G:G,'Folha Rainha'!B:B,BASE_DE_NOMES[[#This Row],[Nome]],'Folha Rainha'!F:F,"BOLSA AUXILIO DESCONTO ADIANTAMENTO")+SUMIFS('Folha Rainha'!G:G,'Folha Rainha'!B:B,BASE_DE_NOMES[[#This Row],[Nome]],'Folha Rainha'!F:F,"DESCONTO PLANO DE SAÚDE")+BASE_DE_NOMES[[#This Row],[TX ASSIS. TOTAL]]</f>
        <v>0</v>
      </c>
      <c r="V165">
        <f>BASE_DE_NOMES[[#This Row],[BOLSA DE AUXILIO]]+BASE_DE_NOMES[[#This Row],[VALE TRANSP]]+BASE_DE_NOMES[[#This Row],[PLANO DE SAUDE]]-BASE_DE_NOMES[[#This Row],[DESCONTOS]]</f>
        <v>0</v>
      </c>
      <c r="W165" s="4">
        <f>SUMIFS('Folha Rainha'!G:G,'Folha Rainha'!B:B,BASE_DE_NOMES[[#This Row],[Nome]],'Folha Rainha'!F:F,"VALE COMPRAS")+SUMIFS('Folha Rainha'!G:G,'Folha Rainha'!B:B,BASE_DE_NOMES[[#This Row],[Nome]],'Folha Rainha'!F:F,"VALES")</f>
        <v>0</v>
      </c>
      <c r="X165" s="4">
        <f>SUMIFS('Folha Rainha'!G:G,'Folha Rainha'!B:B,BASE_DE_NOMES[[#This Row],[Nome]],'Folha Rainha'!F:F,"ABONO CCT SECOFS 2024-2025")+SUMIFS('Folha Rainha'!G:G,'Folha Rainha'!B:B,BASE_DE_NOMES[[#This Row],[Nome]],'Folha Rainha'!F:F,"PARCELA DIFERENÇA 13o CCT")+SUMIFS('Folha Rainha'!G:G,'Folha Rainha'!B:B,BASE_DE_NOMES[[#This Row],[Nome]],'Folha Rainha'!F:F,"CONTRIBUICAO ABONO CCT 2024-2025")</f>
        <v>0</v>
      </c>
      <c r="Y165" s="4">
        <f>BASE_DE_NOMES[[#This Row],[TOTAL DE C.CHEQUE]]+BASE_DE_NOMES[[#This Row],[TOTAL DE QUEBRA]]+BASE_DE_NOMES[[#This Row],[ADC. ANTIGUIDADE]]+BASE_DE_NOMES[[#This Row],[TOTAL DE TRIENIO]]+BASE_DE_NOMES[[#This Row],[CCT]]</f>
        <v>0</v>
      </c>
      <c r="Z165">
        <f>BASE_DE_NOMES[[#This Row],[PAGAMENTOS]]+BASE_DE_NOMES[[#This Row],[GRATIFICAÇÃO]]</f>
        <v>0</v>
      </c>
      <c r="AA165" s="4">
        <f>_xlfn.XLOOKUP(BASE_DE_NOMES[[#This Row],[NOME2]],Planilha1!C:C,Planilha1!D:D)*Y165</f>
        <v>0</v>
      </c>
      <c r="AB165" s="4">
        <f>BASE_DE_NOMES[[#This Row],[IMPOSTOS]]+BASE_DE_NOMES[[#This Row],[SALARIO BASE]]+BASE_DE_NOMES[[#This Row],[FAMILIA]]</f>
        <v>0</v>
      </c>
      <c r="AC165" t="str">
        <f>_xlfn.XLOOKUP(BASE_DE_NOMES[[#This Row],[Razão Social]],Planilha1!B:B,Planilha1!C:C)</f>
        <v>METANÓIA</v>
      </c>
      <c r="AD165" t="str">
        <f>_xlfn.XLOOKUP(BASE_DE_NOMES[[#This Row],[Alocações]],Planilha1!B:B,Planilha1!C:C)</f>
        <v>METANÓIA</v>
      </c>
    </row>
    <row r="166" spans="1:30" x14ac:dyDescent="0.25">
      <c r="F166"/>
      <c r="X166" s="4">
        <f>SUBTOTAL(109,BASE_DE_NOMES[CCT])</f>
        <v>0</v>
      </c>
    </row>
    <row r="167" spans="1:30" x14ac:dyDescent="0.25">
      <c r="F167"/>
    </row>
    <row r="168" spans="1:30" x14ac:dyDescent="0.25">
      <c r="F168"/>
    </row>
    <row r="169" spans="1:30" x14ac:dyDescent="0.25">
      <c r="F169"/>
    </row>
    <row r="170" spans="1:30" x14ac:dyDescent="0.25">
      <c r="F170"/>
    </row>
    <row r="171" spans="1:30" x14ac:dyDescent="0.25">
      <c r="F171"/>
    </row>
    <row r="172" spans="1:30" x14ac:dyDescent="0.25">
      <c r="F172"/>
    </row>
    <row r="173" spans="1:30" x14ac:dyDescent="0.25">
      <c r="F173"/>
    </row>
    <row r="174" spans="1:30" x14ac:dyDescent="0.25">
      <c r="F174"/>
    </row>
    <row r="175" spans="1:30" x14ac:dyDescent="0.25">
      <c r="F175"/>
    </row>
    <row r="176" spans="1:30" x14ac:dyDescent="0.25">
      <c r="F176"/>
    </row>
    <row r="177" spans="6:6" x14ac:dyDescent="0.25">
      <c r="F177"/>
    </row>
    <row r="178" spans="6:6" x14ac:dyDescent="0.25">
      <c r="F178"/>
    </row>
    <row r="179" spans="6:6" x14ac:dyDescent="0.25">
      <c r="F179"/>
    </row>
    <row r="180" spans="6:6" x14ac:dyDescent="0.25">
      <c r="F180"/>
    </row>
    <row r="181" spans="6:6" x14ac:dyDescent="0.25">
      <c r="F181"/>
    </row>
    <row r="182" spans="6:6" x14ac:dyDescent="0.25">
      <c r="F182"/>
    </row>
    <row r="183" spans="6:6" x14ac:dyDescent="0.25">
      <c r="F183"/>
    </row>
    <row r="184" spans="6:6" x14ac:dyDescent="0.25">
      <c r="F184"/>
    </row>
    <row r="185" spans="6:6" x14ac:dyDescent="0.25">
      <c r="F185"/>
    </row>
    <row r="186" spans="6:6" x14ac:dyDescent="0.25">
      <c r="F186"/>
    </row>
    <row r="187" spans="6:6" x14ac:dyDescent="0.25">
      <c r="F187"/>
    </row>
    <row r="188" spans="6:6" x14ac:dyDescent="0.25">
      <c r="F188"/>
    </row>
    <row r="189" spans="6:6" x14ac:dyDescent="0.25">
      <c r="F189"/>
    </row>
    <row r="190" spans="6:6" x14ac:dyDescent="0.25">
      <c r="F190"/>
    </row>
    <row r="191" spans="6:6" x14ac:dyDescent="0.25">
      <c r="F191"/>
    </row>
    <row r="192" spans="6:6" x14ac:dyDescent="0.25">
      <c r="F192"/>
    </row>
    <row r="193" spans="6:6" x14ac:dyDescent="0.25">
      <c r="F193"/>
    </row>
    <row r="194" spans="6:6" x14ac:dyDescent="0.25">
      <c r="F194"/>
    </row>
    <row r="195" spans="6:6" x14ac:dyDescent="0.25">
      <c r="F195"/>
    </row>
    <row r="196" spans="6:6" x14ac:dyDescent="0.25">
      <c r="F196"/>
    </row>
    <row r="197" spans="6:6" x14ac:dyDescent="0.25">
      <c r="F197"/>
    </row>
    <row r="198" spans="6:6" x14ac:dyDescent="0.25">
      <c r="F198"/>
    </row>
    <row r="199" spans="6:6" x14ac:dyDescent="0.25">
      <c r="F199"/>
    </row>
    <row r="200" spans="6:6" x14ac:dyDescent="0.25">
      <c r="F200"/>
    </row>
    <row r="201" spans="6:6" x14ac:dyDescent="0.25">
      <c r="F201"/>
    </row>
    <row r="202" spans="6:6" x14ac:dyDescent="0.25">
      <c r="F202"/>
    </row>
    <row r="203" spans="6:6" x14ac:dyDescent="0.25">
      <c r="F203"/>
    </row>
    <row r="204" spans="6:6" x14ac:dyDescent="0.25">
      <c r="F204"/>
    </row>
    <row r="205" spans="6:6" x14ac:dyDescent="0.25">
      <c r="F205"/>
    </row>
    <row r="206" spans="6:6" x14ac:dyDescent="0.25">
      <c r="F206"/>
    </row>
  </sheetData>
  <phoneticPr fontId="1" type="noConversion"/>
  <conditionalFormatting sqref="A13:A165">
    <cfRule type="duplicateValues" dxfId="7" priority="117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2C2A4-00B8-4EC3-A4AD-AEB5FC839034}">
  <dimension ref="A1:F65"/>
  <sheetViews>
    <sheetView topLeftCell="A2" workbookViewId="0">
      <selection activeCell="F34" sqref="F33:F34"/>
    </sheetView>
  </sheetViews>
  <sheetFormatPr defaultRowHeight="15" x14ac:dyDescent="0.25"/>
  <cols>
    <col min="2" max="2" width="45.7109375" bestFit="1" customWidth="1"/>
    <col min="3" max="3" width="16.5703125" bestFit="1" customWidth="1"/>
    <col min="4" max="4" width="17" bestFit="1" customWidth="1"/>
    <col min="5" max="5" width="11.42578125" bestFit="1" customWidth="1"/>
    <col min="6" max="6" width="159.28515625" bestFit="1" customWidth="1"/>
  </cols>
  <sheetData>
    <row r="1" spans="1:6" x14ac:dyDescent="0.25">
      <c r="A1" t="s">
        <v>201</v>
      </c>
      <c r="B1" t="s">
        <v>587</v>
      </c>
      <c r="C1" t="s">
        <v>588</v>
      </c>
      <c r="D1" t="s">
        <v>431</v>
      </c>
    </row>
    <row r="2" spans="1:6" x14ac:dyDescent="0.25">
      <c r="A2">
        <v>1</v>
      </c>
      <c r="C2" t="s">
        <v>349</v>
      </c>
      <c r="D2">
        <v>0.2</v>
      </c>
    </row>
    <row r="3" spans="1:6" x14ac:dyDescent="0.25">
      <c r="A3">
        <f>A2+1</f>
        <v>2</v>
      </c>
      <c r="B3" t="s">
        <v>228</v>
      </c>
      <c r="C3" t="s">
        <v>228</v>
      </c>
      <c r="D3">
        <v>0.2</v>
      </c>
    </row>
    <row r="4" spans="1:6" x14ac:dyDescent="0.25">
      <c r="A4">
        <f t="shared" ref="A4:A22" si="0">A3+1</f>
        <v>3</v>
      </c>
      <c r="B4" t="s">
        <v>325</v>
      </c>
      <c r="C4" t="s">
        <v>226</v>
      </c>
      <c r="D4">
        <v>0.50329999999999997</v>
      </c>
    </row>
    <row r="5" spans="1:6" x14ac:dyDescent="0.25">
      <c r="A5">
        <f t="shared" si="0"/>
        <v>4</v>
      </c>
      <c r="B5" t="s">
        <v>253</v>
      </c>
      <c r="C5" t="s">
        <v>230</v>
      </c>
      <c r="D5">
        <v>0.2</v>
      </c>
    </row>
    <row r="6" spans="1:6" x14ac:dyDescent="0.25">
      <c r="A6">
        <f t="shared" si="0"/>
        <v>5</v>
      </c>
      <c r="B6" t="s">
        <v>254</v>
      </c>
      <c r="C6" t="s">
        <v>350</v>
      </c>
      <c r="D6">
        <v>0.50329999999999997</v>
      </c>
    </row>
    <row r="7" spans="1:6" x14ac:dyDescent="0.25">
      <c r="A7">
        <f t="shared" si="0"/>
        <v>6</v>
      </c>
      <c r="B7" t="s">
        <v>320</v>
      </c>
      <c r="C7" t="s">
        <v>223</v>
      </c>
      <c r="D7">
        <v>0.2</v>
      </c>
    </row>
    <row r="8" spans="1:6" x14ac:dyDescent="0.25">
      <c r="A8">
        <f t="shared" si="0"/>
        <v>7</v>
      </c>
      <c r="B8" t="s">
        <v>277</v>
      </c>
      <c r="C8" t="s">
        <v>227</v>
      </c>
      <c r="D8">
        <v>0.2</v>
      </c>
      <c r="F8" t="s">
        <v>430</v>
      </c>
    </row>
    <row r="9" spans="1:6" x14ac:dyDescent="0.25">
      <c r="A9">
        <f t="shared" si="0"/>
        <v>8</v>
      </c>
      <c r="B9" t="s">
        <v>322</v>
      </c>
      <c r="C9" t="s">
        <v>232</v>
      </c>
      <c r="D9">
        <v>0.2</v>
      </c>
    </row>
    <row r="10" spans="1:6" x14ac:dyDescent="0.25">
      <c r="A10">
        <f t="shared" si="0"/>
        <v>9</v>
      </c>
      <c r="B10" t="s">
        <v>233</v>
      </c>
      <c r="C10" t="s">
        <v>233</v>
      </c>
      <c r="D10">
        <v>0.2</v>
      </c>
    </row>
    <row r="11" spans="1:6" x14ac:dyDescent="0.25">
      <c r="A11">
        <f t="shared" si="0"/>
        <v>10</v>
      </c>
      <c r="B11" t="s">
        <v>280</v>
      </c>
      <c r="C11" t="s">
        <v>231</v>
      </c>
      <c r="D11">
        <v>0.2</v>
      </c>
    </row>
    <row r="12" spans="1:6" x14ac:dyDescent="0.25">
      <c r="A12">
        <f t="shared" si="0"/>
        <v>11</v>
      </c>
      <c r="B12" t="s">
        <v>319</v>
      </c>
      <c r="C12" t="s">
        <v>351</v>
      </c>
      <c r="D12">
        <v>0.2</v>
      </c>
    </row>
    <row r="13" spans="1:6" x14ac:dyDescent="0.25">
      <c r="A13">
        <f t="shared" si="0"/>
        <v>12</v>
      </c>
      <c r="B13" t="s">
        <v>318</v>
      </c>
      <c r="C13" t="s">
        <v>352</v>
      </c>
      <c r="D13">
        <v>0.2</v>
      </c>
    </row>
    <row r="14" spans="1:6" x14ac:dyDescent="0.25">
      <c r="A14">
        <f t="shared" si="0"/>
        <v>13</v>
      </c>
      <c r="B14" t="s">
        <v>224</v>
      </c>
      <c r="C14" t="s">
        <v>224</v>
      </c>
      <c r="D14">
        <v>0.2</v>
      </c>
    </row>
    <row r="15" spans="1:6" x14ac:dyDescent="0.25">
      <c r="A15">
        <f t="shared" si="0"/>
        <v>14</v>
      </c>
      <c r="B15" t="s">
        <v>321</v>
      </c>
      <c r="C15" t="s">
        <v>353</v>
      </c>
      <c r="D15">
        <v>0.2</v>
      </c>
    </row>
    <row r="16" spans="1:6" x14ac:dyDescent="0.25">
      <c r="A16">
        <f t="shared" si="0"/>
        <v>15</v>
      </c>
      <c r="B16" t="s">
        <v>229</v>
      </c>
      <c r="C16" t="s">
        <v>229</v>
      </c>
      <c r="D16">
        <v>0.2</v>
      </c>
    </row>
    <row r="17" spans="1:4" x14ac:dyDescent="0.25">
      <c r="A17">
        <f t="shared" si="0"/>
        <v>16</v>
      </c>
      <c r="B17" t="s">
        <v>326</v>
      </c>
      <c r="C17" t="s">
        <v>326</v>
      </c>
      <c r="D17">
        <v>0.2</v>
      </c>
    </row>
    <row r="18" spans="1:4" x14ac:dyDescent="0.25">
      <c r="A18">
        <f t="shared" si="0"/>
        <v>17</v>
      </c>
      <c r="B18" t="s">
        <v>354</v>
      </c>
      <c r="C18" t="s">
        <v>354</v>
      </c>
      <c r="D18">
        <v>0.2</v>
      </c>
    </row>
    <row r="19" spans="1:4" x14ac:dyDescent="0.25">
      <c r="A19">
        <f t="shared" si="0"/>
        <v>18</v>
      </c>
      <c r="B19" t="s">
        <v>225</v>
      </c>
      <c r="C19" t="s">
        <v>225</v>
      </c>
      <c r="D19">
        <v>0.2</v>
      </c>
    </row>
    <row r="20" spans="1:4" x14ac:dyDescent="0.25">
      <c r="A20">
        <f t="shared" si="0"/>
        <v>19</v>
      </c>
      <c r="B20" t="s">
        <v>355</v>
      </c>
      <c r="C20" t="s">
        <v>355</v>
      </c>
      <c r="D20">
        <v>0.2</v>
      </c>
    </row>
    <row r="21" spans="1:4" x14ac:dyDescent="0.25">
      <c r="A21">
        <f t="shared" si="0"/>
        <v>20</v>
      </c>
      <c r="B21" t="s">
        <v>324</v>
      </c>
      <c r="C21" t="s">
        <v>356</v>
      </c>
      <c r="D21">
        <v>0.2</v>
      </c>
    </row>
    <row r="22" spans="1:4" x14ac:dyDescent="0.25">
      <c r="A22">
        <f t="shared" si="0"/>
        <v>21</v>
      </c>
      <c r="B22" t="s">
        <v>234</v>
      </c>
      <c r="C22" t="s">
        <v>234</v>
      </c>
      <c r="D22">
        <v>0.50329999999999997</v>
      </c>
    </row>
    <row r="23" spans="1:4" x14ac:dyDescent="0.25">
      <c r="A23">
        <f>A22+1</f>
        <v>22</v>
      </c>
      <c r="B23" t="s">
        <v>358</v>
      </c>
      <c r="C23" t="s">
        <v>225</v>
      </c>
      <c r="D23">
        <v>0.2</v>
      </c>
    </row>
    <row r="24" spans="1:4" x14ac:dyDescent="0.25">
      <c r="A24">
        <v>23</v>
      </c>
      <c r="B24" t="s">
        <v>361</v>
      </c>
      <c r="C24" t="s">
        <v>234</v>
      </c>
      <c r="D24">
        <v>0.50329999999999997</v>
      </c>
    </row>
    <row r="25" spans="1:4" x14ac:dyDescent="0.25">
      <c r="A25">
        <f t="shared" ref="A25:A33" si="1">A24+1</f>
        <v>24</v>
      </c>
      <c r="B25" t="s">
        <v>252</v>
      </c>
      <c r="C25" t="s">
        <v>226</v>
      </c>
      <c r="D25">
        <v>0.50329999999999997</v>
      </c>
    </row>
    <row r="26" spans="1:4" x14ac:dyDescent="0.25">
      <c r="A26">
        <f t="shared" si="1"/>
        <v>25</v>
      </c>
      <c r="B26" t="s">
        <v>253</v>
      </c>
      <c r="C26" t="s">
        <v>454</v>
      </c>
      <c r="D26">
        <v>0.2</v>
      </c>
    </row>
    <row r="27" spans="1:4" x14ac:dyDescent="0.25">
      <c r="A27">
        <f t="shared" si="1"/>
        <v>26</v>
      </c>
      <c r="B27" t="s">
        <v>400</v>
      </c>
      <c r="C27" t="s">
        <v>351</v>
      </c>
      <c r="D27">
        <v>0.2</v>
      </c>
    </row>
    <row r="28" spans="1:4" x14ac:dyDescent="0.25">
      <c r="A28">
        <f t="shared" si="1"/>
        <v>27</v>
      </c>
      <c r="B28" t="s">
        <v>401</v>
      </c>
      <c r="C28" t="s">
        <v>223</v>
      </c>
      <c r="D28">
        <v>0.2</v>
      </c>
    </row>
    <row r="29" spans="1:4" x14ac:dyDescent="0.25">
      <c r="A29">
        <f t="shared" si="1"/>
        <v>28</v>
      </c>
      <c r="B29" t="s">
        <v>498</v>
      </c>
      <c r="C29" t="s">
        <v>234</v>
      </c>
      <c r="D29">
        <v>0.50329999999999997</v>
      </c>
    </row>
    <row r="30" spans="1:4" x14ac:dyDescent="0.25">
      <c r="A30">
        <f t="shared" si="1"/>
        <v>29</v>
      </c>
      <c r="B30" t="s">
        <v>499</v>
      </c>
      <c r="C30" t="s">
        <v>230</v>
      </c>
      <c r="D30">
        <v>0.2</v>
      </c>
    </row>
    <row r="31" spans="1:4" x14ac:dyDescent="0.25">
      <c r="A31">
        <f t="shared" si="1"/>
        <v>30</v>
      </c>
      <c r="B31" t="s">
        <v>400</v>
      </c>
      <c r="C31" t="s">
        <v>351</v>
      </c>
      <c r="D31">
        <v>0.2</v>
      </c>
    </row>
    <row r="32" spans="1:4" x14ac:dyDescent="0.25">
      <c r="A32">
        <f t="shared" si="1"/>
        <v>31</v>
      </c>
      <c r="B32" t="s">
        <v>401</v>
      </c>
      <c r="C32" t="s">
        <v>223</v>
      </c>
      <c r="D32">
        <v>0.2</v>
      </c>
    </row>
    <row r="33" spans="1:4" x14ac:dyDescent="0.25">
      <c r="A33">
        <f t="shared" si="1"/>
        <v>32</v>
      </c>
      <c r="B33" t="s">
        <v>401</v>
      </c>
      <c r="C33" t="s">
        <v>223</v>
      </c>
      <c r="D33">
        <v>0.2</v>
      </c>
    </row>
    <row r="34" spans="1:4" x14ac:dyDescent="0.25">
      <c r="A34">
        <f>A33+1</f>
        <v>33</v>
      </c>
      <c r="B34" t="s">
        <v>401</v>
      </c>
      <c r="C34" t="s">
        <v>223</v>
      </c>
      <c r="D34">
        <v>0.2</v>
      </c>
    </row>
    <row r="35" spans="1:4" x14ac:dyDescent="0.25">
      <c r="A35">
        <f>A34+1</f>
        <v>34</v>
      </c>
      <c r="B35" t="s">
        <v>400</v>
      </c>
      <c r="C35" t="s">
        <v>351</v>
      </c>
      <c r="D35">
        <v>0.2</v>
      </c>
    </row>
    <row r="36" spans="1:4" x14ac:dyDescent="0.25">
      <c r="A36">
        <f>A35+1</f>
        <v>35</v>
      </c>
      <c r="B36" t="s">
        <v>400</v>
      </c>
      <c r="C36" t="s">
        <v>351</v>
      </c>
      <c r="D36">
        <v>0.2</v>
      </c>
    </row>
    <row r="37" spans="1:4" x14ac:dyDescent="0.25">
      <c r="A37">
        <f t="shared" ref="A37:A48" si="2">A36+1</f>
        <v>36</v>
      </c>
      <c r="B37" t="s">
        <v>500</v>
      </c>
      <c r="C37" t="s">
        <v>352</v>
      </c>
      <c r="D37">
        <v>0.2</v>
      </c>
    </row>
    <row r="38" spans="1:4" x14ac:dyDescent="0.25">
      <c r="A38">
        <f t="shared" si="2"/>
        <v>37</v>
      </c>
      <c r="B38" t="s">
        <v>400</v>
      </c>
      <c r="C38" t="s">
        <v>351</v>
      </c>
      <c r="D38">
        <v>0.2</v>
      </c>
    </row>
    <row r="39" spans="1:4" x14ac:dyDescent="0.25">
      <c r="A39">
        <f t="shared" si="2"/>
        <v>38</v>
      </c>
      <c r="B39" t="s">
        <v>499</v>
      </c>
      <c r="C39" t="s">
        <v>230</v>
      </c>
      <c r="D39">
        <v>0.2</v>
      </c>
    </row>
    <row r="40" spans="1:4" x14ac:dyDescent="0.25">
      <c r="A40">
        <f t="shared" si="2"/>
        <v>39</v>
      </c>
      <c r="B40" t="s">
        <v>400</v>
      </c>
      <c r="C40" t="s">
        <v>351</v>
      </c>
      <c r="D40">
        <v>0.2</v>
      </c>
    </row>
    <row r="41" spans="1:4" x14ac:dyDescent="0.25">
      <c r="A41">
        <f t="shared" si="2"/>
        <v>40</v>
      </c>
      <c r="B41" t="s">
        <v>401</v>
      </c>
      <c r="C41" t="s">
        <v>223</v>
      </c>
      <c r="D41">
        <v>0.2</v>
      </c>
    </row>
    <row r="42" spans="1:4" x14ac:dyDescent="0.25">
      <c r="A42">
        <f t="shared" si="2"/>
        <v>41</v>
      </c>
      <c r="B42" t="s">
        <v>401</v>
      </c>
      <c r="C42" t="s">
        <v>223</v>
      </c>
      <c r="D42">
        <v>0.2</v>
      </c>
    </row>
    <row r="43" spans="1:4" x14ac:dyDescent="0.25">
      <c r="A43">
        <f t="shared" si="2"/>
        <v>42</v>
      </c>
      <c r="B43" t="s">
        <v>400</v>
      </c>
      <c r="C43" t="s">
        <v>351</v>
      </c>
      <c r="D43">
        <v>0.2</v>
      </c>
    </row>
    <row r="44" spans="1:4" x14ac:dyDescent="0.25">
      <c r="A44">
        <f t="shared" si="2"/>
        <v>43</v>
      </c>
      <c r="B44" t="s">
        <v>400</v>
      </c>
      <c r="C44" t="s">
        <v>351</v>
      </c>
      <c r="D44">
        <v>0.2</v>
      </c>
    </row>
    <row r="45" spans="1:4" x14ac:dyDescent="0.25">
      <c r="A45">
        <f t="shared" si="2"/>
        <v>44</v>
      </c>
      <c r="B45" t="s">
        <v>499</v>
      </c>
      <c r="C45" t="s">
        <v>230</v>
      </c>
      <c r="D45">
        <v>0.2</v>
      </c>
    </row>
    <row r="46" spans="1:4" x14ac:dyDescent="0.25">
      <c r="A46">
        <f t="shared" si="2"/>
        <v>45</v>
      </c>
      <c r="B46" t="s">
        <v>501</v>
      </c>
      <c r="C46" t="s">
        <v>350</v>
      </c>
      <c r="D46">
        <v>0.50329999999999997</v>
      </c>
    </row>
    <row r="47" spans="1:4" x14ac:dyDescent="0.25">
      <c r="A47">
        <f t="shared" si="2"/>
        <v>46</v>
      </c>
      <c r="B47" t="s">
        <v>501</v>
      </c>
      <c r="C47" t="s">
        <v>350</v>
      </c>
      <c r="D47">
        <v>0.50329999999999997</v>
      </c>
    </row>
    <row r="48" spans="1:4" x14ac:dyDescent="0.25">
      <c r="A48">
        <f t="shared" si="2"/>
        <v>47</v>
      </c>
      <c r="B48" t="s">
        <v>498</v>
      </c>
      <c r="C48" t="s">
        <v>234</v>
      </c>
      <c r="D48">
        <v>0.50329999999999997</v>
      </c>
    </row>
    <row r="49" spans="1:4" x14ac:dyDescent="0.25">
      <c r="A49">
        <f t="shared" ref="A49:A54" si="3">A48+1</f>
        <v>48</v>
      </c>
      <c r="B49" t="s">
        <v>401</v>
      </c>
      <c r="C49" t="s">
        <v>223</v>
      </c>
      <c r="D49">
        <v>0.2</v>
      </c>
    </row>
    <row r="50" spans="1:4" x14ac:dyDescent="0.25">
      <c r="A50">
        <f t="shared" si="3"/>
        <v>49</v>
      </c>
      <c r="B50" t="s">
        <v>498</v>
      </c>
      <c r="C50" t="s">
        <v>234</v>
      </c>
      <c r="D50">
        <v>0.50329999999999997</v>
      </c>
    </row>
    <row r="51" spans="1:4" x14ac:dyDescent="0.25">
      <c r="A51">
        <f t="shared" si="3"/>
        <v>50</v>
      </c>
      <c r="B51" t="s">
        <v>502</v>
      </c>
      <c r="C51" t="s">
        <v>229</v>
      </c>
      <c r="D51">
        <v>0.2</v>
      </c>
    </row>
    <row r="52" spans="1:4" x14ac:dyDescent="0.25">
      <c r="A52">
        <f t="shared" si="3"/>
        <v>51</v>
      </c>
      <c r="B52" t="s">
        <v>400</v>
      </c>
      <c r="C52" t="s">
        <v>351</v>
      </c>
      <c r="D52">
        <v>0.2</v>
      </c>
    </row>
    <row r="53" spans="1:4" x14ac:dyDescent="0.25">
      <c r="A53">
        <f t="shared" si="3"/>
        <v>52</v>
      </c>
      <c r="B53" t="s">
        <v>503</v>
      </c>
      <c r="C53" t="s">
        <v>231</v>
      </c>
      <c r="D53">
        <v>0.2</v>
      </c>
    </row>
    <row r="54" spans="1:4" x14ac:dyDescent="0.25">
      <c r="A54">
        <f t="shared" si="3"/>
        <v>53</v>
      </c>
      <c r="B54" t="s">
        <v>400</v>
      </c>
      <c r="C54" t="s">
        <v>351</v>
      </c>
      <c r="D54">
        <v>0.2</v>
      </c>
    </row>
    <row r="55" spans="1:4" x14ac:dyDescent="0.25">
      <c r="A55">
        <f t="shared" ref="A55:A60" si="4">A54+1</f>
        <v>54</v>
      </c>
      <c r="B55" t="s">
        <v>507</v>
      </c>
      <c r="C55" t="s">
        <v>352</v>
      </c>
      <c r="D55">
        <v>0.2</v>
      </c>
    </row>
    <row r="56" spans="1:4" x14ac:dyDescent="0.25">
      <c r="A56">
        <f t="shared" si="4"/>
        <v>55</v>
      </c>
      <c r="B56" t="s">
        <v>509</v>
      </c>
      <c r="C56" t="s">
        <v>228</v>
      </c>
      <c r="D56">
        <v>0.2</v>
      </c>
    </row>
    <row r="57" spans="1:4" x14ac:dyDescent="0.25">
      <c r="A57">
        <f t="shared" si="4"/>
        <v>56</v>
      </c>
      <c r="B57" t="s">
        <v>427</v>
      </c>
      <c r="C57" t="s">
        <v>225</v>
      </c>
      <c r="D57">
        <v>0.2</v>
      </c>
    </row>
    <row r="58" spans="1:4" x14ac:dyDescent="0.25">
      <c r="A58">
        <f t="shared" si="4"/>
        <v>57</v>
      </c>
      <c r="B58" t="s">
        <v>508</v>
      </c>
      <c r="C58" t="s">
        <v>352</v>
      </c>
      <c r="D58">
        <v>0.2</v>
      </c>
    </row>
    <row r="59" spans="1:4" x14ac:dyDescent="0.25">
      <c r="A59">
        <f t="shared" si="4"/>
        <v>58</v>
      </c>
      <c r="B59" t="s">
        <v>511</v>
      </c>
      <c r="C59" t="s">
        <v>351</v>
      </c>
      <c r="D59">
        <v>0.2</v>
      </c>
    </row>
    <row r="60" spans="1:4" x14ac:dyDescent="0.25">
      <c r="A60">
        <f t="shared" si="4"/>
        <v>59</v>
      </c>
      <c r="B60" t="s">
        <v>542</v>
      </c>
      <c r="C60" t="s">
        <v>353</v>
      </c>
      <c r="D60">
        <v>0.2</v>
      </c>
    </row>
    <row r="61" spans="1:4" x14ac:dyDescent="0.25">
      <c r="A61">
        <f>A60+1</f>
        <v>60</v>
      </c>
      <c r="B61" t="s">
        <v>227</v>
      </c>
      <c r="C61" t="s">
        <v>227</v>
      </c>
      <c r="D61">
        <v>0.2</v>
      </c>
    </row>
    <row r="62" spans="1:4" x14ac:dyDescent="0.25">
      <c r="A62">
        <f>A61+1</f>
        <v>61</v>
      </c>
      <c r="B62" t="s">
        <v>584</v>
      </c>
      <c r="C62" t="s">
        <v>223</v>
      </c>
      <c r="D62">
        <v>0.2</v>
      </c>
    </row>
    <row r="63" spans="1:4" x14ac:dyDescent="0.25">
      <c r="A63">
        <f>A62+1</f>
        <v>62</v>
      </c>
      <c r="B63" t="s">
        <v>556</v>
      </c>
      <c r="C63" t="s">
        <v>350</v>
      </c>
      <c r="D63">
        <v>0.50329999999999997</v>
      </c>
    </row>
    <row r="64" spans="1:4" x14ac:dyDescent="0.25">
      <c r="A64">
        <f>A63+1</f>
        <v>63</v>
      </c>
      <c r="B64" t="s">
        <v>555</v>
      </c>
      <c r="C64" t="s">
        <v>233</v>
      </c>
      <c r="D64">
        <v>0.2</v>
      </c>
    </row>
    <row r="65" spans="1:4" x14ac:dyDescent="0.25">
      <c r="A65">
        <f>A64+1</f>
        <v>64</v>
      </c>
      <c r="B65" t="s">
        <v>586</v>
      </c>
      <c r="C65" t="s">
        <v>234</v>
      </c>
      <c r="D65">
        <v>0.50329999999999997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9DDC-CAD0-4820-A365-5BB6DD0A118F}">
  <dimension ref="A1:F186"/>
  <sheetViews>
    <sheetView topLeftCell="B1" workbookViewId="0">
      <selection activeCell="B3" sqref="B3"/>
    </sheetView>
  </sheetViews>
  <sheetFormatPr defaultRowHeight="15" x14ac:dyDescent="0.25"/>
  <cols>
    <col min="1" max="1" width="14.42578125" bestFit="1" customWidth="1"/>
    <col min="2" max="2" width="44.85546875" bestFit="1" customWidth="1"/>
    <col min="3" max="3" width="31.7109375" bestFit="1" customWidth="1"/>
    <col min="4" max="4" width="16.5703125" bestFit="1" customWidth="1"/>
    <col min="5" max="5" width="17" bestFit="1" customWidth="1"/>
    <col min="6" max="6" width="11.85546875" bestFit="1" customWidth="1"/>
  </cols>
  <sheetData>
    <row r="1" spans="1:6" x14ac:dyDescent="0.25">
      <c r="A1" t="s">
        <v>428</v>
      </c>
      <c r="B1" t="s">
        <v>342</v>
      </c>
      <c r="C1" t="s">
        <v>343</v>
      </c>
      <c r="D1" t="s">
        <v>344</v>
      </c>
      <c r="E1" t="s">
        <v>345</v>
      </c>
      <c r="F1" t="s">
        <v>424</v>
      </c>
    </row>
    <row r="2" spans="1:6" x14ac:dyDescent="0.25">
      <c r="A2" t="s">
        <v>425</v>
      </c>
      <c r="B2" t="s">
        <v>204</v>
      </c>
      <c r="C2" t="s">
        <v>399</v>
      </c>
      <c r="D2" t="s">
        <v>277</v>
      </c>
      <c r="E2" t="s">
        <v>318</v>
      </c>
      <c r="F2" s="1">
        <v>43238</v>
      </c>
    </row>
    <row r="3" spans="1:6" x14ac:dyDescent="0.25">
      <c r="A3" t="s">
        <v>425</v>
      </c>
      <c r="B3" t="s">
        <v>442</v>
      </c>
      <c r="C3" t="s">
        <v>399</v>
      </c>
      <c r="D3" t="s">
        <v>318</v>
      </c>
      <c r="E3" t="s">
        <v>318</v>
      </c>
      <c r="F3" s="1">
        <v>45202</v>
      </c>
    </row>
    <row r="4" spans="1:6" x14ac:dyDescent="0.25">
      <c r="A4" t="s">
        <v>425</v>
      </c>
      <c r="B4" t="s">
        <v>87</v>
      </c>
      <c r="C4" t="s">
        <v>212</v>
      </c>
      <c r="D4" t="s">
        <v>234</v>
      </c>
      <c r="E4" t="s">
        <v>318</v>
      </c>
      <c r="F4" s="1">
        <v>44470</v>
      </c>
    </row>
    <row r="5" spans="1:6" x14ac:dyDescent="0.25">
      <c r="A5" t="s">
        <v>425</v>
      </c>
      <c r="B5" t="s">
        <v>176</v>
      </c>
      <c r="C5" t="s">
        <v>164</v>
      </c>
      <c r="D5" t="s">
        <v>228</v>
      </c>
      <c r="E5" t="s">
        <v>318</v>
      </c>
      <c r="F5" s="1">
        <v>45110</v>
      </c>
    </row>
    <row r="6" spans="1:6" x14ac:dyDescent="0.25">
      <c r="A6" t="s">
        <v>425</v>
      </c>
      <c r="B6" t="s">
        <v>380</v>
      </c>
      <c r="C6" t="s">
        <v>399</v>
      </c>
      <c r="D6" t="s">
        <v>400</v>
      </c>
      <c r="E6" t="s">
        <v>319</v>
      </c>
      <c r="F6" s="1">
        <v>44361</v>
      </c>
    </row>
    <row r="7" spans="1:6" x14ac:dyDescent="0.25">
      <c r="A7" t="s">
        <v>426</v>
      </c>
      <c r="B7" t="s">
        <v>473</v>
      </c>
      <c r="C7" t="s">
        <v>291</v>
      </c>
      <c r="D7" t="s">
        <v>400</v>
      </c>
      <c r="E7" t="s">
        <v>319</v>
      </c>
      <c r="F7" s="1">
        <v>45267</v>
      </c>
    </row>
    <row r="8" spans="1:6" x14ac:dyDescent="0.25">
      <c r="A8" t="s">
        <v>425</v>
      </c>
      <c r="B8" t="s">
        <v>37</v>
      </c>
      <c r="C8" t="s">
        <v>399</v>
      </c>
      <c r="D8" t="s">
        <v>400</v>
      </c>
      <c r="E8" t="s">
        <v>319</v>
      </c>
      <c r="F8" s="1">
        <v>44361</v>
      </c>
    </row>
    <row r="9" spans="1:6" x14ac:dyDescent="0.25">
      <c r="A9" t="s">
        <v>425</v>
      </c>
      <c r="B9" t="s">
        <v>370</v>
      </c>
      <c r="C9" t="s">
        <v>56</v>
      </c>
      <c r="D9" t="s">
        <v>400</v>
      </c>
      <c r="E9" t="s">
        <v>319</v>
      </c>
      <c r="F9" s="1">
        <v>44860</v>
      </c>
    </row>
    <row r="10" spans="1:6" x14ac:dyDescent="0.25">
      <c r="A10" t="s">
        <v>425</v>
      </c>
      <c r="B10" t="s">
        <v>152</v>
      </c>
      <c r="C10" t="s">
        <v>212</v>
      </c>
      <c r="D10" t="s">
        <v>400</v>
      </c>
      <c r="E10" t="s">
        <v>319</v>
      </c>
      <c r="F10" s="1">
        <v>42493</v>
      </c>
    </row>
    <row r="11" spans="1:6" x14ac:dyDescent="0.25">
      <c r="A11" t="s">
        <v>425</v>
      </c>
      <c r="B11" t="s">
        <v>372</v>
      </c>
      <c r="C11" t="s">
        <v>56</v>
      </c>
      <c r="D11" t="s">
        <v>400</v>
      </c>
      <c r="E11" t="s">
        <v>319</v>
      </c>
      <c r="F11" s="1">
        <v>45231</v>
      </c>
    </row>
    <row r="12" spans="1:6" x14ac:dyDescent="0.25">
      <c r="A12" t="s">
        <v>425</v>
      </c>
      <c r="B12" t="s">
        <v>304</v>
      </c>
      <c r="C12" t="s">
        <v>480</v>
      </c>
      <c r="D12" t="s">
        <v>400</v>
      </c>
      <c r="E12" t="s">
        <v>319</v>
      </c>
      <c r="F12" s="1">
        <v>44768</v>
      </c>
    </row>
    <row r="13" spans="1:6" x14ac:dyDescent="0.25">
      <c r="A13" t="s">
        <v>425</v>
      </c>
      <c r="B13" t="s">
        <v>446</v>
      </c>
      <c r="C13" t="s">
        <v>399</v>
      </c>
      <c r="D13" t="s">
        <v>400</v>
      </c>
      <c r="E13" t="s">
        <v>319</v>
      </c>
      <c r="F13" s="1">
        <v>43175</v>
      </c>
    </row>
    <row r="14" spans="1:6" x14ac:dyDescent="0.25">
      <c r="A14" t="s">
        <v>425</v>
      </c>
      <c r="B14" t="s">
        <v>374</v>
      </c>
      <c r="C14" t="s">
        <v>99</v>
      </c>
      <c r="D14" t="s">
        <v>400</v>
      </c>
      <c r="E14" t="s">
        <v>319</v>
      </c>
      <c r="F14" s="1">
        <v>44844</v>
      </c>
    </row>
    <row r="15" spans="1:6" x14ac:dyDescent="0.25">
      <c r="A15" t="s">
        <v>425</v>
      </c>
      <c r="B15" t="s">
        <v>161</v>
      </c>
      <c r="C15" t="s">
        <v>99</v>
      </c>
      <c r="D15" t="s">
        <v>401</v>
      </c>
      <c r="E15" t="s">
        <v>320</v>
      </c>
      <c r="F15" s="1">
        <v>43437</v>
      </c>
    </row>
    <row r="16" spans="1:6" x14ac:dyDescent="0.25">
      <c r="A16" t="s">
        <v>425</v>
      </c>
      <c r="B16" t="s">
        <v>461</v>
      </c>
      <c r="C16" t="s">
        <v>399</v>
      </c>
      <c r="D16" t="s">
        <v>401</v>
      </c>
      <c r="E16" t="s">
        <v>320</v>
      </c>
      <c r="F16" s="1">
        <v>45236</v>
      </c>
    </row>
    <row r="17" spans="1:6" x14ac:dyDescent="0.25">
      <c r="A17" t="s">
        <v>425</v>
      </c>
      <c r="B17" t="s">
        <v>462</v>
      </c>
      <c r="C17" t="s">
        <v>212</v>
      </c>
      <c r="D17" t="s">
        <v>401</v>
      </c>
      <c r="E17" t="s">
        <v>320</v>
      </c>
      <c r="F17" s="1">
        <v>45252</v>
      </c>
    </row>
    <row r="18" spans="1:6" x14ac:dyDescent="0.25">
      <c r="A18" t="s">
        <v>425</v>
      </c>
      <c r="B18" t="s">
        <v>265</v>
      </c>
      <c r="C18" t="s">
        <v>56</v>
      </c>
      <c r="D18" t="s">
        <v>401</v>
      </c>
      <c r="E18" t="s">
        <v>320</v>
      </c>
      <c r="F18" s="1">
        <v>44683</v>
      </c>
    </row>
    <row r="19" spans="1:6" x14ac:dyDescent="0.25">
      <c r="A19" t="s">
        <v>425</v>
      </c>
      <c r="B19" t="s">
        <v>463</v>
      </c>
      <c r="C19" t="s">
        <v>399</v>
      </c>
      <c r="D19" t="s">
        <v>401</v>
      </c>
      <c r="E19" t="s">
        <v>320</v>
      </c>
      <c r="F19" s="1">
        <v>45236</v>
      </c>
    </row>
    <row r="20" spans="1:6" x14ac:dyDescent="0.25">
      <c r="A20" t="s">
        <v>425</v>
      </c>
      <c r="B20" t="s">
        <v>272</v>
      </c>
      <c r="C20" t="s">
        <v>399</v>
      </c>
      <c r="D20" t="s">
        <v>401</v>
      </c>
      <c r="E20" t="s">
        <v>320</v>
      </c>
      <c r="F20" s="1">
        <v>44683</v>
      </c>
    </row>
    <row r="21" spans="1:6" x14ac:dyDescent="0.25">
      <c r="A21" t="s">
        <v>425</v>
      </c>
      <c r="B21" t="s">
        <v>267</v>
      </c>
      <c r="C21" t="s">
        <v>399</v>
      </c>
      <c r="D21" t="s">
        <v>401</v>
      </c>
      <c r="E21" t="s">
        <v>320</v>
      </c>
      <c r="F21" s="1">
        <v>44652</v>
      </c>
    </row>
    <row r="22" spans="1:6" x14ac:dyDescent="0.25">
      <c r="A22" t="s">
        <v>425</v>
      </c>
      <c r="B22" t="s">
        <v>394</v>
      </c>
      <c r="C22" t="s">
        <v>58</v>
      </c>
      <c r="D22" t="s">
        <v>321</v>
      </c>
      <c r="E22" t="s">
        <v>321</v>
      </c>
      <c r="F22" s="1">
        <v>45056</v>
      </c>
    </row>
    <row r="23" spans="1:6" x14ac:dyDescent="0.25">
      <c r="A23" t="s">
        <v>425</v>
      </c>
      <c r="B23" t="s">
        <v>305</v>
      </c>
      <c r="C23" t="s">
        <v>58</v>
      </c>
      <c r="D23" t="s">
        <v>321</v>
      </c>
      <c r="E23" t="s">
        <v>321</v>
      </c>
      <c r="F23" s="1">
        <v>44743</v>
      </c>
    </row>
    <row r="24" spans="1:6" x14ac:dyDescent="0.25">
      <c r="A24" t="s">
        <v>425</v>
      </c>
      <c r="B24" t="s">
        <v>449</v>
      </c>
      <c r="C24" t="s">
        <v>58</v>
      </c>
      <c r="D24" t="s">
        <v>321</v>
      </c>
      <c r="E24" t="s">
        <v>321</v>
      </c>
      <c r="F24" s="1">
        <v>45208</v>
      </c>
    </row>
    <row r="25" spans="1:6" x14ac:dyDescent="0.25">
      <c r="A25" t="s">
        <v>425</v>
      </c>
      <c r="B25" t="s">
        <v>378</v>
      </c>
      <c r="C25" t="s">
        <v>56</v>
      </c>
      <c r="D25" t="s">
        <v>321</v>
      </c>
      <c r="E25" t="s">
        <v>321</v>
      </c>
      <c r="F25" s="1">
        <v>44905</v>
      </c>
    </row>
    <row r="26" spans="1:6" x14ac:dyDescent="0.25">
      <c r="A26" t="s">
        <v>425</v>
      </c>
      <c r="B26" t="s">
        <v>395</v>
      </c>
      <c r="C26" t="s">
        <v>212</v>
      </c>
      <c r="D26" t="s">
        <v>321</v>
      </c>
      <c r="E26" t="s">
        <v>321</v>
      </c>
      <c r="F26" s="1">
        <v>45051</v>
      </c>
    </row>
    <row r="27" spans="1:6" x14ac:dyDescent="0.25">
      <c r="A27" t="s">
        <v>425</v>
      </c>
      <c r="B27" t="s">
        <v>259</v>
      </c>
      <c r="C27" t="s">
        <v>99</v>
      </c>
      <c r="D27" t="s">
        <v>321</v>
      </c>
      <c r="E27" t="s">
        <v>321</v>
      </c>
      <c r="F27" s="1">
        <v>43222</v>
      </c>
    </row>
    <row r="28" spans="1:6" x14ac:dyDescent="0.25">
      <c r="A28" t="s">
        <v>425</v>
      </c>
      <c r="B28" t="s">
        <v>220</v>
      </c>
      <c r="C28" t="s">
        <v>99</v>
      </c>
      <c r="D28" t="s">
        <v>318</v>
      </c>
      <c r="E28" t="s">
        <v>321</v>
      </c>
      <c r="F28" s="1">
        <v>45204</v>
      </c>
    </row>
    <row r="29" spans="1:6" x14ac:dyDescent="0.25">
      <c r="A29" t="s">
        <v>426</v>
      </c>
      <c r="B29" t="s">
        <v>474</v>
      </c>
      <c r="C29" t="s">
        <v>303</v>
      </c>
      <c r="D29" t="s">
        <v>321</v>
      </c>
      <c r="E29" t="s">
        <v>321</v>
      </c>
      <c r="F29" s="1">
        <v>45280</v>
      </c>
    </row>
    <row r="30" spans="1:6" x14ac:dyDescent="0.25">
      <c r="A30" t="s">
        <v>425</v>
      </c>
      <c r="B30" t="s">
        <v>369</v>
      </c>
      <c r="C30" t="s">
        <v>399</v>
      </c>
      <c r="D30" t="s">
        <v>224</v>
      </c>
      <c r="E30" t="s">
        <v>224</v>
      </c>
      <c r="F30" s="1">
        <v>44861</v>
      </c>
    </row>
    <row r="31" spans="1:6" x14ac:dyDescent="0.25">
      <c r="A31" t="s">
        <v>425</v>
      </c>
      <c r="B31" t="s">
        <v>459</v>
      </c>
      <c r="C31" t="s">
        <v>212</v>
      </c>
      <c r="D31" t="s">
        <v>224</v>
      </c>
      <c r="E31" t="s">
        <v>224</v>
      </c>
      <c r="F31" s="1">
        <v>45252</v>
      </c>
    </row>
    <row r="32" spans="1:6" x14ac:dyDescent="0.25">
      <c r="A32" t="s">
        <v>425</v>
      </c>
      <c r="B32" t="s">
        <v>169</v>
      </c>
      <c r="C32" t="s">
        <v>399</v>
      </c>
      <c r="D32" t="s">
        <v>224</v>
      </c>
      <c r="E32" t="s">
        <v>224</v>
      </c>
      <c r="F32" s="1">
        <v>42955</v>
      </c>
    </row>
    <row r="33" spans="1:6" x14ac:dyDescent="0.25">
      <c r="A33" t="s">
        <v>425</v>
      </c>
      <c r="B33" t="s">
        <v>460</v>
      </c>
      <c r="C33" t="s">
        <v>399</v>
      </c>
      <c r="D33" t="s">
        <v>224</v>
      </c>
      <c r="E33" t="s">
        <v>224</v>
      </c>
      <c r="F33" s="1">
        <v>45236</v>
      </c>
    </row>
    <row r="34" spans="1:6" x14ac:dyDescent="0.25">
      <c r="A34" t="s">
        <v>425</v>
      </c>
      <c r="B34" t="s">
        <v>306</v>
      </c>
      <c r="C34" t="s">
        <v>56</v>
      </c>
      <c r="D34" t="s">
        <v>224</v>
      </c>
      <c r="E34" t="s">
        <v>224</v>
      </c>
      <c r="F34" s="1">
        <v>44743</v>
      </c>
    </row>
    <row r="35" spans="1:6" x14ac:dyDescent="0.25">
      <c r="A35" t="s">
        <v>425</v>
      </c>
      <c r="B35" t="s">
        <v>375</v>
      </c>
      <c r="C35" t="s">
        <v>99</v>
      </c>
      <c r="D35" t="s">
        <v>224</v>
      </c>
      <c r="E35" t="s">
        <v>224</v>
      </c>
      <c r="F35" s="1">
        <v>44874</v>
      </c>
    </row>
    <row r="36" spans="1:6" x14ac:dyDescent="0.25">
      <c r="A36" t="s">
        <v>425</v>
      </c>
      <c r="B36" t="s">
        <v>373</v>
      </c>
      <c r="C36" t="s">
        <v>399</v>
      </c>
      <c r="D36" t="s">
        <v>224</v>
      </c>
      <c r="E36" t="s">
        <v>224</v>
      </c>
      <c r="F36" s="1">
        <v>44861</v>
      </c>
    </row>
    <row r="37" spans="1:6" x14ac:dyDescent="0.25">
      <c r="A37" t="s">
        <v>425</v>
      </c>
      <c r="B37" t="s">
        <v>61</v>
      </c>
      <c r="C37" t="s">
        <v>448</v>
      </c>
      <c r="D37" t="s">
        <v>224</v>
      </c>
      <c r="E37" t="s">
        <v>224</v>
      </c>
      <c r="F37" s="1">
        <v>45202</v>
      </c>
    </row>
    <row r="38" spans="1:6" x14ac:dyDescent="0.25">
      <c r="A38" t="s">
        <v>425</v>
      </c>
      <c r="B38" t="s">
        <v>207</v>
      </c>
      <c r="C38" t="s">
        <v>99</v>
      </c>
      <c r="D38" t="s">
        <v>228</v>
      </c>
      <c r="E38" t="s">
        <v>277</v>
      </c>
      <c r="F38" s="1">
        <v>39052</v>
      </c>
    </row>
    <row r="39" spans="1:6" x14ac:dyDescent="0.25">
      <c r="A39" t="s">
        <v>425</v>
      </c>
      <c r="B39" t="s">
        <v>203</v>
      </c>
      <c r="C39" t="s">
        <v>399</v>
      </c>
      <c r="D39" t="s">
        <v>277</v>
      </c>
      <c r="E39" t="s">
        <v>277</v>
      </c>
      <c r="F39" s="1">
        <v>43432</v>
      </c>
    </row>
    <row r="40" spans="1:6" x14ac:dyDescent="0.25">
      <c r="A40" t="s">
        <v>426</v>
      </c>
      <c r="B40" t="s">
        <v>469</v>
      </c>
      <c r="C40" t="s">
        <v>291</v>
      </c>
      <c r="D40" t="s">
        <v>277</v>
      </c>
      <c r="E40" t="s">
        <v>277</v>
      </c>
      <c r="F40" s="1">
        <v>45267</v>
      </c>
    </row>
    <row r="41" spans="1:6" x14ac:dyDescent="0.25">
      <c r="A41" t="s">
        <v>425</v>
      </c>
      <c r="B41" t="s">
        <v>382</v>
      </c>
      <c r="C41" t="s">
        <v>212</v>
      </c>
      <c r="D41" t="s">
        <v>254</v>
      </c>
      <c r="E41" t="s">
        <v>277</v>
      </c>
      <c r="F41" s="1">
        <v>44958</v>
      </c>
    </row>
    <row r="42" spans="1:6" x14ac:dyDescent="0.25">
      <c r="A42" t="s">
        <v>425</v>
      </c>
      <c r="B42" t="s">
        <v>218</v>
      </c>
      <c r="C42" t="s">
        <v>56</v>
      </c>
      <c r="D42" t="s">
        <v>277</v>
      </c>
      <c r="E42" t="s">
        <v>277</v>
      </c>
      <c r="F42" s="1">
        <v>43444</v>
      </c>
    </row>
    <row r="43" spans="1:6" x14ac:dyDescent="0.25">
      <c r="A43" t="s">
        <v>425</v>
      </c>
      <c r="B43" t="s">
        <v>166</v>
      </c>
      <c r="C43" t="s">
        <v>56</v>
      </c>
      <c r="D43" t="s">
        <v>277</v>
      </c>
      <c r="E43" t="s">
        <v>277</v>
      </c>
      <c r="F43" s="1">
        <v>44664</v>
      </c>
    </row>
    <row r="44" spans="1:6" x14ac:dyDescent="0.25">
      <c r="A44" t="s">
        <v>426</v>
      </c>
      <c r="B44" t="s">
        <v>470</v>
      </c>
      <c r="C44" t="s">
        <v>291</v>
      </c>
      <c r="D44" t="s">
        <v>277</v>
      </c>
      <c r="E44" t="s">
        <v>277</v>
      </c>
      <c r="F44" s="1">
        <v>45267</v>
      </c>
    </row>
    <row r="45" spans="1:6" x14ac:dyDescent="0.25">
      <c r="A45" t="s">
        <v>425</v>
      </c>
      <c r="B45" t="s">
        <v>366</v>
      </c>
      <c r="C45" t="s">
        <v>164</v>
      </c>
      <c r="D45" t="s">
        <v>228</v>
      </c>
      <c r="E45" t="s">
        <v>277</v>
      </c>
      <c r="F45" s="1">
        <v>44928</v>
      </c>
    </row>
    <row r="46" spans="1:6" x14ac:dyDescent="0.25">
      <c r="A46" t="s">
        <v>425</v>
      </c>
      <c r="B46" t="s">
        <v>96</v>
      </c>
      <c r="C46" t="s">
        <v>399</v>
      </c>
      <c r="D46" t="s">
        <v>253</v>
      </c>
      <c r="E46" t="s">
        <v>277</v>
      </c>
      <c r="F46" s="1">
        <v>42927</v>
      </c>
    </row>
    <row r="47" spans="1:6" x14ac:dyDescent="0.25">
      <c r="A47" t="s">
        <v>425</v>
      </c>
      <c r="B47" t="s">
        <v>416</v>
      </c>
      <c r="C47" t="s">
        <v>399</v>
      </c>
      <c r="D47" t="s">
        <v>277</v>
      </c>
      <c r="E47" t="s">
        <v>277</v>
      </c>
      <c r="F47" s="1">
        <v>45118</v>
      </c>
    </row>
    <row r="48" spans="1:6" x14ac:dyDescent="0.25">
      <c r="A48" t="s">
        <v>425</v>
      </c>
      <c r="B48" t="s">
        <v>476</v>
      </c>
      <c r="C48" t="s">
        <v>291</v>
      </c>
      <c r="D48" t="s">
        <v>228</v>
      </c>
      <c r="E48" t="s">
        <v>228</v>
      </c>
      <c r="F48" s="1">
        <v>45272</v>
      </c>
    </row>
    <row r="49" spans="1:6" x14ac:dyDescent="0.25">
      <c r="A49" t="s">
        <v>425</v>
      </c>
      <c r="B49" t="s">
        <v>377</v>
      </c>
      <c r="C49" t="s">
        <v>164</v>
      </c>
      <c r="D49" t="s">
        <v>228</v>
      </c>
      <c r="E49" t="s">
        <v>228</v>
      </c>
      <c r="F49" s="1">
        <v>44874</v>
      </c>
    </row>
    <row r="50" spans="1:6" x14ac:dyDescent="0.25">
      <c r="A50" t="s">
        <v>425</v>
      </c>
      <c r="B50" t="s">
        <v>222</v>
      </c>
      <c r="C50" t="s">
        <v>56</v>
      </c>
      <c r="D50" t="s">
        <v>228</v>
      </c>
      <c r="E50" t="s">
        <v>228</v>
      </c>
      <c r="F50" s="1">
        <v>41932</v>
      </c>
    </row>
    <row r="51" spans="1:6" x14ac:dyDescent="0.25">
      <c r="A51" t="s">
        <v>425</v>
      </c>
      <c r="B51" t="s">
        <v>219</v>
      </c>
      <c r="C51" t="s">
        <v>73</v>
      </c>
      <c r="D51" t="s">
        <v>277</v>
      </c>
      <c r="E51" t="s">
        <v>254</v>
      </c>
      <c r="F51" s="1">
        <v>40546</v>
      </c>
    </row>
    <row r="52" spans="1:6" x14ac:dyDescent="0.25">
      <c r="A52" t="s">
        <v>425</v>
      </c>
      <c r="B52" t="s">
        <v>379</v>
      </c>
      <c r="C52" t="s">
        <v>399</v>
      </c>
      <c r="D52" t="s">
        <v>253</v>
      </c>
      <c r="E52" t="s">
        <v>228</v>
      </c>
      <c r="F52" s="1">
        <v>44958</v>
      </c>
    </row>
    <row r="53" spans="1:6" x14ac:dyDescent="0.25">
      <c r="A53" t="s">
        <v>425</v>
      </c>
      <c r="B53" t="s">
        <v>368</v>
      </c>
      <c r="C53" t="s">
        <v>399</v>
      </c>
      <c r="D53" t="s">
        <v>228</v>
      </c>
      <c r="E53" t="s">
        <v>228</v>
      </c>
      <c r="F53" s="1">
        <v>39326</v>
      </c>
    </row>
    <row r="54" spans="1:6" x14ac:dyDescent="0.25">
      <c r="A54" t="s">
        <v>425</v>
      </c>
      <c r="B54" t="s">
        <v>371</v>
      </c>
      <c r="C54" t="s">
        <v>399</v>
      </c>
      <c r="D54" t="s">
        <v>228</v>
      </c>
      <c r="E54" t="s">
        <v>228</v>
      </c>
      <c r="F54" s="1">
        <v>44859</v>
      </c>
    </row>
    <row r="55" spans="1:6" x14ac:dyDescent="0.25">
      <c r="A55" t="s">
        <v>425</v>
      </c>
      <c r="B55" t="s">
        <v>211</v>
      </c>
      <c r="C55" t="s">
        <v>399</v>
      </c>
      <c r="D55" t="s">
        <v>228</v>
      </c>
      <c r="E55" t="s">
        <v>228</v>
      </c>
      <c r="F55" s="1">
        <v>43238</v>
      </c>
    </row>
    <row r="56" spans="1:6" x14ac:dyDescent="0.25">
      <c r="A56" t="s">
        <v>425</v>
      </c>
      <c r="B56" t="s">
        <v>173</v>
      </c>
      <c r="C56" t="s">
        <v>399</v>
      </c>
      <c r="D56" t="s">
        <v>253</v>
      </c>
      <c r="E56" t="s">
        <v>228</v>
      </c>
      <c r="F56" s="1">
        <v>43056</v>
      </c>
    </row>
    <row r="57" spans="1:6" x14ac:dyDescent="0.25">
      <c r="B57" t="s">
        <v>481</v>
      </c>
      <c r="C57" t="s">
        <v>56</v>
      </c>
      <c r="D57" t="s">
        <v>228</v>
      </c>
      <c r="E57" t="s">
        <v>254</v>
      </c>
      <c r="F57" s="1"/>
    </row>
    <row r="58" spans="1:6" x14ac:dyDescent="0.25">
      <c r="A58" t="s">
        <v>427</v>
      </c>
      <c r="B58" t="s">
        <v>440</v>
      </c>
      <c r="C58" t="s">
        <v>212</v>
      </c>
      <c r="D58" t="s">
        <v>253</v>
      </c>
      <c r="E58" t="s">
        <v>280</v>
      </c>
      <c r="F58" s="1">
        <v>45061</v>
      </c>
    </row>
    <row r="59" spans="1:6" x14ac:dyDescent="0.25">
      <c r="A59" t="s">
        <v>425</v>
      </c>
      <c r="B59" t="s">
        <v>477</v>
      </c>
      <c r="C59" t="s">
        <v>291</v>
      </c>
      <c r="D59" t="s">
        <v>228</v>
      </c>
      <c r="E59" t="s">
        <v>228</v>
      </c>
      <c r="F59" s="1">
        <v>45272</v>
      </c>
    </row>
    <row r="60" spans="1:6" x14ac:dyDescent="0.25">
      <c r="A60" t="s">
        <v>425</v>
      </c>
      <c r="B60" t="s">
        <v>323</v>
      </c>
      <c r="C60" t="s">
        <v>399</v>
      </c>
      <c r="D60" t="s">
        <v>228</v>
      </c>
      <c r="E60" t="s">
        <v>228</v>
      </c>
      <c r="F60" s="1">
        <v>44792</v>
      </c>
    </row>
    <row r="61" spans="1:6" x14ac:dyDescent="0.25">
      <c r="A61" t="s">
        <v>425</v>
      </c>
      <c r="B61" t="s">
        <v>63</v>
      </c>
      <c r="C61" t="s">
        <v>399</v>
      </c>
      <c r="D61" t="s">
        <v>229</v>
      </c>
      <c r="E61" t="s">
        <v>229</v>
      </c>
      <c r="F61" s="1">
        <v>44334</v>
      </c>
    </row>
    <row r="62" spans="1:6" x14ac:dyDescent="0.25">
      <c r="A62" t="s">
        <v>425</v>
      </c>
      <c r="B62" t="s">
        <v>441</v>
      </c>
      <c r="C62" t="s">
        <v>399</v>
      </c>
      <c r="D62" t="s">
        <v>229</v>
      </c>
      <c r="E62" t="s">
        <v>229</v>
      </c>
      <c r="F62" s="1">
        <v>45180</v>
      </c>
    </row>
    <row r="63" spans="1:6" x14ac:dyDescent="0.25">
      <c r="A63" t="s">
        <v>425</v>
      </c>
      <c r="B63" t="s">
        <v>64</v>
      </c>
      <c r="C63" t="s">
        <v>399</v>
      </c>
      <c r="D63" t="s">
        <v>229</v>
      </c>
      <c r="E63" t="s">
        <v>229</v>
      </c>
      <c r="F63" s="1">
        <v>44117</v>
      </c>
    </row>
    <row r="64" spans="1:6" x14ac:dyDescent="0.25">
      <c r="A64" t="s">
        <v>425</v>
      </c>
      <c r="B64" t="s">
        <v>443</v>
      </c>
      <c r="C64" t="s">
        <v>56</v>
      </c>
      <c r="D64" t="s">
        <v>229</v>
      </c>
      <c r="E64" t="s">
        <v>229</v>
      </c>
      <c r="F64" s="1">
        <v>45180</v>
      </c>
    </row>
    <row r="65" spans="1:6" x14ac:dyDescent="0.25">
      <c r="A65" t="s">
        <v>425</v>
      </c>
      <c r="B65" t="s">
        <v>66</v>
      </c>
      <c r="C65" t="s">
        <v>99</v>
      </c>
      <c r="D65" t="s">
        <v>229</v>
      </c>
      <c r="E65" t="s">
        <v>229</v>
      </c>
      <c r="F65" s="1">
        <v>43383</v>
      </c>
    </row>
    <row r="66" spans="1:6" x14ac:dyDescent="0.25">
      <c r="A66" t="s">
        <v>425</v>
      </c>
      <c r="B66" t="s">
        <v>464</v>
      </c>
      <c r="C66" t="s">
        <v>56</v>
      </c>
      <c r="D66" t="s">
        <v>229</v>
      </c>
      <c r="E66" t="s">
        <v>229</v>
      </c>
      <c r="F66" s="1">
        <v>45252</v>
      </c>
    </row>
    <row r="67" spans="1:6" x14ac:dyDescent="0.25">
      <c r="A67" t="s">
        <v>425</v>
      </c>
      <c r="B67" t="s">
        <v>506</v>
      </c>
      <c r="C67" t="s">
        <v>212</v>
      </c>
      <c r="D67" t="s">
        <v>229</v>
      </c>
      <c r="E67" t="s">
        <v>229</v>
      </c>
      <c r="F67" s="1">
        <v>45355</v>
      </c>
    </row>
    <row r="68" spans="1:6" x14ac:dyDescent="0.25">
      <c r="A68" t="s">
        <v>425</v>
      </c>
      <c r="B68" t="s">
        <v>457</v>
      </c>
      <c r="C68" t="s">
        <v>482</v>
      </c>
      <c r="D68" t="s">
        <v>322</v>
      </c>
      <c r="E68" t="s">
        <v>322</v>
      </c>
      <c r="F68" s="1">
        <v>45236</v>
      </c>
    </row>
    <row r="69" spans="1:6" x14ac:dyDescent="0.25">
      <c r="A69" t="s">
        <v>425</v>
      </c>
      <c r="B69" t="s">
        <v>71</v>
      </c>
      <c r="C69" t="s">
        <v>399</v>
      </c>
      <c r="D69" t="s">
        <v>322</v>
      </c>
      <c r="E69" t="s">
        <v>322</v>
      </c>
      <c r="F69" s="1">
        <v>43199</v>
      </c>
    </row>
    <row r="70" spans="1:6" x14ac:dyDescent="0.25">
      <c r="A70" t="s">
        <v>425</v>
      </c>
      <c r="B70" t="s">
        <v>444</v>
      </c>
      <c r="C70" t="s">
        <v>99</v>
      </c>
      <c r="D70" t="s">
        <v>322</v>
      </c>
      <c r="E70" t="s">
        <v>322</v>
      </c>
      <c r="F70" s="1">
        <v>45184</v>
      </c>
    </row>
    <row r="71" spans="1:6" x14ac:dyDescent="0.25">
      <c r="A71" t="s">
        <v>425</v>
      </c>
      <c r="B71" t="s">
        <v>307</v>
      </c>
      <c r="C71" t="s">
        <v>56</v>
      </c>
      <c r="D71" t="s">
        <v>322</v>
      </c>
      <c r="E71" t="s">
        <v>322</v>
      </c>
      <c r="F71" s="1">
        <v>44743</v>
      </c>
    </row>
    <row r="72" spans="1:6" x14ac:dyDescent="0.25">
      <c r="A72" t="s">
        <v>425</v>
      </c>
      <c r="B72" t="s">
        <v>458</v>
      </c>
      <c r="C72" t="s">
        <v>399</v>
      </c>
      <c r="D72" t="s">
        <v>322</v>
      </c>
      <c r="E72" t="s">
        <v>322</v>
      </c>
      <c r="F72" s="1">
        <v>45236</v>
      </c>
    </row>
    <row r="73" spans="1:6" x14ac:dyDescent="0.25">
      <c r="A73" t="s">
        <v>425</v>
      </c>
      <c r="B73" t="s">
        <v>74</v>
      </c>
      <c r="C73" t="s">
        <v>399</v>
      </c>
      <c r="D73" t="s">
        <v>322</v>
      </c>
      <c r="E73" t="s">
        <v>322</v>
      </c>
      <c r="F73" s="1">
        <v>42263</v>
      </c>
    </row>
    <row r="74" spans="1:6" x14ac:dyDescent="0.25">
      <c r="B74" t="s">
        <v>180</v>
      </c>
      <c r="C74" t="s">
        <v>404</v>
      </c>
      <c r="D74" t="s">
        <v>254</v>
      </c>
      <c r="E74" t="s">
        <v>358</v>
      </c>
      <c r="F74" s="1"/>
    </row>
    <row r="75" spans="1:6" x14ac:dyDescent="0.25">
      <c r="B75" t="s">
        <v>208</v>
      </c>
      <c r="C75" t="s">
        <v>99</v>
      </c>
      <c r="D75" t="s">
        <v>228</v>
      </c>
      <c r="E75" t="s">
        <v>253</v>
      </c>
      <c r="F75" s="1"/>
    </row>
    <row r="76" spans="1:6" x14ac:dyDescent="0.25">
      <c r="B76" t="s">
        <v>157</v>
      </c>
      <c r="C76" t="s">
        <v>408</v>
      </c>
      <c r="D76" t="s">
        <v>254</v>
      </c>
      <c r="E76" t="s">
        <v>358</v>
      </c>
      <c r="F76" s="1"/>
    </row>
    <row r="77" spans="1:6" x14ac:dyDescent="0.25">
      <c r="B77" t="s">
        <v>475</v>
      </c>
      <c r="C77" t="s">
        <v>483</v>
      </c>
      <c r="D77" t="s">
        <v>234</v>
      </c>
      <c r="E77" t="s">
        <v>358</v>
      </c>
      <c r="F77" s="1"/>
    </row>
    <row r="78" spans="1:6" x14ac:dyDescent="0.25">
      <c r="B78" t="s">
        <v>209</v>
      </c>
      <c r="C78" t="s">
        <v>210</v>
      </c>
      <c r="D78" t="s">
        <v>228</v>
      </c>
      <c r="E78" t="s">
        <v>358</v>
      </c>
      <c r="F78" s="1"/>
    </row>
    <row r="79" spans="1:6" x14ac:dyDescent="0.25">
      <c r="B79" t="s">
        <v>85</v>
      </c>
      <c r="C79" t="s">
        <v>86</v>
      </c>
      <c r="D79" t="s">
        <v>234</v>
      </c>
      <c r="E79" t="s">
        <v>358</v>
      </c>
      <c r="F79" s="1"/>
    </row>
    <row r="80" spans="1:6" x14ac:dyDescent="0.25">
      <c r="B80" t="s">
        <v>447</v>
      </c>
      <c r="C80" t="s">
        <v>291</v>
      </c>
      <c r="D80" t="s">
        <v>318</v>
      </c>
      <c r="E80" t="s">
        <v>358</v>
      </c>
      <c r="F80" s="1"/>
    </row>
    <row r="81" spans="1:6" x14ac:dyDescent="0.25">
      <c r="B81" t="s">
        <v>451</v>
      </c>
      <c r="C81" t="s">
        <v>80</v>
      </c>
      <c r="D81" t="s">
        <v>234</v>
      </c>
      <c r="E81" t="s">
        <v>358</v>
      </c>
      <c r="F81" s="1"/>
    </row>
    <row r="82" spans="1:6" x14ac:dyDescent="0.25">
      <c r="B82" t="s">
        <v>174</v>
      </c>
      <c r="C82" t="s">
        <v>409</v>
      </c>
      <c r="D82" t="s">
        <v>253</v>
      </c>
      <c r="E82" t="s">
        <v>358</v>
      </c>
      <c r="F82" s="1"/>
    </row>
    <row r="83" spans="1:6" x14ac:dyDescent="0.25">
      <c r="B83" t="s">
        <v>484</v>
      </c>
      <c r="C83" t="s">
        <v>485</v>
      </c>
      <c r="D83" t="s">
        <v>234</v>
      </c>
      <c r="E83" t="s">
        <v>358</v>
      </c>
      <c r="F83" s="1"/>
    </row>
    <row r="84" spans="1:6" x14ac:dyDescent="0.25">
      <c r="B84" t="s">
        <v>452</v>
      </c>
      <c r="C84" t="s">
        <v>309</v>
      </c>
      <c r="D84" t="s">
        <v>234</v>
      </c>
      <c r="E84" t="s">
        <v>358</v>
      </c>
      <c r="F84" s="1"/>
    </row>
    <row r="85" spans="1:6" x14ac:dyDescent="0.25">
      <c r="B85" t="s">
        <v>79</v>
      </c>
      <c r="C85" t="s">
        <v>269</v>
      </c>
      <c r="D85" t="s">
        <v>234</v>
      </c>
      <c r="E85" t="s">
        <v>358</v>
      </c>
      <c r="F85" s="1"/>
    </row>
    <row r="86" spans="1:6" x14ac:dyDescent="0.25">
      <c r="B86" t="s">
        <v>471</v>
      </c>
      <c r="C86" t="s">
        <v>455</v>
      </c>
      <c r="D86" t="s">
        <v>253</v>
      </c>
      <c r="E86" t="s">
        <v>253</v>
      </c>
      <c r="F86" s="1"/>
    </row>
    <row r="87" spans="1:6" x14ac:dyDescent="0.25">
      <c r="B87" t="s">
        <v>55</v>
      </c>
      <c r="C87" t="s">
        <v>56</v>
      </c>
      <c r="D87" t="s">
        <v>318</v>
      </c>
      <c r="E87" t="s">
        <v>318</v>
      </c>
      <c r="F87" s="1"/>
    </row>
    <row r="88" spans="1:6" x14ac:dyDescent="0.25">
      <c r="B88" t="s">
        <v>172</v>
      </c>
      <c r="C88" t="s">
        <v>264</v>
      </c>
      <c r="D88" t="s">
        <v>253</v>
      </c>
      <c r="E88" t="s">
        <v>253</v>
      </c>
      <c r="F88" s="1"/>
    </row>
    <row r="89" spans="1:6" x14ac:dyDescent="0.25">
      <c r="B89" t="s">
        <v>175</v>
      </c>
      <c r="C89" t="s">
        <v>388</v>
      </c>
      <c r="D89" t="s">
        <v>253</v>
      </c>
      <c r="E89" t="s">
        <v>253</v>
      </c>
      <c r="F89" s="1"/>
    </row>
    <row r="90" spans="1:6" x14ac:dyDescent="0.25">
      <c r="B90" t="s">
        <v>217</v>
      </c>
      <c r="C90" t="s">
        <v>336</v>
      </c>
      <c r="D90" t="s">
        <v>254</v>
      </c>
      <c r="E90" t="s">
        <v>358</v>
      </c>
      <c r="F90" s="1"/>
    </row>
    <row r="91" spans="1:6" x14ac:dyDescent="0.25">
      <c r="B91" t="s">
        <v>468</v>
      </c>
      <c r="C91" t="s">
        <v>285</v>
      </c>
      <c r="D91" t="s">
        <v>254</v>
      </c>
      <c r="E91" t="s">
        <v>254</v>
      </c>
      <c r="F91" s="1"/>
    </row>
    <row r="92" spans="1:6" x14ac:dyDescent="0.25">
      <c r="B92" t="s">
        <v>308</v>
      </c>
      <c r="C92" t="s">
        <v>381</v>
      </c>
      <c r="D92" t="s">
        <v>234</v>
      </c>
      <c r="E92" t="s">
        <v>358</v>
      </c>
      <c r="F92" s="1"/>
    </row>
    <row r="93" spans="1:6" x14ac:dyDescent="0.25">
      <c r="B93" t="s">
        <v>495</v>
      </c>
      <c r="C93" t="s">
        <v>409</v>
      </c>
      <c r="D93" t="s">
        <v>234</v>
      </c>
      <c r="E93" t="s">
        <v>358</v>
      </c>
      <c r="F93" s="1"/>
    </row>
    <row r="94" spans="1:6" x14ac:dyDescent="0.25">
      <c r="B94" t="s">
        <v>243</v>
      </c>
      <c r="C94" t="s">
        <v>77</v>
      </c>
      <c r="D94" t="s">
        <v>229</v>
      </c>
      <c r="E94" t="s">
        <v>229</v>
      </c>
      <c r="F94" s="1"/>
    </row>
    <row r="95" spans="1:6" x14ac:dyDescent="0.25">
      <c r="B95" t="s">
        <v>216</v>
      </c>
      <c r="C95" t="s">
        <v>50</v>
      </c>
      <c r="D95" t="s">
        <v>231</v>
      </c>
      <c r="E95" t="s">
        <v>358</v>
      </c>
      <c r="F95" s="1"/>
    </row>
    <row r="96" spans="1:6" x14ac:dyDescent="0.25">
      <c r="A96" t="s">
        <v>425</v>
      </c>
      <c r="B96" t="s">
        <v>155</v>
      </c>
      <c r="C96" t="s">
        <v>399</v>
      </c>
      <c r="D96" t="s">
        <v>280</v>
      </c>
      <c r="E96" t="s">
        <v>253</v>
      </c>
      <c r="F96" s="1">
        <v>41093</v>
      </c>
    </row>
    <row r="97" spans="1:6" x14ac:dyDescent="0.25">
      <c r="A97" t="s">
        <v>425</v>
      </c>
      <c r="B97" t="s">
        <v>456</v>
      </c>
      <c r="C97" t="s">
        <v>291</v>
      </c>
      <c r="D97" t="s">
        <v>253</v>
      </c>
      <c r="E97" t="s">
        <v>253</v>
      </c>
      <c r="F97" s="1">
        <v>45257</v>
      </c>
    </row>
    <row r="98" spans="1:6" x14ac:dyDescent="0.25">
      <c r="A98" t="s">
        <v>425</v>
      </c>
      <c r="B98" t="s">
        <v>472</v>
      </c>
      <c r="C98" t="s">
        <v>291</v>
      </c>
      <c r="D98" t="s">
        <v>253</v>
      </c>
      <c r="E98" t="s">
        <v>253</v>
      </c>
      <c r="F98" s="1">
        <v>45272</v>
      </c>
    </row>
    <row r="99" spans="1:6" x14ac:dyDescent="0.25">
      <c r="A99" t="s">
        <v>425</v>
      </c>
      <c r="B99" t="s">
        <v>486</v>
      </c>
      <c r="C99" t="s">
        <v>56</v>
      </c>
      <c r="D99" t="s">
        <v>318</v>
      </c>
      <c r="E99" t="s">
        <v>253</v>
      </c>
      <c r="F99" s="1">
        <v>44117</v>
      </c>
    </row>
    <row r="100" spans="1:6" x14ac:dyDescent="0.25">
      <c r="A100" t="s">
        <v>425</v>
      </c>
      <c r="B100" t="s">
        <v>205</v>
      </c>
      <c r="C100" t="s">
        <v>202</v>
      </c>
      <c r="D100" t="s">
        <v>277</v>
      </c>
      <c r="E100" t="s">
        <v>253</v>
      </c>
      <c r="F100" s="1">
        <v>43349</v>
      </c>
    </row>
    <row r="101" spans="1:6" x14ac:dyDescent="0.25">
      <c r="A101" t="s">
        <v>425</v>
      </c>
      <c r="B101" t="s">
        <v>95</v>
      </c>
      <c r="C101" t="s">
        <v>99</v>
      </c>
      <c r="D101" t="s">
        <v>253</v>
      </c>
      <c r="E101" t="s">
        <v>253</v>
      </c>
      <c r="F101" s="1">
        <v>42675</v>
      </c>
    </row>
    <row r="102" spans="1:6" x14ac:dyDescent="0.25">
      <c r="A102" t="s">
        <v>425</v>
      </c>
      <c r="B102" t="s">
        <v>367</v>
      </c>
      <c r="C102" t="s">
        <v>399</v>
      </c>
      <c r="D102" t="s">
        <v>228</v>
      </c>
      <c r="E102" t="s">
        <v>254</v>
      </c>
      <c r="F102" s="1">
        <v>40575</v>
      </c>
    </row>
    <row r="103" spans="1:6" x14ac:dyDescent="0.25">
      <c r="B103" t="s">
        <v>493</v>
      </c>
      <c r="C103" t="s">
        <v>56</v>
      </c>
      <c r="D103" t="s">
        <v>254</v>
      </c>
      <c r="E103" t="s">
        <v>254</v>
      </c>
      <c r="F103" s="1"/>
    </row>
    <row r="104" spans="1:6" x14ac:dyDescent="0.25">
      <c r="A104" t="s">
        <v>425</v>
      </c>
      <c r="B104" t="s">
        <v>466</v>
      </c>
      <c r="C104" t="s">
        <v>291</v>
      </c>
      <c r="D104" t="s">
        <v>254</v>
      </c>
      <c r="E104" t="s">
        <v>254</v>
      </c>
      <c r="F104" s="1">
        <v>45236</v>
      </c>
    </row>
    <row r="105" spans="1:6" x14ac:dyDescent="0.25">
      <c r="A105" t="s">
        <v>425</v>
      </c>
      <c r="B105" t="s">
        <v>178</v>
      </c>
      <c r="C105" t="s">
        <v>399</v>
      </c>
      <c r="D105" t="s">
        <v>254</v>
      </c>
      <c r="E105" t="s">
        <v>254</v>
      </c>
      <c r="F105" s="1">
        <v>44117</v>
      </c>
    </row>
    <row r="106" spans="1:6" x14ac:dyDescent="0.25">
      <c r="A106" t="s">
        <v>425</v>
      </c>
      <c r="B106" t="s">
        <v>179</v>
      </c>
      <c r="C106" t="s">
        <v>399</v>
      </c>
      <c r="D106" t="s">
        <v>254</v>
      </c>
      <c r="E106" t="s">
        <v>254</v>
      </c>
      <c r="F106" s="1">
        <v>44173</v>
      </c>
    </row>
    <row r="107" spans="1:6" x14ac:dyDescent="0.25">
      <c r="A107" t="s">
        <v>425</v>
      </c>
      <c r="B107" t="s">
        <v>402</v>
      </c>
      <c r="C107" t="s">
        <v>399</v>
      </c>
      <c r="D107" t="s">
        <v>233</v>
      </c>
      <c r="E107" t="s">
        <v>254</v>
      </c>
      <c r="F107" s="1">
        <v>44874</v>
      </c>
    </row>
    <row r="108" spans="1:6" x14ac:dyDescent="0.25">
      <c r="B108" t="s">
        <v>496</v>
      </c>
      <c r="C108" t="s">
        <v>56</v>
      </c>
      <c r="D108" t="s">
        <v>254</v>
      </c>
      <c r="E108" t="s">
        <v>254</v>
      </c>
      <c r="F108" s="1"/>
    </row>
    <row r="109" spans="1:6" x14ac:dyDescent="0.25">
      <c r="A109" t="s">
        <v>425</v>
      </c>
      <c r="B109" t="s">
        <v>165</v>
      </c>
      <c r="C109" t="s">
        <v>403</v>
      </c>
      <c r="D109" t="s">
        <v>234</v>
      </c>
      <c r="E109" t="s">
        <v>254</v>
      </c>
      <c r="F109" s="1">
        <v>45017</v>
      </c>
    </row>
    <row r="110" spans="1:6" x14ac:dyDescent="0.25">
      <c r="B110" t="s">
        <v>497</v>
      </c>
      <c r="C110" t="s">
        <v>487</v>
      </c>
      <c r="D110" t="s">
        <v>277</v>
      </c>
      <c r="E110" t="s">
        <v>254</v>
      </c>
      <c r="F110" s="1"/>
    </row>
    <row r="111" spans="1:6" x14ac:dyDescent="0.25">
      <c r="A111" t="s">
        <v>425</v>
      </c>
      <c r="B111" t="s">
        <v>467</v>
      </c>
      <c r="C111" t="s">
        <v>291</v>
      </c>
      <c r="D111" t="s">
        <v>254</v>
      </c>
      <c r="E111" t="s">
        <v>254</v>
      </c>
      <c r="F111" s="1">
        <v>45252</v>
      </c>
    </row>
    <row r="112" spans="1:6" x14ac:dyDescent="0.25">
      <c r="A112" t="s">
        <v>425</v>
      </c>
      <c r="B112" t="s">
        <v>327</v>
      </c>
      <c r="C112" t="s">
        <v>399</v>
      </c>
      <c r="D112" t="s">
        <v>254</v>
      </c>
      <c r="E112" t="s">
        <v>254</v>
      </c>
      <c r="F112" s="1">
        <v>44928</v>
      </c>
    </row>
    <row r="113" spans="1:6" x14ac:dyDescent="0.25">
      <c r="A113" t="s">
        <v>425</v>
      </c>
      <c r="B113" t="s">
        <v>181</v>
      </c>
      <c r="C113" t="s">
        <v>399</v>
      </c>
      <c r="D113" t="s">
        <v>254</v>
      </c>
      <c r="E113" t="s">
        <v>254</v>
      </c>
      <c r="F113" s="1">
        <v>40210</v>
      </c>
    </row>
    <row r="114" spans="1:6" x14ac:dyDescent="0.25">
      <c r="A114" t="s">
        <v>425</v>
      </c>
      <c r="B114" t="s">
        <v>479</v>
      </c>
      <c r="C114" t="s">
        <v>56</v>
      </c>
      <c r="D114" t="s">
        <v>228</v>
      </c>
      <c r="E114" t="s">
        <v>254</v>
      </c>
      <c r="F114" s="1">
        <v>45330</v>
      </c>
    </row>
    <row r="115" spans="1:6" x14ac:dyDescent="0.25">
      <c r="A115" t="s">
        <v>425</v>
      </c>
      <c r="B115" t="s">
        <v>445</v>
      </c>
      <c r="C115" t="s">
        <v>56</v>
      </c>
      <c r="D115" t="s">
        <v>254</v>
      </c>
      <c r="E115" t="s">
        <v>254</v>
      </c>
      <c r="F115" s="1">
        <v>45202</v>
      </c>
    </row>
    <row r="116" spans="1:6" x14ac:dyDescent="0.25">
      <c r="A116" t="s">
        <v>425</v>
      </c>
      <c r="B116" t="s">
        <v>159</v>
      </c>
      <c r="C116" t="s">
        <v>399</v>
      </c>
      <c r="D116" t="s">
        <v>254</v>
      </c>
      <c r="E116" t="s">
        <v>254</v>
      </c>
      <c r="F116" s="1">
        <v>41974</v>
      </c>
    </row>
    <row r="117" spans="1:6" x14ac:dyDescent="0.25">
      <c r="A117" t="s">
        <v>425</v>
      </c>
      <c r="B117" t="s">
        <v>160</v>
      </c>
      <c r="C117" t="s">
        <v>399</v>
      </c>
      <c r="D117" t="s">
        <v>254</v>
      </c>
      <c r="E117" t="s">
        <v>254</v>
      </c>
      <c r="F117" s="1">
        <v>40210</v>
      </c>
    </row>
    <row r="118" spans="1:6" x14ac:dyDescent="0.25">
      <c r="A118" t="s">
        <v>425</v>
      </c>
      <c r="B118" t="s">
        <v>206</v>
      </c>
      <c r="C118" t="s">
        <v>399</v>
      </c>
      <c r="D118" t="s">
        <v>277</v>
      </c>
      <c r="E118" t="s">
        <v>254</v>
      </c>
      <c r="F118" s="1">
        <v>42320</v>
      </c>
    </row>
    <row r="119" spans="1:6" x14ac:dyDescent="0.25">
      <c r="A119" t="s">
        <v>425</v>
      </c>
      <c r="B119" t="s">
        <v>183</v>
      </c>
      <c r="C119" t="s">
        <v>212</v>
      </c>
      <c r="D119" t="s">
        <v>254</v>
      </c>
      <c r="E119" t="s">
        <v>228</v>
      </c>
      <c r="F119" s="1">
        <v>43437</v>
      </c>
    </row>
    <row r="120" spans="1:6" x14ac:dyDescent="0.25">
      <c r="A120" t="s">
        <v>425</v>
      </c>
      <c r="B120" t="s">
        <v>38</v>
      </c>
      <c r="C120" t="s">
        <v>99</v>
      </c>
      <c r="D120" t="s">
        <v>400</v>
      </c>
      <c r="E120" t="s">
        <v>254</v>
      </c>
      <c r="F120" s="1">
        <v>44470</v>
      </c>
    </row>
    <row r="121" spans="1:6" x14ac:dyDescent="0.25">
      <c r="A121" t="s">
        <v>425</v>
      </c>
      <c r="B121" t="s">
        <v>143</v>
      </c>
      <c r="C121" t="s">
        <v>399</v>
      </c>
      <c r="D121" t="s">
        <v>254</v>
      </c>
      <c r="E121" t="s">
        <v>254</v>
      </c>
      <c r="F121" s="1">
        <v>41775</v>
      </c>
    </row>
    <row r="122" spans="1:6" x14ac:dyDescent="0.25">
      <c r="A122" t="s">
        <v>425</v>
      </c>
      <c r="B122" t="s">
        <v>44</v>
      </c>
      <c r="C122" t="s">
        <v>399</v>
      </c>
      <c r="D122" t="s">
        <v>280</v>
      </c>
      <c r="E122" t="s">
        <v>280</v>
      </c>
      <c r="F122" s="1">
        <v>44844</v>
      </c>
    </row>
    <row r="123" spans="1:6" x14ac:dyDescent="0.25">
      <c r="A123" t="s">
        <v>425</v>
      </c>
      <c r="B123" t="s">
        <v>465</v>
      </c>
      <c r="C123" t="s">
        <v>399</v>
      </c>
      <c r="D123" t="s">
        <v>254</v>
      </c>
      <c r="E123" t="s">
        <v>280</v>
      </c>
      <c r="F123" s="1">
        <v>45239</v>
      </c>
    </row>
    <row r="124" spans="1:6" x14ac:dyDescent="0.25">
      <c r="A124" t="s">
        <v>425</v>
      </c>
      <c r="B124" t="s">
        <v>292</v>
      </c>
      <c r="C124" t="s">
        <v>212</v>
      </c>
      <c r="D124" t="s">
        <v>233</v>
      </c>
      <c r="E124" t="s">
        <v>280</v>
      </c>
      <c r="F124" s="1">
        <v>44866</v>
      </c>
    </row>
    <row r="125" spans="1:6" x14ac:dyDescent="0.25">
      <c r="A125" t="s">
        <v>425</v>
      </c>
      <c r="B125" t="s">
        <v>98</v>
      </c>
      <c r="C125" t="s">
        <v>99</v>
      </c>
      <c r="D125" t="s">
        <v>280</v>
      </c>
      <c r="E125" t="s">
        <v>280</v>
      </c>
      <c r="F125" s="1">
        <v>41214</v>
      </c>
    </row>
    <row r="126" spans="1:6" x14ac:dyDescent="0.25">
      <c r="A126" t="s">
        <v>425</v>
      </c>
      <c r="B126" t="s">
        <v>396</v>
      </c>
      <c r="C126" t="s">
        <v>399</v>
      </c>
      <c r="D126" t="s">
        <v>280</v>
      </c>
      <c r="E126" t="s">
        <v>280</v>
      </c>
      <c r="F126" s="1">
        <v>45118</v>
      </c>
    </row>
    <row r="127" spans="1:6" x14ac:dyDescent="0.25">
      <c r="A127" t="s">
        <v>425</v>
      </c>
      <c r="B127" t="s">
        <v>439</v>
      </c>
      <c r="C127" t="s">
        <v>56</v>
      </c>
      <c r="D127" t="s">
        <v>254</v>
      </c>
      <c r="E127" t="s">
        <v>280</v>
      </c>
      <c r="F127" s="1">
        <v>45184</v>
      </c>
    </row>
    <row r="128" spans="1:6" x14ac:dyDescent="0.25">
      <c r="A128" t="s">
        <v>425</v>
      </c>
      <c r="B128" t="s">
        <v>103</v>
      </c>
      <c r="C128" t="s">
        <v>311</v>
      </c>
      <c r="D128" t="s">
        <v>252</v>
      </c>
      <c r="E128" t="s">
        <v>252</v>
      </c>
      <c r="F128" s="1">
        <v>42751</v>
      </c>
    </row>
    <row r="129" spans="1:6" x14ac:dyDescent="0.25">
      <c r="A129" t="s">
        <v>425</v>
      </c>
      <c r="B129" t="s">
        <v>106</v>
      </c>
      <c r="C129" t="s">
        <v>407</v>
      </c>
      <c r="D129" t="s">
        <v>252</v>
      </c>
      <c r="E129" t="s">
        <v>252</v>
      </c>
      <c r="F129" s="1">
        <v>43222</v>
      </c>
    </row>
    <row r="130" spans="1:6" x14ac:dyDescent="0.25">
      <c r="A130" t="s">
        <v>425</v>
      </c>
      <c r="B130" t="s">
        <v>236</v>
      </c>
      <c r="C130" t="s">
        <v>407</v>
      </c>
      <c r="D130" t="s">
        <v>252</v>
      </c>
      <c r="E130" t="s">
        <v>252</v>
      </c>
      <c r="F130" s="1">
        <v>44637</v>
      </c>
    </row>
    <row r="131" spans="1:6" x14ac:dyDescent="0.25">
      <c r="A131" t="s">
        <v>425</v>
      </c>
      <c r="B131" t="s">
        <v>240</v>
      </c>
      <c r="C131" t="s">
        <v>213</v>
      </c>
      <c r="D131" t="s">
        <v>252</v>
      </c>
      <c r="E131" t="s">
        <v>252</v>
      </c>
      <c r="F131" s="1">
        <v>45110</v>
      </c>
    </row>
    <row r="132" spans="1:6" x14ac:dyDescent="0.25">
      <c r="A132" t="s">
        <v>425</v>
      </c>
      <c r="B132" t="s">
        <v>115</v>
      </c>
      <c r="C132" t="s">
        <v>213</v>
      </c>
      <c r="D132" t="s">
        <v>252</v>
      </c>
      <c r="E132" t="s">
        <v>252</v>
      </c>
      <c r="F132" s="1">
        <v>45110</v>
      </c>
    </row>
    <row r="133" spans="1:6" x14ac:dyDescent="0.25">
      <c r="A133" t="s">
        <v>425</v>
      </c>
      <c r="B133" t="s">
        <v>116</v>
      </c>
      <c r="C133" t="s">
        <v>407</v>
      </c>
      <c r="D133" t="s">
        <v>252</v>
      </c>
      <c r="E133" t="s">
        <v>252</v>
      </c>
      <c r="F133" s="1">
        <v>44216</v>
      </c>
    </row>
    <row r="134" spans="1:6" x14ac:dyDescent="0.25">
      <c r="A134" t="s">
        <v>425</v>
      </c>
      <c r="B134" t="s">
        <v>117</v>
      </c>
      <c r="C134" t="s">
        <v>407</v>
      </c>
      <c r="D134" t="s">
        <v>252</v>
      </c>
      <c r="E134" t="s">
        <v>252</v>
      </c>
      <c r="F134" s="1">
        <v>39266</v>
      </c>
    </row>
    <row r="135" spans="1:6" x14ac:dyDescent="0.25">
      <c r="A135" t="s">
        <v>425</v>
      </c>
      <c r="B135" t="s">
        <v>119</v>
      </c>
      <c r="C135" t="s">
        <v>407</v>
      </c>
      <c r="D135" t="s">
        <v>252</v>
      </c>
      <c r="E135" t="s">
        <v>252</v>
      </c>
      <c r="F135" s="1">
        <v>44216</v>
      </c>
    </row>
    <row r="136" spans="1:6" x14ac:dyDescent="0.25">
      <c r="A136" t="s">
        <v>425</v>
      </c>
      <c r="B136" t="s">
        <v>120</v>
      </c>
      <c r="C136" t="s">
        <v>407</v>
      </c>
      <c r="D136" t="s">
        <v>252</v>
      </c>
      <c r="E136" t="s">
        <v>252</v>
      </c>
      <c r="F136" s="1">
        <v>41852</v>
      </c>
    </row>
    <row r="137" spans="1:6" x14ac:dyDescent="0.25">
      <c r="A137" t="s">
        <v>425</v>
      </c>
      <c r="B137" t="s">
        <v>121</v>
      </c>
      <c r="C137" t="s">
        <v>407</v>
      </c>
      <c r="D137" t="s">
        <v>252</v>
      </c>
      <c r="E137" t="s">
        <v>252</v>
      </c>
      <c r="F137" s="1">
        <v>44216</v>
      </c>
    </row>
    <row r="138" spans="1:6" x14ac:dyDescent="0.25">
      <c r="A138" t="s">
        <v>425</v>
      </c>
      <c r="B138" t="s">
        <v>122</v>
      </c>
      <c r="C138" t="s">
        <v>213</v>
      </c>
      <c r="D138" t="s">
        <v>252</v>
      </c>
      <c r="E138" t="s">
        <v>252</v>
      </c>
      <c r="F138" s="1">
        <v>44173</v>
      </c>
    </row>
    <row r="139" spans="1:6" x14ac:dyDescent="0.25">
      <c r="A139" t="s">
        <v>425</v>
      </c>
      <c r="B139" t="s">
        <v>123</v>
      </c>
      <c r="C139" t="s">
        <v>405</v>
      </c>
      <c r="D139" t="s">
        <v>252</v>
      </c>
      <c r="E139" t="s">
        <v>252</v>
      </c>
      <c r="F139" s="1">
        <v>40392</v>
      </c>
    </row>
    <row r="140" spans="1:6" x14ac:dyDescent="0.25">
      <c r="A140" t="s">
        <v>425</v>
      </c>
      <c r="B140" t="s">
        <v>125</v>
      </c>
      <c r="C140" t="s">
        <v>407</v>
      </c>
      <c r="D140" t="s">
        <v>252</v>
      </c>
      <c r="E140" t="s">
        <v>252</v>
      </c>
      <c r="F140" s="1">
        <v>39142</v>
      </c>
    </row>
    <row r="141" spans="1:6" x14ac:dyDescent="0.25">
      <c r="A141" t="s">
        <v>425</v>
      </c>
      <c r="B141" t="s">
        <v>126</v>
      </c>
      <c r="C141" t="s">
        <v>407</v>
      </c>
      <c r="D141" t="s">
        <v>252</v>
      </c>
      <c r="E141" t="s">
        <v>252</v>
      </c>
      <c r="F141" s="1">
        <v>39234</v>
      </c>
    </row>
    <row r="142" spans="1:6" x14ac:dyDescent="0.25">
      <c r="A142" t="s">
        <v>425</v>
      </c>
      <c r="B142" t="s">
        <v>128</v>
      </c>
      <c r="C142" t="s">
        <v>407</v>
      </c>
      <c r="D142" t="s">
        <v>252</v>
      </c>
      <c r="E142" t="s">
        <v>252</v>
      </c>
      <c r="F142" s="1">
        <v>44216</v>
      </c>
    </row>
    <row r="143" spans="1:6" x14ac:dyDescent="0.25">
      <c r="A143" t="s">
        <v>425</v>
      </c>
      <c r="B143" t="s">
        <v>131</v>
      </c>
      <c r="C143" t="s">
        <v>213</v>
      </c>
      <c r="D143" t="s">
        <v>252</v>
      </c>
      <c r="E143" t="s">
        <v>252</v>
      </c>
      <c r="F143" s="1">
        <v>41646</v>
      </c>
    </row>
    <row r="144" spans="1:6" x14ac:dyDescent="0.25">
      <c r="A144" t="s">
        <v>425</v>
      </c>
      <c r="B144" t="s">
        <v>132</v>
      </c>
      <c r="C144" t="s">
        <v>213</v>
      </c>
      <c r="D144" t="s">
        <v>252</v>
      </c>
      <c r="E144" t="s">
        <v>252</v>
      </c>
      <c r="F144" s="1">
        <v>39356</v>
      </c>
    </row>
    <row r="145" spans="1:6" x14ac:dyDescent="0.25">
      <c r="A145" t="s">
        <v>425</v>
      </c>
      <c r="B145" t="s">
        <v>133</v>
      </c>
      <c r="C145" t="s">
        <v>407</v>
      </c>
      <c r="D145" t="s">
        <v>252</v>
      </c>
      <c r="E145" t="s">
        <v>252</v>
      </c>
      <c r="F145" s="1">
        <v>41650</v>
      </c>
    </row>
    <row r="146" spans="1:6" x14ac:dyDescent="0.25">
      <c r="A146" t="s">
        <v>425</v>
      </c>
      <c r="B146" t="s">
        <v>136</v>
      </c>
      <c r="C146" t="s">
        <v>407</v>
      </c>
      <c r="D146" t="s">
        <v>252</v>
      </c>
      <c r="E146" t="s">
        <v>252</v>
      </c>
      <c r="F146" s="1">
        <v>44216</v>
      </c>
    </row>
    <row r="147" spans="1:6" x14ac:dyDescent="0.25">
      <c r="A147" t="s">
        <v>425</v>
      </c>
      <c r="B147" t="s">
        <v>138</v>
      </c>
      <c r="C147" t="s">
        <v>213</v>
      </c>
      <c r="D147" t="s">
        <v>252</v>
      </c>
      <c r="E147" t="s">
        <v>252</v>
      </c>
      <c r="F147" s="1">
        <v>44287</v>
      </c>
    </row>
    <row r="148" spans="1:6" x14ac:dyDescent="0.25">
      <c r="A148" t="s">
        <v>425</v>
      </c>
      <c r="B148" t="s">
        <v>139</v>
      </c>
      <c r="C148" t="s">
        <v>213</v>
      </c>
      <c r="D148" t="s">
        <v>252</v>
      </c>
      <c r="E148" t="s">
        <v>252</v>
      </c>
      <c r="F148" s="1">
        <v>44482</v>
      </c>
    </row>
    <row r="149" spans="1:6" x14ac:dyDescent="0.25">
      <c r="A149" t="s">
        <v>425</v>
      </c>
      <c r="B149" t="s">
        <v>140</v>
      </c>
      <c r="C149" t="s">
        <v>407</v>
      </c>
      <c r="D149" t="s">
        <v>252</v>
      </c>
      <c r="E149" t="s">
        <v>252</v>
      </c>
      <c r="F149" s="1">
        <v>43222</v>
      </c>
    </row>
    <row r="150" spans="1:6" x14ac:dyDescent="0.25">
      <c r="A150" t="s">
        <v>425</v>
      </c>
      <c r="B150" t="s">
        <v>147</v>
      </c>
      <c r="C150" t="s">
        <v>407</v>
      </c>
      <c r="D150" t="s">
        <v>252</v>
      </c>
      <c r="E150" t="s">
        <v>252</v>
      </c>
      <c r="F150" s="1">
        <v>41699</v>
      </c>
    </row>
    <row r="151" spans="1:6" x14ac:dyDescent="0.25">
      <c r="A151" t="s">
        <v>425</v>
      </c>
      <c r="B151" t="s">
        <v>148</v>
      </c>
      <c r="C151" t="s">
        <v>407</v>
      </c>
      <c r="D151" t="s">
        <v>252</v>
      </c>
      <c r="E151" t="s">
        <v>252</v>
      </c>
      <c r="F151" s="1">
        <v>41852</v>
      </c>
    </row>
    <row r="152" spans="1:6" x14ac:dyDescent="0.25">
      <c r="A152" t="s">
        <v>425</v>
      </c>
      <c r="B152" t="s">
        <v>149</v>
      </c>
      <c r="C152" t="s">
        <v>407</v>
      </c>
      <c r="D152" t="s">
        <v>252</v>
      </c>
      <c r="E152" t="s">
        <v>252</v>
      </c>
      <c r="F152" s="1">
        <v>41946</v>
      </c>
    </row>
    <row r="153" spans="1:6" x14ac:dyDescent="0.25">
      <c r="A153" t="s">
        <v>427</v>
      </c>
      <c r="B153" t="s">
        <v>150</v>
      </c>
      <c r="C153" t="s">
        <v>407</v>
      </c>
      <c r="D153" t="s">
        <v>252</v>
      </c>
      <c r="E153" t="s">
        <v>252</v>
      </c>
      <c r="F153" s="1">
        <v>43222</v>
      </c>
    </row>
    <row r="154" spans="1:6" x14ac:dyDescent="0.25">
      <c r="A154" t="s">
        <v>425</v>
      </c>
      <c r="B154" t="s">
        <v>151</v>
      </c>
      <c r="C154" t="s">
        <v>407</v>
      </c>
      <c r="D154" t="s">
        <v>252</v>
      </c>
      <c r="E154" t="s">
        <v>252</v>
      </c>
      <c r="F154" s="1">
        <v>41655</v>
      </c>
    </row>
    <row r="155" spans="1:6" x14ac:dyDescent="0.25">
      <c r="A155" t="s">
        <v>425</v>
      </c>
      <c r="B155" t="s">
        <v>235</v>
      </c>
      <c r="C155" t="s">
        <v>213</v>
      </c>
      <c r="D155" t="s">
        <v>326</v>
      </c>
      <c r="E155" t="s">
        <v>252</v>
      </c>
      <c r="F155" s="1">
        <v>44774</v>
      </c>
    </row>
    <row r="156" spans="1:6" x14ac:dyDescent="0.25">
      <c r="A156" t="s">
        <v>425</v>
      </c>
      <c r="B156" t="s">
        <v>357</v>
      </c>
      <c r="C156" t="s">
        <v>213</v>
      </c>
      <c r="D156" t="s">
        <v>326</v>
      </c>
      <c r="E156" t="s">
        <v>252</v>
      </c>
      <c r="F156" s="1">
        <v>45110</v>
      </c>
    </row>
    <row r="157" spans="1:6" x14ac:dyDescent="0.25">
      <c r="A157" t="s">
        <v>425</v>
      </c>
      <c r="B157" t="s">
        <v>237</v>
      </c>
      <c r="C157" t="s">
        <v>213</v>
      </c>
      <c r="D157" t="s">
        <v>326</v>
      </c>
      <c r="E157" t="s">
        <v>252</v>
      </c>
      <c r="F157" s="1">
        <v>44774</v>
      </c>
    </row>
    <row r="158" spans="1:6" x14ac:dyDescent="0.25">
      <c r="A158" t="s">
        <v>425</v>
      </c>
      <c r="B158" t="s">
        <v>359</v>
      </c>
      <c r="C158" t="s">
        <v>213</v>
      </c>
      <c r="D158" t="s">
        <v>326</v>
      </c>
      <c r="E158" t="s">
        <v>252</v>
      </c>
      <c r="F158" s="1">
        <v>45110</v>
      </c>
    </row>
    <row r="159" spans="1:6" x14ac:dyDescent="0.25">
      <c r="A159" t="s">
        <v>425</v>
      </c>
      <c r="B159" t="s">
        <v>360</v>
      </c>
      <c r="C159" t="s">
        <v>213</v>
      </c>
      <c r="D159" t="s">
        <v>326</v>
      </c>
      <c r="E159" t="s">
        <v>252</v>
      </c>
      <c r="F159" s="1">
        <v>44866</v>
      </c>
    </row>
    <row r="160" spans="1:6" x14ac:dyDescent="0.25">
      <c r="A160" t="s">
        <v>425</v>
      </c>
      <c r="B160" t="s">
        <v>238</v>
      </c>
      <c r="C160" t="s">
        <v>213</v>
      </c>
      <c r="D160" t="s">
        <v>326</v>
      </c>
      <c r="E160" t="s">
        <v>252</v>
      </c>
      <c r="F160" s="1">
        <v>44774</v>
      </c>
    </row>
    <row r="161" spans="1:6" x14ac:dyDescent="0.25">
      <c r="A161" t="s">
        <v>425</v>
      </c>
      <c r="B161" t="s">
        <v>376</v>
      </c>
      <c r="C161" t="s">
        <v>213</v>
      </c>
      <c r="D161" t="s">
        <v>326</v>
      </c>
      <c r="E161" t="s">
        <v>252</v>
      </c>
      <c r="F161" s="1">
        <v>44866</v>
      </c>
    </row>
    <row r="162" spans="1:6" x14ac:dyDescent="0.25">
      <c r="A162" t="s">
        <v>425</v>
      </c>
      <c r="B162" t="s">
        <v>239</v>
      </c>
      <c r="C162" t="s">
        <v>311</v>
      </c>
      <c r="D162" t="s">
        <v>326</v>
      </c>
      <c r="E162" t="s">
        <v>252</v>
      </c>
      <c r="F162" s="1">
        <v>44792</v>
      </c>
    </row>
    <row r="163" spans="1:6" x14ac:dyDescent="0.25">
      <c r="A163" t="s">
        <v>425</v>
      </c>
      <c r="B163" t="s">
        <v>362</v>
      </c>
      <c r="C163" t="s">
        <v>213</v>
      </c>
      <c r="D163" t="s">
        <v>326</v>
      </c>
      <c r="E163" t="s">
        <v>252</v>
      </c>
      <c r="F163" s="1">
        <v>45110</v>
      </c>
    </row>
    <row r="164" spans="1:6" x14ac:dyDescent="0.25">
      <c r="A164" t="s">
        <v>425</v>
      </c>
      <c r="B164" t="s">
        <v>363</v>
      </c>
      <c r="C164" t="s">
        <v>213</v>
      </c>
      <c r="D164" t="s">
        <v>326</v>
      </c>
      <c r="E164" t="s">
        <v>252</v>
      </c>
      <c r="F164" s="1">
        <v>45110</v>
      </c>
    </row>
    <row r="165" spans="1:6" x14ac:dyDescent="0.25">
      <c r="A165" t="s">
        <v>425</v>
      </c>
      <c r="B165" t="s">
        <v>313</v>
      </c>
      <c r="C165" t="s">
        <v>407</v>
      </c>
      <c r="D165" t="s">
        <v>326</v>
      </c>
      <c r="E165" t="s">
        <v>252</v>
      </c>
      <c r="F165" s="1">
        <v>44774</v>
      </c>
    </row>
    <row r="166" spans="1:6" x14ac:dyDescent="0.25">
      <c r="A166" t="s">
        <v>425</v>
      </c>
      <c r="B166" t="s">
        <v>364</v>
      </c>
      <c r="C166" t="s">
        <v>213</v>
      </c>
      <c r="D166" t="s">
        <v>326</v>
      </c>
      <c r="E166" t="s">
        <v>252</v>
      </c>
      <c r="F166" s="1">
        <v>45110</v>
      </c>
    </row>
    <row r="167" spans="1:6" x14ac:dyDescent="0.25">
      <c r="A167" t="s">
        <v>425</v>
      </c>
      <c r="B167" t="s">
        <v>383</v>
      </c>
      <c r="C167" t="s">
        <v>213</v>
      </c>
      <c r="D167" t="s">
        <v>326</v>
      </c>
      <c r="E167" t="s">
        <v>252</v>
      </c>
      <c r="F167" s="1">
        <v>45110</v>
      </c>
    </row>
    <row r="168" spans="1:6" x14ac:dyDescent="0.25">
      <c r="A168" t="s">
        <v>425</v>
      </c>
      <c r="B168" t="s">
        <v>281</v>
      </c>
      <c r="C168" t="s">
        <v>407</v>
      </c>
      <c r="D168" t="s">
        <v>326</v>
      </c>
      <c r="E168" t="s">
        <v>252</v>
      </c>
      <c r="F168" s="1">
        <v>44774</v>
      </c>
    </row>
    <row r="169" spans="1:6" x14ac:dyDescent="0.25">
      <c r="A169" t="s">
        <v>425</v>
      </c>
      <c r="B169" t="s">
        <v>244</v>
      </c>
      <c r="C169" t="s">
        <v>213</v>
      </c>
      <c r="D169" t="s">
        <v>326</v>
      </c>
      <c r="E169" t="s">
        <v>252</v>
      </c>
      <c r="F169" s="1">
        <v>44774</v>
      </c>
    </row>
    <row r="170" spans="1:6" x14ac:dyDescent="0.25">
      <c r="A170" t="s">
        <v>425</v>
      </c>
      <c r="B170" t="s">
        <v>245</v>
      </c>
      <c r="C170" t="s">
        <v>213</v>
      </c>
      <c r="D170" t="s">
        <v>326</v>
      </c>
      <c r="E170" t="s">
        <v>252</v>
      </c>
      <c r="F170" s="1">
        <v>44774</v>
      </c>
    </row>
    <row r="171" spans="1:6" x14ac:dyDescent="0.25">
      <c r="A171" t="s">
        <v>425</v>
      </c>
      <c r="B171" t="s">
        <v>314</v>
      </c>
      <c r="C171" t="s">
        <v>407</v>
      </c>
      <c r="D171" t="s">
        <v>326</v>
      </c>
      <c r="E171" t="s">
        <v>252</v>
      </c>
      <c r="F171" s="1">
        <v>44774</v>
      </c>
    </row>
    <row r="172" spans="1:6" x14ac:dyDescent="0.25">
      <c r="A172" t="s">
        <v>425</v>
      </c>
      <c r="B172" t="s">
        <v>246</v>
      </c>
      <c r="C172" t="s">
        <v>213</v>
      </c>
      <c r="D172" t="s">
        <v>326</v>
      </c>
      <c r="E172" t="s">
        <v>252</v>
      </c>
      <c r="F172" s="1">
        <v>44774</v>
      </c>
    </row>
    <row r="173" spans="1:6" x14ac:dyDescent="0.25">
      <c r="A173" t="s">
        <v>425</v>
      </c>
      <c r="B173" t="s">
        <v>315</v>
      </c>
      <c r="C173" t="s">
        <v>213</v>
      </c>
      <c r="D173" t="s">
        <v>326</v>
      </c>
      <c r="E173" t="s">
        <v>252</v>
      </c>
      <c r="F173" s="1">
        <v>44774</v>
      </c>
    </row>
    <row r="174" spans="1:6" x14ac:dyDescent="0.25">
      <c r="A174" t="s">
        <v>425</v>
      </c>
      <c r="B174" t="s">
        <v>247</v>
      </c>
      <c r="C174" t="s">
        <v>213</v>
      </c>
      <c r="D174" t="s">
        <v>326</v>
      </c>
      <c r="E174" t="s">
        <v>252</v>
      </c>
      <c r="F174" s="1">
        <v>44774</v>
      </c>
    </row>
    <row r="175" spans="1:6" x14ac:dyDescent="0.25">
      <c r="A175" t="s">
        <v>425</v>
      </c>
      <c r="B175" t="s">
        <v>248</v>
      </c>
      <c r="C175" t="s">
        <v>213</v>
      </c>
      <c r="D175" t="s">
        <v>326</v>
      </c>
      <c r="E175" t="s">
        <v>252</v>
      </c>
      <c r="F175" s="1">
        <v>44774</v>
      </c>
    </row>
    <row r="176" spans="1:6" x14ac:dyDescent="0.25">
      <c r="A176" t="s">
        <v>425</v>
      </c>
      <c r="B176" t="s">
        <v>316</v>
      </c>
      <c r="C176" t="s">
        <v>213</v>
      </c>
      <c r="D176" t="s">
        <v>326</v>
      </c>
      <c r="E176" t="s">
        <v>252</v>
      </c>
      <c r="F176" s="1">
        <v>44774</v>
      </c>
    </row>
    <row r="177" spans="1:6" x14ac:dyDescent="0.25">
      <c r="A177" t="s">
        <v>425</v>
      </c>
      <c r="B177" t="s">
        <v>365</v>
      </c>
      <c r="C177" t="s">
        <v>213</v>
      </c>
      <c r="D177" t="s">
        <v>326</v>
      </c>
      <c r="E177" t="s">
        <v>252</v>
      </c>
      <c r="F177" s="1">
        <v>45110</v>
      </c>
    </row>
    <row r="178" spans="1:6" x14ac:dyDescent="0.25">
      <c r="A178" t="s">
        <v>425</v>
      </c>
      <c r="B178" t="s">
        <v>249</v>
      </c>
      <c r="C178" t="s">
        <v>213</v>
      </c>
      <c r="D178" t="s">
        <v>326</v>
      </c>
      <c r="E178" t="s">
        <v>252</v>
      </c>
      <c r="F178" s="1">
        <v>45110</v>
      </c>
    </row>
    <row r="179" spans="1:6" x14ac:dyDescent="0.25">
      <c r="A179" t="s">
        <v>425</v>
      </c>
      <c r="B179" t="s">
        <v>384</v>
      </c>
      <c r="C179" t="s">
        <v>213</v>
      </c>
      <c r="D179" t="s">
        <v>326</v>
      </c>
      <c r="E179" t="s">
        <v>252</v>
      </c>
      <c r="F179" s="1">
        <v>45110</v>
      </c>
    </row>
    <row r="180" spans="1:6" x14ac:dyDescent="0.25">
      <c r="A180" t="s">
        <v>425</v>
      </c>
      <c r="B180" t="s">
        <v>142</v>
      </c>
      <c r="C180" t="s">
        <v>213</v>
      </c>
      <c r="D180" t="s">
        <v>326</v>
      </c>
      <c r="E180" t="s">
        <v>252</v>
      </c>
      <c r="F180" s="1">
        <v>44866</v>
      </c>
    </row>
    <row r="181" spans="1:6" x14ac:dyDescent="0.25">
      <c r="A181" t="s">
        <v>425</v>
      </c>
      <c r="B181" t="s">
        <v>317</v>
      </c>
      <c r="C181" t="s">
        <v>407</v>
      </c>
      <c r="D181" t="s">
        <v>326</v>
      </c>
      <c r="E181" t="s">
        <v>252</v>
      </c>
      <c r="F181" s="1">
        <v>44774</v>
      </c>
    </row>
    <row r="182" spans="1:6" x14ac:dyDescent="0.25">
      <c r="A182" t="s">
        <v>425</v>
      </c>
      <c r="B182" t="s">
        <v>250</v>
      </c>
      <c r="C182" t="s">
        <v>213</v>
      </c>
      <c r="D182" t="s">
        <v>326</v>
      </c>
      <c r="E182" t="s">
        <v>252</v>
      </c>
      <c r="F182" s="1">
        <v>44774</v>
      </c>
    </row>
    <row r="183" spans="1:6" x14ac:dyDescent="0.25">
      <c r="A183" t="s">
        <v>425</v>
      </c>
      <c r="B183" t="s">
        <v>406</v>
      </c>
      <c r="C183" t="s">
        <v>488</v>
      </c>
      <c r="D183" t="s">
        <v>233</v>
      </c>
      <c r="E183" t="s">
        <v>253</v>
      </c>
      <c r="F183" s="1"/>
    </row>
    <row r="184" spans="1:6" x14ac:dyDescent="0.25">
      <c r="A184" t="s">
        <v>425</v>
      </c>
      <c r="B184" t="s">
        <v>312</v>
      </c>
      <c r="C184" t="s">
        <v>164</v>
      </c>
      <c r="D184" t="s">
        <v>253</v>
      </c>
      <c r="E184" t="s">
        <v>253</v>
      </c>
      <c r="F184" s="1">
        <v>44774</v>
      </c>
    </row>
    <row r="185" spans="1:6" x14ac:dyDescent="0.25">
      <c r="A185" t="s">
        <v>425</v>
      </c>
      <c r="B185" t="s">
        <v>100</v>
      </c>
      <c r="C185" t="s">
        <v>101</v>
      </c>
      <c r="D185" t="s">
        <v>280</v>
      </c>
      <c r="E185" t="s">
        <v>253</v>
      </c>
      <c r="F185" s="1">
        <v>40940</v>
      </c>
    </row>
    <row r="186" spans="1:6" x14ac:dyDescent="0.25">
      <c r="A186" t="s">
        <v>425</v>
      </c>
      <c r="B186" t="s">
        <v>88</v>
      </c>
      <c r="C186" t="s">
        <v>101</v>
      </c>
      <c r="D186" t="s">
        <v>254</v>
      </c>
      <c r="E186" t="s">
        <v>253</v>
      </c>
      <c r="F186" s="1">
        <v>44762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AFAA4-2E60-43A2-BDCA-842460AE0D7D}">
  <dimension ref="A1:AJ1025"/>
  <sheetViews>
    <sheetView workbookViewId="0">
      <selection activeCell="F115" sqref="F115"/>
    </sheetView>
  </sheetViews>
  <sheetFormatPr defaultRowHeight="15" x14ac:dyDescent="0.25"/>
  <cols>
    <col min="1" max="1" width="51.5703125" bestFit="1" customWidth="1"/>
    <col min="2" max="2" width="40.85546875" bestFit="1" customWidth="1"/>
    <col min="3" max="3" width="39.140625" bestFit="1" customWidth="1"/>
    <col min="4" max="4" width="10.7109375" bestFit="1" customWidth="1"/>
    <col min="5" max="5" width="19.5703125" bestFit="1" customWidth="1"/>
    <col min="6" max="6" width="45.28515625" bestFit="1" customWidth="1"/>
    <col min="7" max="7" width="11.5703125" bestFit="1" customWidth="1"/>
    <col min="8" max="8" width="20.5703125" bestFit="1" customWidth="1"/>
    <col min="9" max="9" width="13" bestFit="1" customWidth="1"/>
    <col min="10" max="10" width="5.7109375" bestFit="1" customWidth="1"/>
    <col min="11" max="11" width="19.5703125" style="5" bestFit="1" customWidth="1"/>
    <col min="12" max="12" width="10.5703125" style="5" bestFit="1" customWidth="1"/>
    <col min="13" max="13" width="19.5703125" bestFit="1" customWidth="1"/>
    <col min="14" max="14" width="12" bestFit="1" customWidth="1"/>
    <col min="15" max="15" width="14" bestFit="1" customWidth="1"/>
    <col min="16" max="16" width="19.5703125" bestFit="1" customWidth="1"/>
    <col min="17" max="17" width="5.7109375" bestFit="1" customWidth="1"/>
    <col min="18" max="18" width="19.5703125" bestFit="1" customWidth="1"/>
    <col min="19" max="19" width="13" bestFit="1" customWidth="1"/>
    <col min="20" max="20" width="23" style="5" bestFit="1" customWidth="1"/>
    <col min="21" max="21" width="13.7109375" bestFit="1" customWidth="1"/>
    <col min="22" max="22" width="9.7109375" bestFit="1" customWidth="1"/>
    <col min="23" max="23" width="21.28515625" bestFit="1" customWidth="1"/>
    <col min="24" max="24" width="16.7109375" bestFit="1" customWidth="1"/>
    <col min="25" max="25" width="16.28515625" bestFit="1" customWidth="1"/>
    <col min="26" max="26" width="19.7109375" bestFit="1" customWidth="1"/>
    <col min="27" max="27" width="20.85546875" bestFit="1" customWidth="1"/>
    <col min="28" max="28" width="19.28515625" bestFit="1" customWidth="1"/>
    <col min="29" max="29" width="17.42578125" bestFit="1" customWidth="1"/>
    <col min="30" max="30" width="10.7109375" bestFit="1" customWidth="1"/>
    <col min="31" max="31" width="13.5703125" bestFit="1" customWidth="1"/>
    <col min="32" max="32" width="24.28515625" bestFit="1" customWidth="1"/>
    <col min="33" max="33" width="15.85546875" bestFit="1" customWidth="1"/>
    <col min="34" max="34" width="17.28515625" bestFit="1" customWidth="1"/>
    <col min="35" max="35" width="12.7109375" style="5" bestFit="1" customWidth="1"/>
    <col min="36" max="36" width="28" style="5" bestFit="1" customWidth="1"/>
    <col min="37" max="37" width="15.85546875" bestFit="1" customWidth="1"/>
    <col min="38" max="38" width="17.28515625" bestFit="1" customWidth="1"/>
    <col min="39" max="39" width="13.5703125" bestFit="1" customWidth="1"/>
    <col min="40" max="40" width="24.28515625" bestFit="1" customWidth="1"/>
    <col min="41" max="41" width="9.28515625" bestFit="1" customWidth="1"/>
  </cols>
  <sheetData>
    <row r="1" spans="1:36" x14ac:dyDescent="0.25">
      <c r="A1" t="s">
        <v>328</v>
      </c>
      <c r="B1" t="s">
        <v>342</v>
      </c>
      <c r="C1" t="s">
        <v>489</v>
      </c>
      <c r="D1" t="s">
        <v>490</v>
      </c>
      <c r="E1" t="s">
        <v>491</v>
      </c>
      <c r="F1" t="s">
        <v>410</v>
      </c>
      <c r="G1" s="5" t="s">
        <v>411</v>
      </c>
      <c r="K1"/>
      <c r="L1"/>
      <c r="T1"/>
      <c r="AI1"/>
      <c r="AJ1"/>
    </row>
    <row r="2" spans="1:36" hidden="1" x14ac:dyDescent="0.25">
      <c r="A2" t="s">
        <v>522</v>
      </c>
      <c r="B2" t="s">
        <v>406</v>
      </c>
      <c r="C2" t="s">
        <v>453</v>
      </c>
      <c r="D2" s="1">
        <v>44844</v>
      </c>
      <c r="E2" t="s">
        <v>702</v>
      </c>
      <c r="F2" t="s">
        <v>23</v>
      </c>
      <c r="G2" s="5">
        <v>2110</v>
      </c>
      <c r="J2" t="e">
        <f>#REF!/#REF!</f>
        <v>#REF!</v>
      </c>
      <c r="K2"/>
      <c r="L2"/>
      <c r="T2"/>
      <c r="AI2"/>
      <c r="AJ2"/>
    </row>
    <row r="3" spans="1:36" hidden="1" x14ac:dyDescent="0.25">
      <c r="A3" t="s">
        <v>522</v>
      </c>
      <c r="B3" t="s">
        <v>406</v>
      </c>
      <c r="C3" t="s">
        <v>453</v>
      </c>
      <c r="D3" s="1">
        <v>44844</v>
      </c>
      <c r="E3" t="s">
        <v>702</v>
      </c>
      <c r="F3" t="s">
        <v>703</v>
      </c>
      <c r="G3" s="5">
        <v>114.04</v>
      </c>
      <c r="J3" t="e">
        <f>#REF!/#REF!</f>
        <v>#REF!</v>
      </c>
      <c r="K3"/>
      <c r="L3"/>
      <c r="T3"/>
      <c r="AI3"/>
      <c r="AJ3"/>
    </row>
    <row r="4" spans="1:36" hidden="1" x14ac:dyDescent="0.25">
      <c r="A4" t="s">
        <v>522</v>
      </c>
      <c r="B4" t="s">
        <v>406</v>
      </c>
      <c r="C4" t="s">
        <v>453</v>
      </c>
      <c r="D4" s="1">
        <v>44844</v>
      </c>
      <c r="E4" t="s">
        <v>702</v>
      </c>
      <c r="F4" t="s">
        <v>273</v>
      </c>
      <c r="G4" s="5">
        <v>824.39</v>
      </c>
      <c r="J4" t="e">
        <f>#REF!/#REF!</f>
        <v>#REF!</v>
      </c>
      <c r="K4"/>
      <c r="L4"/>
      <c r="T4"/>
      <c r="AI4"/>
      <c r="AJ4"/>
    </row>
    <row r="5" spans="1:36" hidden="1" x14ac:dyDescent="0.25">
      <c r="A5" t="s">
        <v>522</v>
      </c>
      <c r="B5" t="s">
        <v>406</v>
      </c>
      <c r="C5" t="s">
        <v>453</v>
      </c>
      <c r="D5" s="1">
        <v>44844</v>
      </c>
      <c r="E5" t="s">
        <v>702</v>
      </c>
      <c r="F5" t="s">
        <v>6</v>
      </c>
      <c r="G5" s="5">
        <v>103.4</v>
      </c>
      <c r="J5" t="e">
        <f>#REF!/#REF!</f>
        <v>#REF!</v>
      </c>
      <c r="K5"/>
      <c r="L5"/>
      <c r="T5"/>
      <c r="AI5"/>
      <c r="AJ5"/>
    </row>
    <row r="6" spans="1:36" hidden="1" x14ac:dyDescent="0.25">
      <c r="A6" t="s">
        <v>522</v>
      </c>
      <c r="B6" t="s">
        <v>406</v>
      </c>
      <c r="C6" t="s">
        <v>453</v>
      </c>
      <c r="D6" s="1">
        <v>44844</v>
      </c>
      <c r="E6" t="s">
        <v>702</v>
      </c>
      <c r="F6" t="s">
        <v>1</v>
      </c>
      <c r="G6" s="5">
        <v>844</v>
      </c>
      <c r="J6" t="e">
        <f>#REF!/#REF!</f>
        <v>#REF!</v>
      </c>
      <c r="K6"/>
      <c r="L6"/>
      <c r="T6"/>
      <c r="AI6"/>
      <c r="AJ6"/>
    </row>
    <row r="7" spans="1:36" hidden="1" x14ac:dyDescent="0.25">
      <c r="A7" t="s">
        <v>522</v>
      </c>
      <c r="B7" t="s">
        <v>406</v>
      </c>
      <c r="C7" t="s">
        <v>453</v>
      </c>
      <c r="D7" s="1">
        <v>44844</v>
      </c>
      <c r="E7" t="s">
        <v>702</v>
      </c>
      <c r="F7" t="s">
        <v>704</v>
      </c>
      <c r="G7" s="5">
        <v>285.12</v>
      </c>
      <c r="J7" t="e">
        <f>#REF!/#REF!</f>
        <v>#REF!</v>
      </c>
      <c r="K7"/>
      <c r="L7"/>
      <c r="T7"/>
      <c r="AI7"/>
      <c r="AJ7"/>
    </row>
    <row r="8" spans="1:36" hidden="1" x14ac:dyDescent="0.25">
      <c r="A8" t="s">
        <v>522</v>
      </c>
      <c r="B8" t="s">
        <v>406</v>
      </c>
      <c r="C8" t="s">
        <v>453</v>
      </c>
      <c r="D8" s="1">
        <v>44844</v>
      </c>
      <c r="E8" t="s">
        <v>702</v>
      </c>
      <c r="F8" t="s">
        <v>184</v>
      </c>
      <c r="G8" s="5">
        <v>2110</v>
      </c>
      <c r="J8" t="e">
        <f>#REF!/#REF!</f>
        <v>#REF!</v>
      </c>
      <c r="K8"/>
      <c r="L8"/>
      <c r="T8"/>
      <c r="AI8"/>
      <c r="AJ8"/>
    </row>
    <row r="9" spans="1:36" hidden="1" x14ac:dyDescent="0.25">
      <c r="A9" t="s">
        <v>514</v>
      </c>
      <c r="B9" t="s">
        <v>44</v>
      </c>
      <c r="C9" t="s">
        <v>58</v>
      </c>
      <c r="D9" s="1">
        <v>44844</v>
      </c>
      <c r="E9" t="s">
        <v>35</v>
      </c>
      <c r="F9" t="s">
        <v>417</v>
      </c>
      <c r="G9" s="5">
        <v>1660</v>
      </c>
      <c r="J9" t="e">
        <f>#REF!/#REF!</f>
        <v>#REF!</v>
      </c>
      <c r="K9"/>
      <c r="L9"/>
      <c r="T9"/>
      <c r="AI9"/>
      <c r="AJ9"/>
    </row>
    <row r="10" spans="1:36" hidden="1" x14ac:dyDescent="0.25">
      <c r="A10" t="s">
        <v>514</v>
      </c>
      <c r="B10" t="s">
        <v>44</v>
      </c>
      <c r="C10" t="s">
        <v>58</v>
      </c>
      <c r="D10" s="1">
        <v>44844</v>
      </c>
      <c r="E10" t="s">
        <v>35</v>
      </c>
      <c r="F10" t="s">
        <v>31</v>
      </c>
      <c r="G10" s="5">
        <v>20</v>
      </c>
      <c r="J10" t="e">
        <f>#REF!/#REF!</f>
        <v>#REF!</v>
      </c>
      <c r="K10"/>
      <c r="L10"/>
      <c r="T10"/>
      <c r="AI10"/>
      <c r="AJ10"/>
    </row>
    <row r="11" spans="1:36" hidden="1" x14ac:dyDescent="0.25">
      <c r="A11" t="s">
        <v>514</v>
      </c>
      <c r="B11" t="s">
        <v>44</v>
      </c>
      <c r="C11" t="s">
        <v>58</v>
      </c>
      <c r="D11" s="1">
        <v>44844</v>
      </c>
      <c r="E11" t="s">
        <v>35</v>
      </c>
      <c r="F11" t="s">
        <v>1</v>
      </c>
      <c r="G11" s="5">
        <v>664</v>
      </c>
      <c r="J11" t="e">
        <f>#REF!/#REF!</f>
        <v>#REF!</v>
      </c>
      <c r="K11"/>
      <c r="L11"/>
      <c r="T11"/>
      <c r="AI11"/>
      <c r="AJ11"/>
    </row>
    <row r="12" spans="1:36" hidden="1" x14ac:dyDescent="0.25">
      <c r="A12" t="s">
        <v>514</v>
      </c>
      <c r="B12" t="s">
        <v>44</v>
      </c>
      <c r="C12" t="s">
        <v>58</v>
      </c>
      <c r="D12" s="1">
        <v>44844</v>
      </c>
      <c r="E12" t="s">
        <v>35</v>
      </c>
      <c r="F12" t="s">
        <v>2</v>
      </c>
      <c r="G12" s="5">
        <v>99.6</v>
      </c>
      <c r="J12" t="e">
        <f>#REF!/#REF!</f>
        <v>#REF!</v>
      </c>
      <c r="K12"/>
      <c r="L12"/>
      <c r="T12"/>
      <c r="AI12"/>
      <c r="AJ12"/>
    </row>
    <row r="13" spans="1:36" hidden="1" x14ac:dyDescent="0.25">
      <c r="A13" t="s">
        <v>514</v>
      </c>
      <c r="B13" t="s">
        <v>44</v>
      </c>
      <c r="C13" t="s">
        <v>58</v>
      </c>
      <c r="D13" s="1">
        <v>44844</v>
      </c>
      <c r="E13" t="s">
        <v>35</v>
      </c>
      <c r="F13" t="s">
        <v>418</v>
      </c>
      <c r="G13" s="5">
        <v>16.899999999999999</v>
      </c>
      <c r="J13" t="e">
        <f>#REF!/#REF!</f>
        <v>#REF!</v>
      </c>
      <c r="K13"/>
      <c r="L13"/>
      <c r="T13"/>
      <c r="AI13"/>
      <c r="AJ13"/>
    </row>
    <row r="14" spans="1:36" hidden="1" x14ac:dyDescent="0.25">
      <c r="A14" t="s">
        <v>514</v>
      </c>
      <c r="B14" t="s">
        <v>44</v>
      </c>
      <c r="C14" t="s">
        <v>58</v>
      </c>
      <c r="D14" s="1">
        <v>44844</v>
      </c>
      <c r="E14" t="s">
        <v>35</v>
      </c>
      <c r="F14" t="s">
        <v>184</v>
      </c>
      <c r="G14" s="5">
        <v>1660</v>
      </c>
      <c r="J14" t="e">
        <f>#REF!/#REF!</f>
        <v>#REF!</v>
      </c>
      <c r="K14"/>
      <c r="L14"/>
      <c r="T14"/>
      <c r="AI14"/>
      <c r="AJ14"/>
    </row>
    <row r="15" spans="1:36" hidden="1" x14ac:dyDescent="0.25">
      <c r="A15" t="s">
        <v>514</v>
      </c>
      <c r="B15" t="s">
        <v>548</v>
      </c>
      <c r="C15" t="s">
        <v>549</v>
      </c>
      <c r="D15" s="1">
        <v>45495</v>
      </c>
      <c r="E15" t="s">
        <v>35</v>
      </c>
      <c r="F15" t="s">
        <v>417</v>
      </c>
      <c r="G15" s="5">
        <v>6109.8</v>
      </c>
      <c r="J15" t="e">
        <f>#REF!/#REF!</f>
        <v>#REF!</v>
      </c>
      <c r="K15"/>
      <c r="L15"/>
      <c r="T15"/>
      <c r="AI15"/>
      <c r="AJ15"/>
    </row>
    <row r="16" spans="1:36" hidden="1" x14ac:dyDescent="0.25">
      <c r="A16" t="s">
        <v>514</v>
      </c>
      <c r="B16" t="s">
        <v>548</v>
      </c>
      <c r="C16" t="s">
        <v>549</v>
      </c>
      <c r="D16" s="1">
        <v>45495</v>
      </c>
      <c r="E16" t="s">
        <v>35</v>
      </c>
      <c r="F16" t="s">
        <v>524</v>
      </c>
      <c r="G16" s="5">
        <v>55.98</v>
      </c>
      <c r="J16" t="e">
        <f>#REF!/#REF!</f>
        <v>#REF!</v>
      </c>
      <c r="K16"/>
      <c r="L16"/>
      <c r="T16"/>
      <c r="AI16"/>
      <c r="AJ16"/>
    </row>
    <row r="17" spans="1:36" hidden="1" x14ac:dyDescent="0.25">
      <c r="A17" t="s">
        <v>514</v>
      </c>
      <c r="B17" t="s">
        <v>548</v>
      </c>
      <c r="C17" t="s">
        <v>549</v>
      </c>
      <c r="D17" s="1">
        <v>45495</v>
      </c>
      <c r="E17" t="s">
        <v>35</v>
      </c>
      <c r="F17" t="s">
        <v>31</v>
      </c>
      <c r="G17" s="5">
        <v>20</v>
      </c>
      <c r="J17" t="e">
        <f>#REF!/#REF!</f>
        <v>#REF!</v>
      </c>
      <c r="K17"/>
      <c r="L17"/>
      <c r="T17"/>
      <c r="AI17"/>
      <c r="AJ17"/>
    </row>
    <row r="18" spans="1:36" hidden="1" x14ac:dyDescent="0.25">
      <c r="A18" t="s">
        <v>514</v>
      </c>
      <c r="B18" t="s">
        <v>548</v>
      </c>
      <c r="C18" t="s">
        <v>549</v>
      </c>
      <c r="D18" s="1">
        <v>45495</v>
      </c>
      <c r="E18" t="s">
        <v>35</v>
      </c>
      <c r="F18" t="s">
        <v>1</v>
      </c>
      <c r="G18" s="5">
        <v>2443.92</v>
      </c>
      <c r="J18" t="e">
        <f>#REF!/#REF!</f>
        <v>#REF!</v>
      </c>
      <c r="K18"/>
      <c r="L18"/>
      <c r="T18"/>
      <c r="AI18"/>
      <c r="AJ18"/>
    </row>
    <row r="19" spans="1:36" hidden="1" x14ac:dyDescent="0.25">
      <c r="A19" t="s">
        <v>514</v>
      </c>
      <c r="B19" t="s">
        <v>548</v>
      </c>
      <c r="C19" t="s">
        <v>549</v>
      </c>
      <c r="D19" s="1">
        <v>45495</v>
      </c>
      <c r="E19" t="s">
        <v>35</v>
      </c>
      <c r="F19" t="s">
        <v>184</v>
      </c>
      <c r="G19" s="5">
        <v>6109.8</v>
      </c>
      <c r="J19" t="e">
        <f>#REF!/#REF!</f>
        <v>#REF!</v>
      </c>
      <c r="K19"/>
      <c r="L19"/>
      <c r="T19"/>
      <c r="AI19"/>
      <c r="AJ19"/>
    </row>
    <row r="20" spans="1:36" hidden="1" x14ac:dyDescent="0.25">
      <c r="A20" t="s">
        <v>514</v>
      </c>
      <c r="B20" t="s">
        <v>155</v>
      </c>
      <c r="C20" t="s">
        <v>58</v>
      </c>
      <c r="D20" s="1">
        <v>41093</v>
      </c>
      <c r="E20" t="s">
        <v>35</v>
      </c>
      <c r="F20" t="s">
        <v>417</v>
      </c>
      <c r="G20" s="5">
        <v>1660</v>
      </c>
      <c r="J20" t="e">
        <f>#REF!/#REF!</f>
        <v>#REF!</v>
      </c>
      <c r="K20"/>
      <c r="L20"/>
      <c r="T20"/>
      <c r="AI20"/>
      <c r="AJ20"/>
    </row>
    <row r="21" spans="1:36" hidden="1" x14ac:dyDescent="0.25">
      <c r="A21" t="s">
        <v>514</v>
      </c>
      <c r="B21" t="s">
        <v>155</v>
      </c>
      <c r="C21" t="s">
        <v>58</v>
      </c>
      <c r="D21" s="1">
        <v>41093</v>
      </c>
      <c r="E21" t="s">
        <v>35</v>
      </c>
      <c r="F21" t="s">
        <v>25</v>
      </c>
      <c r="G21" s="5">
        <v>249</v>
      </c>
      <c r="J21" t="e">
        <f>#REF!/#REF!</f>
        <v>#REF!</v>
      </c>
      <c r="K21"/>
      <c r="L21"/>
      <c r="T21"/>
      <c r="AI21"/>
      <c r="AJ21"/>
    </row>
    <row r="22" spans="1:36" hidden="1" x14ac:dyDescent="0.25">
      <c r="A22" t="s">
        <v>514</v>
      </c>
      <c r="B22" t="s">
        <v>155</v>
      </c>
      <c r="C22" t="s">
        <v>58</v>
      </c>
      <c r="D22" s="1">
        <v>41093</v>
      </c>
      <c r="E22" t="s">
        <v>35</v>
      </c>
      <c r="F22" t="s">
        <v>31</v>
      </c>
      <c r="G22" s="5">
        <v>20</v>
      </c>
      <c r="J22" t="e">
        <f>#REF!/#REF!</f>
        <v>#REF!</v>
      </c>
      <c r="K22"/>
      <c r="L22"/>
      <c r="T22"/>
      <c r="AI22"/>
      <c r="AJ22"/>
    </row>
    <row r="23" spans="1:36" hidden="1" x14ac:dyDescent="0.25">
      <c r="A23" t="s">
        <v>514</v>
      </c>
      <c r="B23" t="s">
        <v>155</v>
      </c>
      <c r="C23" t="s">
        <v>58</v>
      </c>
      <c r="D23" s="1">
        <v>41093</v>
      </c>
      <c r="E23" t="s">
        <v>35</v>
      </c>
      <c r="F23" t="s">
        <v>1</v>
      </c>
      <c r="G23" s="5">
        <v>664</v>
      </c>
      <c r="J23" t="e">
        <f>#REF!/#REF!</f>
        <v>#REF!</v>
      </c>
      <c r="K23"/>
      <c r="L23"/>
      <c r="T23"/>
      <c r="AI23"/>
      <c r="AJ23"/>
    </row>
    <row r="24" spans="1:36" hidden="1" x14ac:dyDescent="0.25">
      <c r="A24" t="s">
        <v>514</v>
      </c>
      <c r="B24" t="s">
        <v>155</v>
      </c>
      <c r="C24" t="s">
        <v>58</v>
      </c>
      <c r="D24" s="1">
        <v>41093</v>
      </c>
      <c r="E24" t="s">
        <v>35</v>
      </c>
      <c r="F24" t="s">
        <v>184</v>
      </c>
      <c r="G24" s="5">
        <v>1660</v>
      </c>
      <c r="J24" t="e">
        <f>#REF!/#REF!</f>
        <v>#REF!</v>
      </c>
      <c r="K24"/>
      <c r="L24"/>
      <c r="T24"/>
      <c r="AI24"/>
      <c r="AJ24"/>
    </row>
    <row r="25" spans="1:36" hidden="1" x14ac:dyDescent="0.25">
      <c r="A25" t="s">
        <v>514</v>
      </c>
      <c r="B25" t="s">
        <v>98</v>
      </c>
      <c r="C25" t="s">
        <v>99</v>
      </c>
      <c r="D25" s="1">
        <v>41214</v>
      </c>
      <c r="E25" t="s">
        <v>35</v>
      </c>
      <c r="F25" t="s">
        <v>417</v>
      </c>
      <c r="G25" s="5">
        <v>3687.65</v>
      </c>
      <c r="J25" t="e">
        <f>#REF!/#REF!</f>
        <v>#REF!</v>
      </c>
      <c r="K25"/>
      <c r="L25"/>
      <c r="T25"/>
      <c r="AI25"/>
      <c r="AJ25"/>
    </row>
    <row r="26" spans="1:36" hidden="1" x14ac:dyDescent="0.25">
      <c r="A26" t="s">
        <v>514</v>
      </c>
      <c r="B26" t="s">
        <v>98</v>
      </c>
      <c r="C26" t="s">
        <v>99</v>
      </c>
      <c r="D26" s="1">
        <v>41214</v>
      </c>
      <c r="E26" t="s">
        <v>35</v>
      </c>
      <c r="F26" t="s">
        <v>25</v>
      </c>
      <c r="G26" s="5">
        <v>553.15</v>
      </c>
      <c r="J26" t="e">
        <f>#REF!/#REF!</f>
        <v>#REF!</v>
      </c>
      <c r="K26"/>
      <c r="L26"/>
      <c r="T26"/>
      <c r="AI26"/>
      <c r="AJ26"/>
    </row>
    <row r="27" spans="1:36" hidden="1" x14ac:dyDescent="0.25">
      <c r="A27" t="s">
        <v>514</v>
      </c>
      <c r="B27" t="s">
        <v>98</v>
      </c>
      <c r="C27" t="s">
        <v>99</v>
      </c>
      <c r="D27" s="1">
        <v>41214</v>
      </c>
      <c r="E27" t="s">
        <v>35</v>
      </c>
      <c r="F27" t="s">
        <v>31</v>
      </c>
      <c r="G27" s="5">
        <v>20</v>
      </c>
      <c r="J27" t="e">
        <f>#REF!/#REF!</f>
        <v>#REF!</v>
      </c>
      <c r="K27"/>
      <c r="L27"/>
      <c r="T27"/>
      <c r="AI27"/>
      <c r="AJ27"/>
    </row>
    <row r="28" spans="1:36" hidden="1" x14ac:dyDescent="0.25">
      <c r="A28" t="s">
        <v>514</v>
      </c>
      <c r="B28" t="s">
        <v>98</v>
      </c>
      <c r="C28" t="s">
        <v>99</v>
      </c>
      <c r="D28" s="1">
        <v>41214</v>
      </c>
      <c r="E28" t="s">
        <v>35</v>
      </c>
      <c r="F28" t="s">
        <v>1</v>
      </c>
      <c r="G28" s="5">
        <v>1475.06</v>
      </c>
      <c r="J28" t="e">
        <f>#REF!/#REF!</f>
        <v>#REF!</v>
      </c>
      <c r="K28"/>
      <c r="L28"/>
      <c r="T28"/>
      <c r="AI28"/>
      <c r="AJ28"/>
    </row>
    <row r="29" spans="1:36" hidden="1" x14ac:dyDescent="0.25">
      <c r="A29" t="s">
        <v>514</v>
      </c>
      <c r="B29" t="s">
        <v>98</v>
      </c>
      <c r="C29" t="s">
        <v>99</v>
      </c>
      <c r="D29" s="1">
        <v>41214</v>
      </c>
      <c r="E29" t="s">
        <v>35</v>
      </c>
      <c r="F29" t="s">
        <v>418</v>
      </c>
      <c r="G29" s="5">
        <v>33.799999999999997</v>
      </c>
      <c r="J29" t="e">
        <f>#REF!/#REF!</f>
        <v>#REF!</v>
      </c>
      <c r="K29"/>
      <c r="L29"/>
      <c r="T29"/>
      <c r="AI29"/>
      <c r="AJ29"/>
    </row>
    <row r="30" spans="1:36" hidden="1" x14ac:dyDescent="0.25">
      <c r="A30" t="s">
        <v>514</v>
      </c>
      <c r="B30" t="s">
        <v>98</v>
      </c>
      <c r="C30" t="s">
        <v>99</v>
      </c>
      <c r="D30" s="1">
        <v>41214</v>
      </c>
      <c r="E30" t="s">
        <v>35</v>
      </c>
      <c r="F30" t="s">
        <v>184</v>
      </c>
      <c r="G30" s="5">
        <v>3687.65</v>
      </c>
      <c r="J30" t="e">
        <f>#REF!/#REF!</f>
        <v>#REF!</v>
      </c>
      <c r="K30"/>
      <c r="L30"/>
      <c r="T30"/>
      <c r="AI30"/>
      <c r="AJ30"/>
    </row>
    <row r="31" spans="1:36" hidden="1" x14ac:dyDescent="0.25">
      <c r="A31" t="s">
        <v>514</v>
      </c>
      <c r="B31" t="s">
        <v>100</v>
      </c>
      <c r="C31" t="s">
        <v>636</v>
      </c>
      <c r="D31" s="1">
        <v>40940</v>
      </c>
      <c r="E31" t="s">
        <v>35</v>
      </c>
      <c r="F31" t="s">
        <v>417</v>
      </c>
      <c r="G31" s="5">
        <v>2231.89</v>
      </c>
      <c r="J31" t="e">
        <f>#REF!/#REF!</f>
        <v>#REF!</v>
      </c>
      <c r="K31"/>
      <c r="L31"/>
      <c r="T31"/>
      <c r="AI31"/>
      <c r="AJ31"/>
    </row>
    <row r="32" spans="1:36" hidden="1" x14ac:dyDescent="0.25">
      <c r="A32" t="s">
        <v>514</v>
      </c>
      <c r="B32" t="s">
        <v>100</v>
      </c>
      <c r="C32" t="s">
        <v>636</v>
      </c>
      <c r="D32" s="1">
        <v>40940</v>
      </c>
      <c r="E32" t="s">
        <v>35</v>
      </c>
      <c r="F32" t="s">
        <v>25</v>
      </c>
      <c r="G32" s="5">
        <v>334.78</v>
      </c>
      <c r="J32" t="e">
        <f>#REF!/#REF!</f>
        <v>#REF!</v>
      </c>
      <c r="K32"/>
      <c r="L32"/>
      <c r="T32"/>
      <c r="AI32"/>
      <c r="AJ32"/>
    </row>
    <row r="33" spans="1:36" hidden="1" x14ac:dyDescent="0.25">
      <c r="A33" t="s">
        <v>514</v>
      </c>
      <c r="B33" t="s">
        <v>100</v>
      </c>
      <c r="C33" t="s">
        <v>636</v>
      </c>
      <c r="D33" s="1">
        <v>40940</v>
      </c>
      <c r="E33" t="s">
        <v>35</v>
      </c>
      <c r="F33" t="s">
        <v>18</v>
      </c>
      <c r="G33" s="5">
        <v>2364</v>
      </c>
      <c r="J33" t="e">
        <f>#REF!/#REF!</f>
        <v>#REF!</v>
      </c>
      <c r="K33"/>
      <c r="L33"/>
      <c r="T33"/>
      <c r="AI33"/>
      <c r="AJ33"/>
    </row>
    <row r="34" spans="1:36" hidden="1" x14ac:dyDescent="0.25">
      <c r="A34" t="s">
        <v>514</v>
      </c>
      <c r="B34" t="s">
        <v>100</v>
      </c>
      <c r="C34" t="s">
        <v>636</v>
      </c>
      <c r="D34" s="1">
        <v>40940</v>
      </c>
      <c r="E34" t="s">
        <v>35</v>
      </c>
      <c r="F34" t="s">
        <v>31</v>
      </c>
      <c r="G34" s="5">
        <v>20</v>
      </c>
      <c r="J34" t="e">
        <f>#REF!/#REF!</f>
        <v>#REF!</v>
      </c>
      <c r="K34"/>
      <c r="L34"/>
      <c r="T34"/>
      <c r="AI34"/>
      <c r="AJ34"/>
    </row>
    <row r="35" spans="1:36" hidden="1" x14ac:dyDescent="0.25">
      <c r="A35" t="s">
        <v>514</v>
      </c>
      <c r="B35" t="s">
        <v>100</v>
      </c>
      <c r="C35" t="s">
        <v>636</v>
      </c>
      <c r="D35" s="1">
        <v>40940</v>
      </c>
      <c r="E35" t="s">
        <v>35</v>
      </c>
      <c r="F35" t="s">
        <v>1</v>
      </c>
      <c r="G35" s="5">
        <v>1115.94</v>
      </c>
      <c r="J35" t="e">
        <f>#REF!/#REF!</f>
        <v>#REF!</v>
      </c>
      <c r="K35"/>
      <c r="L35"/>
      <c r="T35"/>
      <c r="AI35"/>
      <c r="AJ35"/>
    </row>
    <row r="36" spans="1:36" hidden="1" x14ac:dyDescent="0.25">
      <c r="A36" t="s">
        <v>514</v>
      </c>
      <c r="B36" t="s">
        <v>100</v>
      </c>
      <c r="C36" t="s">
        <v>636</v>
      </c>
      <c r="D36" s="1">
        <v>40940</v>
      </c>
      <c r="E36" t="s">
        <v>35</v>
      </c>
      <c r="F36" t="s">
        <v>184</v>
      </c>
      <c r="G36" s="5">
        <v>2231.89</v>
      </c>
      <c r="J36" t="e">
        <f>#REF!/#REF!</f>
        <v>#REF!</v>
      </c>
      <c r="K36"/>
      <c r="L36"/>
      <c r="T36"/>
      <c r="AI36"/>
      <c r="AJ36"/>
    </row>
    <row r="37" spans="1:36" hidden="1" x14ac:dyDescent="0.25">
      <c r="A37" t="s">
        <v>514</v>
      </c>
      <c r="B37" t="s">
        <v>100</v>
      </c>
      <c r="C37" t="s">
        <v>636</v>
      </c>
      <c r="D37" s="1">
        <v>40940</v>
      </c>
      <c r="E37" t="s">
        <v>35</v>
      </c>
      <c r="F37" t="s">
        <v>184</v>
      </c>
      <c r="G37" s="5">
        <v>2364</v>
      </c>
      <c r="J37" t="e">
        <f>#REF!/#REF!</f>
        <v>#REF!</v>
      </c>
      <c r="K37"/>
      <c r="L37"/>
      <c r="T37"/>
      <c r="AI37"/>
      <c r="AJ37"/>
    </row>
    <row r="38" spans="1:36" hidden="1" x14ac:dyDescent="0.25">
      <c r="A38" t="s">
        <v>516</v>
      </c>
      <c r="B38" t="s">
        <v>465</v>
      </c>
      <c r="C38" t="s">
        <v>58</v>
      </c>
      <c r="D38" s="1">
        <v>45239</v>
      </c>
      <c r="E38" t="s">
        <v>35</v>
      </c>
      <c r="F38" t="s">
        <v>417</v>
      </c>
      <c r="G38" s="5">
        <v>1660</v>
      </c>
      <c r="J38" t="e">
        <f>#REF!/#REF!</f>
        <v>#REF!</v>
      </c>
      <c r="K38"/>
      <c r="L38"/>
      <c r="T38"/>
      <c r="AI38"/>
      <c r="AJ38"/>
    </row>
    <row r="39" spans="1:36" hidden="1" x14ac:dyDescent="0.25">
      <c r="A39" t="s">
        <v>516</v>
      </c>
      <c r="B39" t="s">
        <v>465</v>
      </c>
      <c r="C39" t="s">
        <v>58</v>
      </c>
      <c r="D39" s="1">
        <v>45239</v>
      </c>
      <c r="E39" t="s">
        <v>35</v>
      </c>
      <c r="F39" t="s">
        <v>31</v>
      </c>
      <c r="G39" s="5">
        <v>20</v>
      </c>
      <c r="J39" t="e">
        <f>#REF!/#REF!</f>
        <v>#REF!</v>
      </c>
      <c r="K39"/>
      <c r="L39"/>
      <c r="T39"/>
      <c r="AI39"/>
      <c r="AJ39"/>
    </row>
    <row r="40" spans="1:36" hidden="1" x14ac:dyDescent="0.25">
      <c r="A40" t="s">
        <v>516</v>
      </c>
      <c r="B40" t="s">
        <v>465</v>
      </c>
      <c r="C40" t="s">
        <v>58</v>
      </c>
      <c r="D40" s="1">
        <v>45239</v>
      </c>
      <c r="E40" t="s">
        <v>35</v>
      </c>
      <c r="F40" t="s">
        <v>1</v>
      </c>
      <c r="G40" s="5">
        <v>664</v>
      </c>
      <c r="J40" t="e">
        <f>#REF!/#REF!</f>
        <v>#REF!</v>
      </c>
      <c r="K40"/>
      <c r="L40"/>
      <c r="T40"/>
      <c r="AI40"/>
      <c r="AJ40"/>
    </row>
    <row r="41" spans="1:36" hidden="1" x14ac:dyDescent="0.25">
      <c r="A41" t="s">
        <v>516</v>
      </c>
      <c r="B41" t="s">
        <v>465</v>
      </c>
      <c r="C41" t="s">
        <v>58</v>
      </c>
      <c r="D41" s="1">
        <v>45239</v>
      </c>
      <c r="E41" t="s">
        <v>35</v>
      </c>
      <c r="F41" t="s">
        <v>2</v>
      </c>
      <c r="G41" s="5">
        <v>99.6</v>
      </c>
      <c r="J41" t="e">
        <f>#REF!/#REF!</f>
        <v>#REF!</v>
      </c>
      <c r="K41"/>
      <c r="L41"/>
      <c r="T41"/>
      <c r="AI41"/>
      <c r="AJ41"/>
    </row>
    <row r="42" spans="1:36" hidden="1" x14ac:dyDescent="0.25">
      <c r="A42" t="s">
        <v>516</v>
      </c>
      <c r="B42" t="s">
        <v>465</v>
      </c>
      <c r="C42" t="s">
        <v>58</v>
      </c>
      <c r="D42" s="1">
        <v>45239</v>
      </c>
      <c r="E42" t="s">
        <v>35</v>
      </c>
      <c r="F42" t="s">
        <v>184</v>
      </c>
      <c r="G42" s="5">
        <v>1660</v>
      </c>
      <c r="J42" t="e">
        <f>#REF!/#REF!</f>
        <v>#REF!</v>
      </c>
      <c r="K42"/>
      <c r="L42"/>
      <c r="T42"/>
      <c r="AI42"/>
      <c r="AJ42"/>
    </row>
    <row r="43" spans="1:36" hidden="1" x14ac:dyDescent="0.25">
      <c r="A43" t="s">
        <v>516</v>
      </c>
      <c r="B43" t="s">
        <v>382</v>
      </c>
      <c r="C43" t="s">
        <v>388</v>
      </c>
      <c r="D43" s="1">
        <v>44958</v>
      </c>
      <c r="E43" t="s">
        <v>35</v>
      </c>
      <c r="F43" t="s">
        <v>417</v>
      </c>
      <c r="G43" s="5">
        <v>1660</v>
      </c>
      <c r="J43" t="e">
        <f>#REF!/#REF!</f>
        <v>#REF!</v>
      </c>
      <c r="K43"/>
      <c r="L43"/>
      <c r="T43"/>
      <c r="AI43"/>
      <c r="AJ43"/>
    </row>
    <row r="44" spans="1:36" hidden="1" x14ac:dyDescent="0.25">
      <c r="A44" t="s">
        <v>516</v>
      </c>
      <c r="B44" t="s">
        <v>382</v>
      </c>
      <c r="C44" t="s">
        <v>388</v>
      </c>
      <c r="D44" s="1">
        <v>44958</v>
      </c>
      <c r="E44" t="s">
        <v>35</v>
      </c>
      <c r="F44" t="s">
        <v>31</v>
      </c>
      <c r="G44" s="5">
        <v>20</v>
      </c>
      <c r="J44" t="e">
        <f>#REF!/#REF!</f>
        <v>#REF!</v>
      </c>
      <c r="K44"/>
      <c r="L44"/>
      <c r="T44"/>
      <c r="AI44"/>
      <c r="AJ44"/>
    </row>
    <row r="45" spans="1:36" hidden="1" x14ac:dyDescent="0.25">
      <c r="A45" t="s">
        <v>516</v>
      </c>
      <c r="B45" t="s">
        <v>382</v>
      </c>
      <c r="C45" t="s">
        <v>388</v>
      </c>
      <c r="D45" s="1">
        <v>44958</v>
      </c>
      <c r="E45" t="s">
        <v>35</v>
      </c>
      <c r="F45" t="s">
        <v>1</v>
      </c>
      <c r="G45" s="5">
        <v>664</v>
      </c>
      <c r="J45" t="e">
        <f>#REF!/#REF!</f>
        <v>#REF!</v>
      </c>
      <c r="K45"/>
      <c r="L45"/>
      <c r="T45"/>
      <c r="AI45"/>
      <c r="AJ45"/>
    </row>
    <row r="46" spans="1:36" hidden="1" x14ac:dyDescent="0.25">
      <c r="A46" t="s">
        <v>516</v>
      </c>
      <c r="B46" t="s">
        <v>382</v>
      </c>
      <c r="C46" t="s">
        <v>388</v>
      </c>
      <c r="D46" s="1">
        <v>44958</v>
      </c>
      <c r="E46" t="s">
        <v>35</v>
      </c>
      <c r="F46" t="s">
        <v>184</v>
      </c>
      <c r="G46" s="5">
        <v>1660</v>
      </c>
      <c r="J46" t="e">
        <f>#REF!/#REF!</f>
        <v>#REF!</v>
      </c>
      <c r="K46"/>
      <c r="L46"/>
      <c r="T46"/>
      <c r="AI46"/>
      <c r="AJ46"/>
    </row>
    <row r="47" spans="1:36" hidden="1" x14ac:dyDescent="0.25">
      <c r="A47" t="s">
        <v>516</v>
      </c>
      <c r="B47" t="s">
        <v>594</v>
      </c>
      <c r="C47" t="s">
        <v>285</v>
      </c>
      <c r="D47" s="1">
        <v>45617</v>
      </c>
      <c r="E47" t="s">
        <v>35</v>
      </c>
      <c r="F47" t="s">
        <v>420</v>
      </c>
      <c r="G47" s="5">
        <v>600</v>
      </c>
      <c r="J47" t="e">
        <f>#REF!/#REF!</f>
        <v>#REF!</v>
      </c>
      <c r="K47"/>
      <c r="L47"/>
      <c r="T47"/>
      <c r="AI47"/>
      <c r="AJ47"/>
    </row>
    <row r="48" spans="1:36" hidden="1" x14ac:dyDescent="0.25">
      <c r="A48" t="s">
        <v>516</v>
      </c>
      <c r="B48" t="s">
        <v>594</v>
      </c>
      <c r="C48" t="s">
        <v>285</v>
      </c>
      <c r="D48" s="1">
        <v>45617</v>
      </c>
      <c r="E48" t="s">
        <v>35</v>
      </c>
      <c r="F48" t="s">
        <v>421</v>
      </c>
      <c r="G48" s="5">
        <v>100</v>
      </c>
      <c r="J48" t="e">
        <f>#REF!/#REF!</f>
        <v>#REF!</v>
      </c>
      <c r="K48"/>
      <c r="L48"/>
      <c r="T48"/>
      <c r="AI48"/>
      <c r="AJ48"/>
    </row>
    <row r="49" spans="1:36" hidden="1" x14ac:dyDescent="0.25">
      <c r="A49" t="s">
        <v>516</v>
      </c>
      <c r="B49" t="s">
        <v>594</v>
      </c>
      <c r="C49" t="s">
        <v>285</v>
      </c>
      <c r="D49" s="1">
        <v>45617</v>
      </c>
      <c r="E49" t="s">
        <v>35</v>
      </c>
      <c r="F49" t="s">
        <v>286</v>
      </c>
      <c r="G49" s="5">
        <v>240</v>
      </c>
      <c r="J49" t="e">
        <f>#REF!/#REF!</f>
        <v>#REF!</v>
      </c>
      <c r="K49"/>
      <c r="L49"/>
      <c r="T49"/>
      <c r="AI49"/>
      <c r="AJ49"/>
    </row>
    <row r="50" spans="1:36" hidden="1" x14ac:dyDescent="0.25">
      <c r="A50" t="s">
        <v>516</v>
      </c>
      <c r="B50" t="s">
        <v>594</v>
      </c>
      <c r="C50" t="s">
        <v>285</v>
      </c>
      <c r="D50" s="1">
        <v>45617</v>
      </c>
      <c r="E50" t="s">
        <v>35</v>
      </c>
      <c r="F50" t="s">
        <v>184</v>
      </c>
      <c r="G50" s="5">
        <v>600</v>
      </c>
      <c r="J50" t="e">
        <f>#REF!/#REF!</f>
        <v>#REF!</v>
      </c>
      <c r="K50"/>
      <c r="L50"/>
      <c r="T50"/>
      <c r="AI50"/>
      <c r="AJ50"/>
    </row>
    <row r="51" spans="1:36" hidden="1" x14ac:dyDescent="0.25">
      <c r="A51" t="s">
        <v>516</v>
      </c>
      <c r="B51" t="s">
        <v>178</v>
      </c>
      <c r="C51" t="s">
        <v>58</v>
      </c>
      <c r="D51" s="1">
        <v>44117</v>
      </c>
      <c r="E51" t="s">
        <v>35</v>
      </c>
      <c r="F51" t="s">
        <v>417</v>
      </c>
      <c r="G51" s="5">
        <v>1660</v>
      </c>
      <c r="J51" t="e">
        <f>#REF!/#REF!</f>
        <v>#REF!</v>
      </c>
      <c r="K51"/>
      <c r="L51"/>
      <c r="T51"/>
      <c r="AI51"/>
      <c r="AJ51"/>
    </row>
    <row r="52" spans="1:36" hidden="1" x14ac:dyDescent="0.25">
      <c r="A52" t="s">
        <v>516</v>
      </c>
      <c r="B52" t="s">
        <v>178</v>
      </c>
      <c r="C52" t="s">
        <v>58</v>
      </c>
      <c r="D52" s="1">
        <v>44117</v>
      </c>
      <c r="E52" t="s">
        <v>35</v>
      </c>
      <c r="F52" t="s">
        <v>19</v>
      </c>
      <c r="G52" s="5">
        <v>83</v>
      </c>
      <c r="J52" t="e">
        <f>#REF!/#REF!</f>
        <v>#REF!</v>
      </c>
      <c r="K52"/>
      <c r="L52"/>
      <c r="T52"/>
      <c r="AI52"/>
      <c r="AJ52"/>
    </row>
    <row r="53" spans="1:36" hidden="1" x14ac:dyDescent="0.25">
      <c r="A53" t="s">
        <v>516</v>
      </c>
      <c r="B53" t="s">
        <v>178</v>
      </c>
      <c r="C53" t="s">
        <v>58</v>
      </c>
      <c r="D53" s="1">
        <v>44117</v>
      </c>
      <c r="E53" t="s">
        <v>35</v>
      </c>
      <c r="F53" t="s">
        <v>7</v>
      </c>
      <c r="G53" s="5">
        <v>65</v>
      </c>
      <c r="J53" t="e">
        <f>#REF!/#REF!</f>
        <v>#REF!</v>
      </c>
      <c r="K53"/>
      <c r="L53"/>
      <c r="T53"/>
      <c r="AI53"/>
      <c r="AJ53"/>
    </row>
    <row r="54" spans="1:36" hidden="1" x14ac:dyDescent="0.25">
      <c r="A54" t="s">
        <v>516</v>
      </c>
      <c r="B54" t="s">
        <v>178</v>
      </c>
      <c r="C54" t="s">
        <v>58</v>
      </c>
      <c r="D54" s="1">
        <v>44117</v>
      </c>
      <c r="E54" t="s">
        <v>35</v>
      </c>
      <c r="F54" t="s">
        <v>6</v>
      </c>
      <c r="G54" s="5">
        <v>133.71</v>
      </c>
      <c r="J54" t="e">
        <f>#REF!/#REF!</f>
        <v>#REF!</v>
      </c>
      <c r="K54"/>
      <c r="L54"/>
      <c r="T54"/>
      <c r="AI54"/>
      <c r="AJ54"/>
    </row>
    <row r="55" spans="1:36" hidden="1" x14ac:dyDescent="0.25">
      <c r="A55" t="s">
        <v>516</v>
      </c>
      <c r="B55" t="s">
        <v>178</v>
      </c>
      <c r="C55" t="s">
        <v>58</v>
      </c>
      <c r="D55" s="1">
        <v>44117</v>
      </c>
      <c r="E55" t="s">
        <v>35</v>
      </c>
      <c r="F55" t="s">
        <v>1</v>
      </c>
      <c r="G55" s="5">
        <v>664</v>
      </c>
      <c r="J55" t="e">
        <f>#REF!/#REF!</f>
        <v>#REF!</v>
      </c>
      <c r="K55"/>
      <c r="L55"/>
      <c r="T55"/>
      <c r="AI55"/>
      <c r="AJ55"/>
    </row>
    <row r="56" spans="1:36" hidden="1" x14ac:dyDescent="0.25">
      <c r="A56" t="s">
        <v>516</v>
      </c>
      <c r="B56" t="s">
        <v>178</v>
      </c>
      <c r="C56" t="s">
        <v>58</v>
      </c>
      <c r="D56" s="1">
        <v>44117</v>
      </c>
      <c r="E56" t="s">
        <v>35</v>
      </c>
      <c r="F56" t="s">
        <v>2</v>
      </c>
      <c r="G56" s="5">
        <v>99.6</v>
      </c>
      <c r="J56" t="e">
        <f>#REF!/#REF!</f>
        <v>#REF!</v>
      </c>
      <c r="K56"/>
      <c r="L56"/>
      <c r="T56"/>
      <c r="AI56"/>
      <c r="AJ56"/>
    </row>
    <row r="57" spans="1:36" hidden="1" x14ac:dyDescent="0.25">
      <c r="A57" t="s">
        <v>516</v>
      </c>
      <c r="B57" t="s">
        <v>178</v>
      </c>
      <c r="C57" t="s">
        <v>58</v>
      </c>
      <c r="D57" s="1">
        <v>44117</v>
      </c>
      <c r="E57" t="s">
        <v>35</v>
      </c>
      <c r="F57" t="s">
        <v>184</v>
      </c>
      <c r="G57" s="5">
        <v>1660</v>
      </c>
      <c r="J57" t="e">
        <f>#REF!/#REF!</f>
        <v>#REF!</v>
      </c>
      <c r="K57"/>
      <c r="L57"/>
      <c r="T57"/>
      <c r="AI57"/>
      <c r="AJ57"/>
    </row>
    <row r="58" spans="1:36" hidden="1" x14ac:dyDescent="0.25">
      <c r="A58" t="s">
        <v>516</v>
      </c>
      <c r="B58" t="s">
        <v>618</v>
      </c>
      <c r="C58" t="s">
        <v>619</v>
      </c>
      <c r="D58" s="1">
        <v>45726</v>
      </c>
      <c r="E58" t="s">
        <v>35</v>
      </c>
      <c r="F58" t="s">
        <v>417</v>
      </c>
      <c r="G58" s="5">
        <v>998.2</v>
      </c>
      <c r="J58" t="e">
        <f>#REF!/#REF!</f>
        <v>#REF!</v>
      </c>
      <c r="K58"/>
      <c r="L58"/>
      <c r="T58"/>
      <c r="AI58"/>
      <c r="AJ58"/>
    </row>
    <row r="59" spans="1:36" hidden="1" x14ac:dyDescent="0.25">
      <c r="A59" t="s">
        <v>516</v>
      </c>
      <c r="B59" t="s">
        <v>618</v>
      </c>
      <c r="C59" t="s">
        <v>619</v>
      </c>
      <c r="D59" s="1">
        <v>45726</v>
      </c>
      <c r="E59" t="s">
        <v>35</v>
      </c>
      <c r="F59" t="s">
        <v>421</v>
      </c>
      <c r="G59" s="5">
        <v>100</v>
      </c>
      <c r="J59" t="e">
        <f>#REF!/#REF!</f>
        <v>#REF!</v>
      </c>
      <c r="K59"/>
      <c r="L59"/>
      <c r="T59"/>
      <c r="AI59"/>
      <c r="AJ59"/>
    </row>
    <row r="60" spans="1:36" hidden="1" x14ac:dyDescent="0.25">
      <c r="A60" t="s">
        <v>516</v>
      </c>
      <c r="B60" t="s">
        <v>618</v>
      </c>
      <c r="C60" t="s">
        <v>619</v>
      </c>
      <c r="D60" s="1">
        <v>45726</v>
      </c>
      <c r="E60" t="s">
        <v>35</v>
      </c>
      <c r="F60" t="s">
        <v>1</v>
      </c>
      <c r="G60" s="5">
        <v>399.28</v>
      </c>
      <c r="J60" t="e">
        <f>#REF!/#REF!</f>
        <v>#REF!</v>
      </c>
      <c r="K60"/>
      <c r="L60"/>
      <c r="T60"/>
      <c r="AI60"/>
      <c r="AJ60"/>
    </row>
    <row r="61" spans="1:36" hidden="1" x14ac:dyDescent="0.25">
      <c r="A61" t="s">
        <v>516</v>
      </c>
      <c r="B61" t="s">
        <v>618</v>
      </c>
      <c r="C61" t="s">
        <v>619</v>
      </c>
      <c r="D61" s="1">
        <v>45726</v>
      </c>
      <c r="E61" t="s">
        <v>35</v>
      </c>
      <c r="F61" t="s">
        <v>2</v>
      </c>
      <c r="G61" s="5">
        <v>59.89</v>
      </c>
      <c r="J61" t="e">
        <f>#REF!/#REF!</f>
        <v>#REF!</v>
      </c>
      <c r="K61"/>
      <c r="L61"/>
      <c r="T61"/>
      <c r="AI61"/>
      <c r="AJ61"/>
    </row>
    <row r="62" spans="1:36" hidden="1" x14ac:dyDescent="0.25">
      <c r="A62" t="s">
        <v>516</v>
      </c>
      <c r="B62" t="s">
        <v>618</v>
      </c>
      <c r="C62" t="s">
        <v>619</v>
      </c>
      <c r="D62" s="1">
        <v>45726</v>
      </c>
      <c r="E62" t="s">
        <v>35</v>
      </c>
      <c r="F62" t="s">
        <v>184</v>
      </c>
      <c r="G62" s="5">
        <v>998.2</v>
      </c>
      <c r="J62" t="e">
        <f>#REF!/#REF!</f>
        <v>#REF!</v>
      </c>
      <c r="K62"/>
      <c r="L62"/>
      <c r="T62"/>
      <c r="AI62"/>
      <c r="AJ62"/>
    </row>
    <row r="63" spans="1:36" hidden="1" x14ac:dyDescent="0.25">
      <c r="A63" t="s">
        <v>516</v>
      </c>
      <c r="B63" t="s">
        <v>180</v>
      </c>
      <c r="C63" t="s">
        <v>80</v>
      </c>
      <c r="D63" s="1">
        <v>40210</v>
      </c>
      <c r="E63" t="s">
        <v>35</v>
      </c>
      <c r="F63" t="s">
        <v>417</v>
      </c>
      <c r="G63" s="5">
        <v>1743.51</v>
      </c>
      <c r="J63" t="e">
        <f>#REF!/#REF!</f>
        <v>#REF!</v>
      </c>
      <c r="K63"/>
      <c r="L63"/>
      <c r="T63"/>
      <c r="AI63"/>
      <c r="AJ63"/>
    </row>
    <row r="64" spans="1:36" hidden="1" x14ac:dyDescent="0.25">
      <c r="A64" t="s">
        <v>516</v>
      </c>
      <c r="B64" t="s">
        <v>180</v>
      </c>
      <c r="C64" t="s">
        <v>80</v>
      </c>
      <c r="D64" s="1">
        <v>40210</v>
      </c>
      <c r="E64" t="s">
        <v>35</v>
      </c>
      <c r="F64" t="s">
        <v>617</v>
      </c>
      <c r="G64" s="5">
        <v>348.7</v>
      </c>
      <c r="J64" t="e">
        <f>#REF!/#REF!</f>
        <v>#REF!</v>
      </c>
      <c r="K64"/>
      <c r="L64"/>
      <c r="T64"/>
      <c r="AI64"/>
      <c r="AJ64"/>
    </row>
    <row r="65" spans="1:36" hidden="1" x14ac:dyDescent="0.25">
      <c r="A65" t="s">
        <v>516</v>
      </c>
      <c r="B65" t="s">
        <v>180</v>
      </c>
      <c r="C65" t="s">
        <v>80</v>
      </c>
      <c r="D65" s="1">
        <v>40210</v>
      </c>
      <c r="E65" t="s">
        <v>35</v>
      </c>
      <c r="F65" t="s">
        <v>19</v>
      </c>
      <c r="G65" s="5">
        <v>261.52999999999997</v>
      </c>
      <c r="J65" t="e">
        <f>#REF!/#REF!</f>
        <v>#REF!</v>
      </c>
      <c r="K65"/>
      <c r="L65"/>
      <c r="T65"/>
      <c r="AI65"/>
      <c r="AJ65"/>
    </row>
    <row r="66" spans="1:36" hidden="1" x14ac:dyDescent="0.25">
      <c r="A66" t="s">
        <v>516</v>
      </c>
      <c r="B66" t="s">
        <v>180</v>
      </c>
      <c r="C66" t="s">
        <v>80</v>
      </c>
      <c r="D66" s="1">
        <v>40210</v>
      </c>
      <c r="E66" t="s">
        <v>35</v>
      </c>
      <c r="F66" t="s">
        <v>27</v>
      </c>
      <c r="G66" s="5">
        <v>52.31</v>
      </c>
      <c r="J66" t="e">
        <f>#REF!/#REF!</f>
        <v>#REF!</v>
      </c>
      <c r="K66"/>
      <c r="L66"/>
      <c r="T66"/>
      <c r="AI66"/>
      <c r="AJ66"/>
    </row>
    <row r="67" spans="1:36" hidden="1" x14ac:dyDescent="0.25">
      <c r="A67" t="s">
        <v>516</v>
      </c>
      <c r="B67" t="s">
        <v>180</v>
      </c>
      <c r="C67" t="s">
        <v>80</v>
      </c>
      <c r="D67" s="1">
        <v>40210</v>
      </c>
      <c r="E67" t="s">
        <v>35</v>
      </c>
      <c r="F67" t="s">
        <v>6</v>
      </c>
      <c r="G67" s="5">
        <v>78.78</v>
      </c>
      <c r="J67" t="e">
        <f>#REF!/#REF!</f>
        <v>#REF!</v>
      </c>
      <c r="K67"/>
      <c r="L67"/>
      <c r="T67"/>
      <c r="AI67"/>
      <c r="AJ67"/>
    </row>
    <row r="68" spans="1:36" hidden="1" x14ac:dyDescent="0.25">
      <c r="A68" t="s">
        <v>516</v>
      </c>
      <c r="B68" t="s">
        <v>180</v>
      </c>
      <c r="C68" t="s">
        <v>80</v>
      </c>
      <c r="D68" s="1">
        <v>40210</v>
      </c>
      <c r="E68" t="s">
        <v>35</v>
      </c>
      <c r="F68" t="s">
        <v>1</v>
      </c>
      <c r="G68" s="5">
        <v>836.88</v>
      </c>
      <c r="J68" t="e">
        <f>#REF!/#REF!</f>
        <v>#REF!</v>
      </c>
      <c r="K68"/>
      <c r="L68"/>
      <c r="T68"/>
      <c r="AI68"/>
      <c r="AJ68"/>
    </row>
    <row r="69" spans="1:36" hidden="1" x14ac:dyDescent="0.25">
      <c r="A69" t="s">
        <v>516</v>
      </c>
      <c r="B69" t="s">
        <v>180</v>
      </c>
      <c r="C69" t="s">
        <v>80</v>
      </c>
      <c r="D69" s="1">
        <v>40210</v>
      </c>
      <c r="E69" t="s">
        <v>35</v>
      </c>
      <c r="F69" t="s">
        <v>184</v>
      </c>
      <c r="G69" s="5">
        <v>2092.21</v>
      </c>
      <c r="J69" t="e">
        <f>#REF!/#REF!</f>
        <v>#REF!</v>
      </c>
      <c r="K69"/>
      <c r="L69"/>
      <c r="T69"/>
      <c r="AI69"/>
      <c r="AJ69"/>
    </row>
    <row r="70" spans="1:36" hidden="1" x14ac:dyDescent="0.25">
      <c r="A70" t="s">
        <v>516</v>
      </c>
      <c r="B70" t="s">
        <v>181</v>
      </c>
      <c r="C70" t="s">
        <v>582</v>
      </c>
      <c r="D70" s="1">
        <v>40210</v>
      </c>
      <c r="E70" t="s">
        <v>35</v>
      </c>
      <c r="F70" t="s">
        <v>417</v>
      </c>
      <c r="G70" s="5">
        <v>2321</v>
      </c>
      <c r="J70" t="e">
        <f>#REF!/#REF!</f>
        <v>#REF!</v>
      </c>
      <c r="K70"/>
      <c r="L70"/>
      <c r="T70"/>
      <c r="AI70"/>
      <c r="AJ70"/>
    </row>
    <row r="71" spans="1:36" hidden="1" x14ac:dyDescent="0.25">
      <c r="A71" t="s">
        <v>516</v>
      </c>
      <c r="B71" t="s">
        <v>181</v>
      </c>
      <c r="C71" t="s">
        <v>582</v>
      </c>
      <c r="D71" s="1">
        <v>40210</v>
      </c>
      <c r="E71" t="s">
        <v>35</v>
      </c>
      <c r="F71" t="s">
        <v>19</v>
      </c>
      <c r="G71" s="5">
        <v>348.15</v>
      </c>
      <c r="J71" t="e">
        <f>#REF!/#REF!</f>
        <v>#REF!</v>
      </c>
      <c r="K71"/>
      <c r="L71"/>
      <c r="T71"/>
      <c r="AI71"/>
      <c r="AJ71"/>
    </row>
    <row r="72" spans="1:36" hidden="1" x14ac:dyDescent="0.25">
      <c r="A72" t="s">
        <v>516</v>
      </c>
      <c r="B72" t="s">
        <v>181</v>
      </c>
      <c r="C72" t="s">
        <v>582</v>
      </c>
      <c r="D72" s="1">
        <v>40210</v>
      </c>
      <c r="E72" t="s">
        <v>35</v>
      </c>
      <c r="F72" t="s">
        <v>31</v>
      </c>
      <c r="G72" s="5">
        <v>20</v>
      </c>
      <c r="J72" t="e">
        <f>#REF!/#REF!</f>
        <v>#REF!</v>
      </c>
      <c r="K72"/>
      <c r="L72"/>
      <c r="T72"/>
      <c r="AI72"/>
      <c r="AJ72"/>
    </row>
    <row r="73" spans="1:36" hidden="1" x14ac:dyDescent="0.25">
      <c r="A73" t="s">
        <v>516</v>
      </c>
      <c r="B73" t="s">
        <v>181</v>
      </c>
      <c r="C73" t="s">
        <v>582</v>
      </c>
      <c r="D73" s="1">
        <v>40210</v>
      </c>
      <c r="E73" t="s">
        <v>35</v>
      </c>
      <c r="F73" t="s">
        <v>1</v>
      </c>
      <c r="G73" s="5">
        <v>928.4</v>
      </c>
      <c r="J73" t="e">
        <f>#REF!/#REF!</f>
        <v>#REF!</v>
      </c>
      <c r="K73"/>
      <c r="L73"/>
      <c r="T73"/>
      <c r="AI73"/>
      <c r="AJ73"/>
    </row>
    <row r="74" spans="1:36" hidden="1" x14ac:dyDescent="0.25">
      <c r="A74" t="s">
        <v>516</v>
      </c>
      <c r="B74" t="s">
        <v>181</v>
      </c>
      <c r="C74" t="s">
        <v>582</v>
      </c>
      <c r="D74" s="1">
        <v>40210</v>
      </c>
      <c r="E74" t="s">
        <v>35</v>
      </c>
      <c r="F74" t="s">
        <v>184</v>
      </c>
      <c r="G74" s="5">
        <v>2321</v>
      </c>
      <c r="J74" t="e">
        <f>#REF!/#REF!</f>
        <v>#REF!</v>
      </c>
      <c r="K74"/>
      <c r="L74"/>
      <c r="T74"/>
      <c r="AI74"/>
      <c r="AJ74"/>
    </row>
    <row r="75" spans="1:36" hidden="1" x14ac:dyDescent="0.25">
      <c r="A75" t="s">
        <v>516</v>
      </c>
      <c r="B75" t="s">
        <v>88</v>
      </c>
      <c r="C75" t="s">
        <v>530</v>
      </c>
      <c r="D75" s="1">
        <v>44762</v>
      </c>
      <c r="E75" t="s">
        <v>35</v>
      </c>
      <c r="F75" t="s">
        <v>417</v>
      </c>
      <c r="G75" s="5">
        <v>2596.36</v>
      </c>
      <c r="J75" t="e">
        <f>#REF!/#REF!</f>
        <v>#REF!</v>
      </c>
      <c r="K75"/>
      <c r="L75"/>
      <c r="T75"/>
      <c r="AI75"/>
      <c r="AJ75"/>
    </row>
    <row r="76" spans="1:36" hidden="1" x14ac:dyDescent="0.25">
      <c r="A76" t="s">
        <v>516</v>
      </c>
      <c r="B76" t="s">
        <v>88</v>
      </c>
      <c r="C76" t="s">
        <v>530</v>
      </c>
      <c r="D76" s="1">
        <v>44762</v>
      </c>
      <c r="E76" t="s">
        <v>35</v>
      </c>
      <c r="F76" t="s">
        <v>31</v>
      </c>
      <c r="G76" s="5">
        <v>20</v>
      </c>
      <c r="J76" t="e">
        <f>#REF!/#REF!</f>
        <v>#REF!</v>
      </c>
      <c r="K76"/>
      <c r="L76"/>
      <c r="T76"/>
      <c r="AI76"/>
      <c r="AJ76"/>
    </row>
    <row r="77" spans="1:36" hidden="1" x14ac:dyDescent="0.25">
      <c r="A77" t="s">
        <v>516</v>
      </c>
      <c r="B77" t="s">
        <v>88</v>
      </c>
      <c r="C77" t="s">
        <v>530</v>
      </c>
      <c r="D77" s="1">
        <v>44762</v>
      </c>
      <c r="E77" t="s">
        <v>35</v>
      </c>
      <c r="F77" t="s">
        <v>1</v>
      </c>
      <c r="G77" s="5">
        <v>1038.54</v>
      </c>
      <c r="J77" t="e">
        <f>#REF!/#REF!</f>
        <v>#REF!</v>
      </c>
      <c r="K77"/>
      <c r="L77"/>
      <c r="T77"/>
      <c r="AI77"/>
      <c r="AJ77"/>
    </row>
    <row r="78" spans="1:36" hidden="1" x14ac:dyDescent="0.25">
      <c r="A78" t="s">
        <v>516</v>
      </c>
      <c r="B78" t="s">
        <v>88</v>
      </c>
      <c r="C78" t="s">
        <v>530</v>
      </c>
      <c r="D78" s="1">
        <v>44762</v>
      </c>
      <c r="E78" t="s">
        <v>35</v>
      </c>
      <c r="F78" t="s">
        <v>418</v>
      </c>
      <c r="G78" s="5">
        <v>33.799999999999997</v>
      </c>
      <c r="J78" t="e">
        <f>#REF!/#REF!</f>
        <v>#REF!</v>
      </c>
      <c r="K78"/>
      <c r="L78"/>
      <c r="T78"/>
      <c r="AI78"/>
      <c r="AJ78"/>
    </row>
    <row r="79" spans="1:36" hidden="1" x14ac:dyDescent="0.25">
      <c r="A79" t="s">
        <v>516</v>
      </c>
      <c r="B79" t="s">
        <v>88</v>
      </c>
      <c r="C79" t="s">
        <v>530</v>
      </c>
      <c r="D79" s="1">
        <v>44762</v>
      </c>
      <c r="E79" t="s">
        <v>35</v>
      </c>
      <c r="F79" t="s">
        <v>184</v>
      </c>
      <c r="G79" s="5">
        <v>2596.36</v>
      </c>
      <c r="J79" t="e">
        <f>#REF!/#REF!</f>
        <v>#REF!</v>
      </c>
      <c r="K79"/>
      <c r="L79"/>
      <c r="T79"/>
      <c r="AI79"/>
      <c r="AJ79"/>
    </row>
    <row r="80" spans="1:36" hidden="1" x14ac:dyDescent="0.25">
      <c r="A80" t="s">
        <v>516</v>
      </c>
      <c r="B80" t="s">
        <v>159</v>
      </c>
      <c r="C80" t="s">
        <v>58</v>
      </c>
      <c r="D80" s="1">
        <v>41974</v>
      </c>
      <c r="E80" t="s">
        <v>35</v>
      </c>
      <c r="F80" t="s">
        <v>417</v>
      </c>
      <c r="G80" s="5">
        <v>1660</v>
      </c>
      <c r="J80" t="e">
        <f>#REF!/#REF!</f>
        <v>#REF!</v>
      </c>
      <c r="K80"/>
      <c r="L80"/>
      <c r="T80"/>
      <c r="AI80"/>
      <c r="AJ80"/>
    </row>
    <row r="81" spans="1:36" hidden="1" x14ac:dyDescent="0.25">
      <c r="A81" t="s">
        <v>516</v>
      </c>
      <c r="B81" t="s">
        <v>159</v>
      </c>
      <c r="C81" t="s">
        <v>58</v>
      </c>
      <c r="D81" s="1">
        <v>41974</v>
      </c>
      <c r="E81" t="s">
        <v>35</v>
      </c>
      <c r="F81" t="s">
        <v>19</v>
      </c>
      <c r="G81" s="5">
        <v>249</v>
      </c>
      <c r="J81" t="e">
        <f>#REF!/#REF!</f>
        <v>#REF!</v>
      </c>
      <c r="K81"/>
      <c r="L81"/>
      <c r="T81"/>
      <c r="AI81"/>
      <c r="AJ81"/>
    </row>
    <row r="82" spans="1:36" hidden="1" x14ac:dyDescent="0.25">
      <c r="A82" t="s">
        <v>516</v>
      </c>
      <c r="B82" t="s">
        <v>159</v>
      </c>
      <c r="C82" t="s">
        <v>58</v>
      </c>
      <c r="D82" s="1">
        <v>41974</v>
      </c>
      <c r="E82" t="s">
        <v>35</v>
      </c>
      <c r="F82" t="s">
        <v>31</v>
      </c>
      <c r="G82" s="5">
        <v>20</v>
      </c>
      <c r="J82" t="e">
        <f>#REF!/#REF!</f>
        <v>#REF!</v>
      </c>
      <c r="K82"/>
      <c r="L82"/>
      <c r="T82"/>
      <c r="AI82"/>
      <c r="AJ82"/>
    </row>
    <row r="83" spans="1:36" hidden="1" x14ac:dyDescent="0.25">
      <c r="A83" t="s">
        <v>516</v>
      </c>
      <c r="B83" t="s">
        <v>159</v>
      </c>
      <c r="C83" t="s">
        <v>58</v>
      </c>
      <c r="D83" s="1">
        <v>41974</v>
      </c>
      <c r="E83" t="s">
        <v>35</v>
      </c>
      <c r="F83" t="s">
        <v>1</v>
      </c>
      <c r="G83" s="5">
        <v>664</v>
      </c>
      <c r="J83" t="e">
        <f>#REF!/#REF!</f>
        <v>#REF!</v>
      </c>
      <c r="K83"/>
      <c r="L83"/>
      <c r="T83"/>
      <c r="AI83"/>
      <c r="AJ83"/>
    </row>
    <row r="84" spans="1:36" hidden="1" x14ac:dyDescent="0.25">
      <c r="A84" t="s">
        <v>516</v>
      </c>
      <c r="B84" t="s">
        <v>159</v>
      </c>
      <c r="C84" t="s">
        <v>58</v>
      </c>
      <c r="D84" s="1">
        <v>41974</v>
      </c>
      <c r="E84" t="s">
        <v>35</v>
      </c>
      <c r="F84" t="s">
        <v>2</v>
      </c>
      <c r="G84" s="5">
        <v>99.6</v>
      </c>
      <c r="J84" t="e">
        <f>#REF!/#REF!</f>
        <v>#REF!</v>
      </c>
      <c r="K84"/>
      <c r="L84"/>
      <c r="T84"/>
      <c r="AI84"/>
      <c r="AJ84"/>
    </row>
    <row r="85" spans="1:36" hidden="1" x14ac:dyDescent="0.25">
      <c r="A85" t="s">
        <v>516</v>
      </c>
      <c r="B85" t="s">
        <v>159</v>
      </c>
      <c r="C85" t="s">
        <v>58</v>
      </c>
      <c r="D85" s="1">
        <v>41974</v>
      </c>
      <c r="E85" t="s">
        <v>35</v>
      </c>
      <c r="F85" t="s">
        <v>418</v>
      </c>
      <c r="G85" s="5">
        <v>16.899999999999999</v>
      </c>
      <c r="J85" t="e">
        <f>#REF!/#REF!</f>
        <v>#REF!</v>
      </c>
      <c r="K85"/>
      <c r="L85"/>
      <c r="T85"/>
      <c r="AI85"/>
      <c r="AJ85"/>
    </row>
    <row r="86" spans="1:36" hidden="1" x14ac:dyDescent="0.25">
      <c r="A86" t="s">
        <v>516</v>
      </c>
      <c r="B86" t="s">
        <v>159</v>
      </c>
      <c r="C86" t="s">
        <v>58</v>
      </c>
      <c r="D86" s="1">
        <v>41974</v>
      </c>
      <c r="E86" t="s">
        <v>35</v>
      </c>
      <c r="F86" t="s">
        <v>184</v>
      </c>
      <c r="G86" s="5">
        <v>1660</v>
      </c>
      <c r="J86" t="e">
        <f>#REF!/#REF!</f>
        <v>#REF!</v>
      </c>
      <c r="K86"/>
      <c r="L86"/>
      <c r="T86"/>
      <c r="AI86"/>
      <c r="AJ86"/>
    </row>
    <row r="87" spans="1:36" hidden="1" x14ac:dyDescent="0.25">
      <c r="A87" t="s">
        <v>516</v>
      </c>
      <c r="B87" t="s">
        <v>439</v>
      </c>
      <c r="C87" t="s">
        <v>494</v>
      </c>
      <c r="D87" s="1">
        <v>45189</v>
      </c>
      <c r="E87" t="s">
        <v>637</v>
      </c>
      <c r="F87" t="s">
        <v>26</v>
      </c>
      <c r="G87" s="5">
        <v>1756.58</v>
      </c>
      <c r="J87" t="e">
        <f>#REF!/#REF!</f>
        <v>#REF!</v>
      </c>
      <c r="K87"/>
      <c r="L87"/>
      <c r="T87"/>
      <c r="AI87"/>
      <c r="AJ87"/>
    </row>
    <row r="88" spans="1:36" hidden="1" x14ac:dyDescent="0.25">
      <c r="A88" t="s">
        <v>516</v>
      </c>
      <c r="B88" t="s">
        <v>439</v>
      </c>
      <c r="C88" t="s">
        <v>494</v>
      </c>
      <c r="D88" s="1">
        <v>45189</v>
      </c>
      <c r="E88" t="s">
        <v>637</v>
      </c>
      <c r="F88" t="s">
        <v>262</v>
      </c>
      <c r="G88" s="5">
        <v>87.83</v>
      </c>
      <c r="J88" t="e">
        <f>#REF!/#REF!</f>
        <v>#REF!</v>
      </c>
      <c r="K88"/>
      <c r="L88"/>
      <c r="T88"/>
      <c r="AI88"/>
      <c r="AJ88"/>
    </row>
    <row r="89" spans="1:36" hidden="1" x14ac:dyDescent="0.25">
      <c r="A89" t="s">
        <v>516</v>
      </c>
      <c r="B89" t="s">
        <v>439</v>
      </c>
      <c r="C89" t="s">
        <v>494</v>
      </c>
      <c r="D89" s="1">
        <v>45189</v>
      </c>
      <c r="E89" t="s">
        <v>637</v>
      </c>
      <c r="F89" t="s">
        <v>7</v>
      </c>
      <c r="G89" s="5">
        <v>65</v>
      </c>
      <c r="J89" t="e">
        <f>#REF!/#REF!</f>
        <v>#REF!</v>
      </c>
      <c r="K89"/>
      <c r="L89"/>
      <c r="T89"/>
      <c r="AI89"/>
      <c r="AJ89"/>
    </row>
    <row r="90" spans="1:36" hidden="1" x14ac:dyDescent="0.25">
      <c r="A90" t="s">
        <v>516</v>
      </c>
      <c r="B90" t="s">
        <v>439</v>
      </c>
      <c r="C90" t="s">
        <v>494</v>
      </c>
      <c r="D90" s="1">
        <v>45189</v>
      </c>
      <c r="E90" t="s">
        <v>637</v>
      </c>
      <c r="F90" t="s">
        <v>1</v>
      </c>
      <c r="G90" s="5">
        <v>702.63</v>
      </c>
      <c r="J90" t="e">
        <f>#REF!/#REF!</f>
        <v>#REF!</v>
      </c>
      <c r="K90"/>
      <c r="L90"/>
      <c r="T90"/>
      <c r="AI90"/>
      <c r="AJ90"/>
    </row>
    <row r="91" spans="1:36" hidden="1" x14ac:dyDescent="0.25">
      <c r="A91" t="s">
        <v>516</v>
      </c>
      <c r="B91" t="s">
        <v>439</v>
      </c>
      <c r="C91" t="s">
        <v>494</v>
      </c>
      <c r="D91" s="1">
        <v>45189</v>
      </c>
      <c r="E91" t="s">
        <v>637</v>
      </c>
      <c r="F91" t="s">
        <v>184</v>
      </c>
      <c r="G91" s="5">
        <v>1756.58</v>
      </c>
      <c r="J91" t="e">
        <f>#REF!/#REF!</f>
        <v>#REF!</v>
      </c>
      <c r="K91"/>
      <c r="L91"/>
      <c r="T91"/>
      <c r="AI91"/>
      <c r="AJ91"/>
    </row>
    <row r="92" spans="1:36" hidden="1" x14ac:dyDescent="0.25">
      <c r="A92" t="s">
        <v>516</v>
      </c>
      <c r="B92" t="s">
        <v>160</v>
      </c>
      <c r="C92" t="s">
        <v>58</v>
      </c>
      <c r="D92" s="1">
        <v>40210</v>
      </c>
      <c r="E92" t="s">
        <v>35</v>
      </c>
      <c r="F92" s="10" t="s">
        <v>417</v>
      </c>
      <c r="G92" s="5">
        <v>1660</v>
      </c>
      <c r="J92" t="e">
        <f>#REF!/#REF!</f>
        <v>#REF!</v>
      </c>
      <c r="K92"/>
      <c r="L92"/>
      <c r="T92"/>
      <c r="AI92"/>
      <c r="AJ92"/>
    </row>
    <row r="93" spans="1:36" hidden="1" x14ac:dyDescent="0.25">
      <c r="A93" t="s">
        <v>516</v>
      </c>
      <c r="B93" t="s">
        <v>160</v>
      </c>
      <c r="C93" t="s">
        <v>58</v>
      </c>
      <c r="D93" s="1">
        <v>40210</v>
      </c>
      <c r="E93" t="s">
        <v>35</v>
      </c>
      <c r="F93" t="s">
        <v>19</v>
      </c>
      <c r="G93" s="5">
        <v>249</v>
      </c>
      <c r="J93" t="e">
        <f>#REF!/#REF!</f>
        <v>#REF!</v>
      </c>
      <c r="K93"/>
      <c r="L93"/>
      <c r="T93"/>
      <c r="AI93"/>
      <c r="AJ93"/>
    </row>
    <row r="94" spans="1:36" hidden="1" x14ac:dyDescent="0.25">
      <c r="A94" t="s">
        <v>516</v>
      </c>
      <c r="B94" t="s">
        <v>160</v>
      </c>
      <c r="C94" t="s">
        <v>58</v>
      </c>
      <c r="D94" s="1">
        <v>40210</v>
      </c>
      <c r="E94" t="s">
        <v>35</v>
      </c>
      <c r="F94" t="s">
        <v>31</v>
      </c>
      <c r="G94" s="5">
        <v>20</v>
      </c>
      <c r="J94" t="e">
        <f>#REF!/#REF!</f>
        <v>#REF!</v>
      </c>
      <c r="K94"/>
      <c r="L94"/>
      <c r="T94"/>
      <c r="AI94"/>
      <c r="AJ94"/>
    </row>
    <row r="95" spans="1:36" hidden="1" x14ac:dyDescent="0.25">
      <c r="A95" t="s">
        <v>516</v>
      </c>
      <c r="B95" t="s">
        <v>160</v>
      </c>
      <c r="C95" t="s">
        <v>58</v>
      </c>
      <c r="D95" s="1">
        <v>40210</v>
      </c>
      <c r="E95" t="s">
        <v>35</v>
      </c>
      <c r="F95" t="s">
        <v>1</v>
      </c>
      <c r="G95" s="5">
        <v>664</v>
      </c>
      <c r="J95" t="e">
        <f>#REF!/#REF!</f>
        <v>#REF!</v>
      </c>
      <c r="K95"/>
      <c r="L95"/>
      <c r="T95"/>
      <c r="AI95"/>
      <c r="AJ95"/>
    </row>
    <row r="96" spans="1:36" hidden="1" x14ac:dyDescent="0.25">
      <c r="A96" t="s">
        <v>516</v>
      </c>
      <c r="B96" t="s">
        <v>160</v>
      </c>
      <c r="C96" t="s">
        <v>58</v>
      </c>
      <c r="D96" s="1">
        <v>40210</v>
      </c>
      <c r="E96" t="s">
        <v>35</v>
      </c>
      <c r="F96" t="s">
        <v>2</v>
      </c>
      <c r="G96" s="5">
        <v>99.6</v>
      </c>
      <c r="J96" t="e">
        <f>#REF!/#REF!</f>
        <v>#REF!</v>
      </c>
      <c r="K96"/>
      <c r="L96"/>
      <c r="T96"/>
      <c r="AI96"/>
      <c r="AJ96"/>
    </row>
    <row r="97" spans="1:36" hidden="1" x14ac:dyDescent="0.25">
      <c r="A97" t="s">
        <v>516</v>
      </c>
      <c r="B97" t="s">
        <v>160</v>
      </c>
      <c r="C97" t="s">
        <v>58</v>
      </c>
      <c r="D97" s="1">
        <v>40210</v>
      </c>
      <c r="E97" t="s">
        <v>35</v>
      </c>
      <c r="F97" t="s">
        <v>418</v>
      </c>
      <c r="G97" s="5">
        <v>16.899999999999999</v>
      </c>
      <c r="J97" t="e">
        <f>#REF!/#REF!</f>
        <v>#REF!</v>
      </c>
      <c r="K97"/>
      <c r="L97"/>
      <c r="T97"/>
      <c r="AI97"/>
      <c r="AJ97"/>
    </row>
    <row r="98" spans="1:36" hidden="1" x14ac:dyDescent="0.25">
      <c r="A98" t="s">
        <v>516</v>
      </c>
      <c r="B98" t="s">
        <v>160</v>
      </c>
      <c r="C98" t="s">
        <v>58</v>
      </c>
      <c r="D98" s="1">
        <v>40210</v>
      </c>
      <c r="E98" t="s">
        <v>35</v>
      </c>
      <c r="F98" t="s">
        <v>184</v>
      </c>
      <c r="G98" s="5">
        <v>1660</v>
      </c>
      <c r="J98" t="e">
        <f>#REF!/#REF!</f>
        <v>#REF!</v>
      </c>
      <c r="K98"/>
      <c r="L98"/>
      <c r="T98"/>
      <c r="AI98"/>
      <c r="AJ98"/>
    </row>
    <row r="99" spans="1:36" hidden="1" x14ac:dyDescent="0.25">
      <c r="A99" t="s">
        <v>516</v>
      </c>
      <c r="B99" t="s">
        <v>183</v>
      </c>
      <c r="C99" t="s">
        <v>388</v>
      </c>
      <c r="D99" s="1">
        <v>43437</v>
      </c>
      <c r="E99" t="s">
        <v>35</v>
      </c>
      <c r="F99" t="s">
        <v>417</v>
      </c>
      <c r="G99" s="5">
        <v>1660</v>
      </c>
      <c r="J99" t="e">
        <f>#REF!/#REF!</f>
        <v>#REF!</v>
      </c>
      <c r="K99"/>
      <c r="L99"/>
      <c r="T99"/>
      <c r="AI99"/>
      <c r="AJ99"/>
    </row>
    <row r="100" spans="1:36" hidden="1" x14ac:dyDescent="0.25">
      <c r="A100" t="s">
        <v>516</v>
      </c>
      <c r="B100" t="s">
        <v>183</v>
      </c>
      <c r="C100" t="s">
        <v>388</v>
      </c>
      <c r="D100" s="1">
        <v>43437</v>
      </c>
      <c r="E100" t="s">
        <v>35</v>
      </c>
      <c r="F100" t="s">
        <v>19</v>
      </c>
      <c r="G100" s="5">
        <v>166</v>
      </c>
      <c r="J100" t="e">
        <f>#REF!/#REF!</f>
        <v>#REF!</v>
      </c>
      <c r="K100"/>
      <c r="L100"/>
      <c r="T100"/>
      <c r="AI100"/>
      <c r="AJ100"/>
    </row>
    <row r="101" spans="1:36" hidden="1" x14ac:dyDescent="0.25">
      <c r="A101" t="s">
        <v>516</v>
      </c>
      <c r="B101" t="s">
        <v>183</v>
      </c>
      <c r="C101" t="s">
        <v>388</v>
      </c>
      <c r="D101" s="1">
        <v>43437</v>
      </c>
      <c r="E101" t="s">
        <v>35</v>
      </c>
      <c r="F101" t="s">
        <v>7</v>
      </c>
      <c r="G101" s="5">
        <v>130</v>
      </c>
      <c r="J101" t="e">
        <f>#REF!/#REF!</f>
        <v>#REF!</v>
      </c>
      <c r="K101"/>
      <c r="L101"/>
      <c r="T101"/>
      <c r="AI101"/>
      <c r="AJ101"/>
    </row>
    <row r="102" spans="1:36" hidden="1" x14ac:dyDescent="0.25">
      <c r="A102" t="s">
        <v>516</v>
      </c>
      <c r="B102" t="s">
        <v>183</v>
      </c>
      <c r="C102" t="s">
        <v>388</v>
      </c>
      <c r="D102" s="1">
        <v>43437</v>
      </c>
      <c r="E102" t="s">
        <v>35</v>
      </c>
      <c r="F102" t="s">
        <v>31</v>
      </c>
      <c r="G102" s="5">
        <v>20</v>
      </c>
      <c r="J102" t="e">
        <f>#REF!/#REF!</f>
        <v>#REF!</v>
      </c>
      <c r="K102"/>
      <c r="L102"/>
      <c r="T102"/>
      <c r="AI102"/>
      <c r="AJ102"/>
    </row>
    <row r="103" spans="1:36" hidden="1" x14ac:dyDescent="0.25">
      <c r="A103" t="s">
        <v>516</v>
      </c>
      <c r="B103" t="s">
        <v>183</v>
      </c>
      <c r="C103" t="s">
        <v>388</v>
      </c>
      <c r="D103" s="1">
        <v>43437</v>
      </c>
      <c r="E103" t="s">
        <v>35</v>
      </c>
      <c r="F103" t="s">
        <v>1</v>
      </c>
      <c r="G103" s="5">
        <v>664</v>
      </c>
      <c r="J103" t="e">
        <f>#REF!/#REF!</f>
        <v>#REF!</v>
      </c>
      <c r="K103"/>
      <c r="L103"/>
      <c r="T103"/>
      <c r="AI103"/>
      <c r="AJ103"/>
    </row>
    <row r="104" spans="1:36" hidden="1" x14ac:dyDescent="0.25">
      <c r="A104" t="s">
        <v>516</v>
      </c>
      <c r="B104" t="s">
        <v>183</v>
      </c>
      <c r="C104" t="s">
        <v>388</v>
      </c>
      <c r="D104" s="1">
        <v>43437</v>
      </c>
      <c r="E104" t="s">
        <v>35</v>
      </c>
      <c r="F104" t="s">
        <v>184</v>
      </c>
      <c r="G104" s="5">
        <v>1660</v>
      </c>
      <c r="J104" t="e">
        <f>#REF!/#REF!</f>
        <v>#REF!</v>
      </c>
      <c r="K104"/>
      <c r="L104"/>
      <c r="T104"/>
      <c r="AI104"/>
      <c r="AJ104"/>
    </row>
    <row r="105" spans="1:36" x14ac:dyDescent="0.25">
      <c r="A105" t="s">
        <v>516</v>
      </c>
      <c r="B105" t="s">
        <v>143</v>
      </c>
      <c r="C105" t="s">
        <v>620</v>
      </c>
      <c r="D105" s="1">
        <v>41775</v>
      </c>
      <c r="E105" t="s">
        <v>35</v>
      </c>
      <c r="F105" t="s">
        <v>417</v>
      </c>
      <c r="G105" s="5">
        <v>1660</v>
      </c>
      <c r="J105" t="e">
        <f>#REF!/#REF!</f>
        <v>#REF!</v>
      </c>
      <c r="K105"/>
      <c r="L105"/>
      <c r="T105"/>
      <c r="AI105"/>
      <c r="AJ105"/>
    </row>
    <row r="106" spans="1:36" x14ac:dyDescent="0.25">
      <c r="A106" t="s">
        <v>516</v>
      </c>
      <c r="B106" t="s">
        <v>143</v>
      </c>
      <c r="C106" t="s">
        <v>620</v>
      </c>
      <c r="D106" s="1">
        <v>41775</v>
      </c>
      <c r="E106" t="s">
        <v>35</v>
      </c>
      <c r="F106" t="s">
        <v>19</v>
      </c>
      <c r="G106" s="5">
        <v>249</v>
      </c>
      <c r="J106" t="e">
        <f>#REF!/#REF!</f>
        <v>#REF!</v>
      </c>
      <c r="K106"/>
      <c r="L106"/>
      <c r="T106"/>
      <c r="AI106"/>
      <c r="AJ106"/>
    </row>
    <row r="107" spans="1:36" x14ac:dyDescent="0.25">
      <c r="A107" t="s">
        <v>516</v>
      </c>
      <c r="B107" t="s">
        <v>143</v>
      </c>
      <c r="C107" t="s">
        <v>620</v>
      </c>
      <c r="D107" s="1">
        <v>41775</v>
      </c>
      <c r="E107" t="s">
        <v>35</v>
      </c>
      <c r="F107" t="s">
        <v>18</v>
      </c>
      <c r="G107" s="5">
        <v>5559</v>
      </c>
      <c r="J107" t="e">
        <f>#REF!/#REF!</f>
        <v>#REF!</v>
      </c>
      <c r="K107"/>
      <c r="L107"/>
      <c r="T107"/>
      <c r="AI107"/>
      <c r="AJ107"/>
    </row>
    <row r="108" spans="1:36" x14ac:dyDescent="0.25">
      <c r="A108" t="s">
        <v>516</v>
      </c>
      <c r="B108" t="s">
        <v>143</v>
      </c>
      <c r="C108" t="s">
        <v>620</v>
      </c>
      <c r="D108" s="1">
        <v>41775</v>
      </c>
      <c r="E108" t="s">
        <v>35</v>
      </c>
      <c r="F108" t="s">
        <v>1</v>
      </c>
      <c r="G108" s="5">
        <v>664</v>
      </c>
      <c r="J108" t="e">
        <f>#REF!/#REF!</f>
        <v>#REF!</v>
      </c>
      <c r="K108"/>
      <c r="L108"/>
      <c r="T108"/>
      <c r="AI108"/>
      <c r="AJ108"/>
    </row>
    <row r="109" spans="1:36" x14ac:dyDescent="0.25">
      <c r="A109" t="s">
        <v>516</v>
      </c>
      <c r="B109" t="s">
        <v>143</v>
      </c>
      <c r="C109" t="s">
        <v>620</v>
      </c>
      <c r="D109" s="1">
        <v>41775</v>
      </c>
      <c r="E109" t="s">
        <v>35</v>
      </c>
      <c r="F109" t="s">
        <v>2</v>
      </c>
      <c r="G109" s="5">
        <v>99.6</v>
      </c>
      <c r="J109" t="e">
        <f>#REF!/#REF!</f>
        <v>#REF!</v>
      </c>
      <c r="K109"/>
      <c r="L109"/>
      <c r="T109"/>
      <c r="AI109"/>
      <c r="AJ109"/>
    </row>
    <row r="110" spans="1:36" x14ac:dyDescent="0.25">
      <c r="A110" t="s">
        <v>516</v>
      </c>
      <c r="B110" t="s">
        <v>143</v>
      </c>
      <c r="C110" t="s">
        <v>620</v>
      </c>
      <c r="D110" s="1">
        <v>41775</v>
      </c>
      <c r="E110" t="s">
        <v>35</v>
      </c>
      <c r="F110" t="s">
        <v>184</v>
      </c>
      <c r="G110" s="5">
        <v>1660</v>
      </c>
      <c r="K110" s="5" t="e">
        <f>Folha_Rainha[[#Totals],[Valor]]-#REF!</f>
        <v>#REF!</v>
      </c>
      <c r="O110" t="e">
        <f>#REF!/#REF!</f>
        <v>#REF!</v>
      </c>
      <c r="T110"/>
      <c r="AI110"/>
      <c r="AJ110"/>
    </row>
    <row r="111" spans="1:36" x14ac:dyDescent="0.25">
      <c r="A111" t="s">
        <v>516</v>
      </c>
      <c r="B111" t="s">
        <v>143</v>
      </c>
      <c r="C111" t="s">
        <v>620</v>
      </c>
      <c r="D111" s="1">
        <v>41775</v>
      </c>
      <c r="E111" t="s">
        <v>35</v>
      </c>
      <c r="F111" t="s">
        <v>184</v>
      </c>
      <c r="G111" s="5">
        <v>5559</v>
      </c>
      <c r="O111" t="e">
        <f>#REF!/#REF!</f>
        <v>#REF!</v>
      </c>
      <c r="T111"/>
      <c r="AI111"/>
      <c r="AJ111"/>
    </row>
    <row r="112" spans="1:36" hidden="1" x14ac:dyDescent="0.25">
      <c r="A112" t="s">
        <v>513</v>
      </c>
      <c r="B112" t="s">
        <v>106</v>
      </c>
      <c r="C112" t="s">
        <v>105</v>
      </c>
      <c r="D112" s="1">
        <v>43222</v>
      </c>
      <c r="E112" t="s">
        <v>276</v>
      </c>
      <c r="F112" t="s">
        <v>417</v>
      </c>
      <c r="G112" s="5">
        <v>1366.2</v>
      </c>
      <c r="O112" t="e">
        <f>#REF!/#REF!</f>
        <v>#REF!</v>
      </c>
      <c r="T112"/>
      <c r="AI112"/>
      <c r="AJ112"/>
    </row>
    <row r="113" spans="1:36" hidden="1" x14ac:dyDescent="0.25">
      <c r="A113" t="s">
        <v>513</v>
      </c>
      <c r="B113" t="s">
        <v>106</v>
      </c>
      <c r="C113" t="s">
        <v>105</v>
      </c>
      <c r="D113" s="1">
        <v>43222</v>
      </c>
      <c r="E113" t="s">
        <v>276</v>
      </c>
      <c r="F113" t="s">
        <v>1</v>
      </c>
      <c r="G113" s="5">
        <v>607.20000000000005</v>
      </c>
      <c r="O113" t="e">
        <f>#REF!/#REF!</f>
        <v>#REF!</v>
      </c>
      <c r="T113"/>
      <c r="AI113"/>
      <c r="AJ113"/>
    </row>
    <row r="114" spans="1:36" hidden="1" x14ac:dyDescent="0.25">
      <c r="A114" t="s">
        <v>513</v>
      </c>
      <c r="B114" t="s">
        <v>106</v>
      </c>
      <c r="C114" t="s">
        <v>105</v>
      </c>
      <c r="D114" s="1">
        <v>43222</v>
      </c>
      <c r="E114" t="s">
        <v>276</v>
      </c>
      <c r="F114" t="s">
        <v>184</v>
      </c>
      <c r="G114" s="5">
        <v>1518</v>
      </c>
      <c r="O114" t="e">
        <f>#REF!/#REF!</f>
        <v>#REF!</v>
      </c>
      <c r="T114"/>
      <c r="AI114"/>
      <c r="AJ114"/>
    </row>
    <row r="115" spans="1:36" hidden="1" x14ac:dyDescent="0.25">
      <c r="A115" t="s">
        <v>513</v>
      </c>
      <c r="B115" t="s">
        <v>236</v>
      </c>
      <c r="C115" t="s">
        <v>105</v>
      </c>
      <c r="D115" s="1">
        <v>44637</v>
      </c>
      <c r="E115" t="s">
        <v>35</v>
      </c>
      <c r="F115" t="s">
        <v>417</v>
      </c>
      <c r="G115" s="5">
        <v>1518</v>
      </c>
      <c r="O115" t="e">
        <f>#REF!/#REF!</f>
        <v>#REF!</v>
      </c>
      <c r="T115"/>
      <c r="AI115"/>
      <c r="AJ115"/>
    </row>
    <row r="116" spans="1:36" hidden="1" x14ac:dyDescent="0.25">
      <c r="A116" t="s">
        <v>513</v>
      </c>
      <c r="B116" t="s">
        <v>236</v>
      </c>
      <c r="C116" t="s">
        <v>105</v>
      </c>
      <c r="D116" s="1">
        <v>44637</v>
      </c>
      <c r="E116" t="s">
        <v>35</v>
      </c>
      <c r="F116" t="s">
        <v>1</v>
      </c>
      <c r="G116" s="5">
        <v>607.20000000000005</v>
      </c>
      <c r="O116" t="e">
        <f>#REF!/#REF!</f>
        <v>#REF!</v>
      </c>
      <c r="T116"/>
      <c r="AI116"/>
      <c r="AJ116"/>
    </row>
    <row r="117" spans="1:36" hidden="1" x14ac:dyDescent="0.25">
      <c r="A117" t="s">
        <v>513</v>
      </c>
      <c r="B117" t="s">
        <v>236</v>
      </c>
      <c r="C117" t="s">
        <v>105</v>
      </c>
      <c r="D117" s="1">
        <v>44637</v>
      </c>
      <c r="E117" t="s">
        <v>35</v>
      </c>
      <c r="F117" t="s">
        <v>184</v>
      </c>
      <c r="G117" s="5">
        <v>1518</v>
      </c>
      <c r="O117" t="e">
        <f>#REF!/#REF!</f>
        <v>#REF!</v>
      </c>
      <c r="T117"/>
      <c r="AI117"/>
      <c r="AJ117"/>
    </row>
    <row r="118" spans="1:36" hidden="1" x14ac:dyDescent="0.25">
      <c r="A118" t="s">
        <v>513</v>
      </c>
      <c r="B118" t="s">
        <v>621</v>
      </c>
      <c r="C118" t="s">
        <v>109</v>
      </c>
      <c r="D118" s="1">
        <v>45731</v>
      </c>
      <c r="E118" t="s">
        <v>35</v>
      </c>
      <c r="F118" t="s">
        <v>417</v>
      </c>
      <c r="G118" s="5">
        <v>1518</v>
      </c>
      <c r="O118" t="e">
        <f>#REF!/#REF!</f>
        <v>#REF!</v>
      </c>
      <c r="T118"/>
      <c r="AI118"/>
      <c r="AJ118"/>
    </row>
    <row r="119" spans="1:36" hidden="1" x14ac:dyDescent="0.25">
      <c r="A119" t="s">
        <v>513</v>
      </c>
      <c r="B119" t="s">
        <v>621</v>
      </c>
      <c r="C119" t="s">
        <v>109</v>
      </c>
      <c r="D119" s="1">
        <v>45731</v>
      </c>
      <c r="E119" t="s">
        <v>35</v>
      </c>
      <c r="F119" t="s">
        <v>1</v>
      </c>
      <c r="G119" s="5">
        <v>607.20000000000005</v>
      </c>
      <c r="O119" t="e">
        <f>#REF!/#REF!</f>
        <v>#REF!</v>
      </c>
      <c r="T119"/>
      <c r="AI119"/>
      <c r="AJ119"/>
    </row>
    <row r="120" spans="1:36" hidden="1" x14ac:dyDescent="0.25">
      <c r="A120" t="s">
        <v>513</v>
      </c>
      <c r="B120" t="s">
        <v>621</v>
      </c>
      <c r="C120" t="s">
        <v>109</v>
      </c>
      <c r="D120" s="1">
        <v>45731</v>
      </c>
      <c r="E120" t="s">
        <v>35</v>
      </c>
      <c r="F120" t="s">
        <v>184</v>
      </c>
      <c r="G120" s="5">
        <v>1518</v>
      </c>
      <c r="O120" t="e">
        <f>#REF!/#REF!</f>
        <v>#REF!</v>
      </c>
      <c r="T120"/>
      <c r="AI120"/>
      <c r="AJ120"/>
    </row>
    <row r="121" spans="1:36" hidden="1" x14ac:dyDescent="0.25">
      <c r="A121" t="s">
        <v>513</v>
      </c>
      <c r="B121" t="s">
        <v>585</v>
      </c>
      <c r="C121" t="s">
        <v>109</v>
      </c>
      <c r="D121" s="1">
        <v>45731</v>
      </c>
      <c r="E121" t="s">
        <v>35</v>
      </c>
      <c r="F121" t="s">
        <v>417</v>
      </c>
      <c r="G121" s="5">
        <v>1518</v>
      </c>
      <c r="O121" t="e">
        <f>#REF!/#REF!</f>
        <v>#REF!</v>
      </c>
      <c r="T121"/>
      <c r="AI121"/>
      <c r="AJ121"/>
    </row>
    <row r="122" spans="1:36" hidden="1" x14ac:dyDescent="0.25">
      <c r="A122" t="s">
        <v>513</v>
      </c>
      <c r="B122" t="s">
        <v>585</v>
      </c>
      <c r="C122" t="s">
        <v>109</v>
      </c>
      <c r="D122" s="1">
        <v>45731</v>
      </c>
      <c r="E122" t="s">
        <v>35</v>
      </c>
      <c r="F122" t="s">
        <v>1</v>
      </c>
      <c r="G122" s="5">
        <v>607.20000000000005</v>
      </c>
      <c r="O122" t="e">
        <f>#REF!/#REF!</f>
        <v>#REF!</v>
      </c>
      <c r="T122"/>
      <c r="AI122"/>
      <c r="AJ122"/>
    </row>
    <row r="123" spans="1:36" hidden="1" x14ac:dyDescent="0.25">
      <c r="A123" t="s">
        <v>513</v>
      </c>
      <c r="B123" t="s">
        <v>585</v>
      </c>
      <c r="C123" t="s">
        <v>109</v>
      </c>
      <c r="D123" s="1">
        <v>45731</v>
      </c>
      <c r="E123" t="s">
        <v>35</v>
      </c>
      <c r="F123" t="s">
        <v>184</v>
      </c>
      <c r="G123" s="5">
        <v>1518</v>
      </c>
      <c r="O123" t="e">
        <f>#REF!/#REF!</f>
        <v>#REF!</v>
      </c>
      <c r="T123"/>
      <c r="AI123"/>
      <c r="AJ123"/>
    </row>
    <row r="124" spans="1:36" hidden="1" x14ac:dyDescent="0.25">
      <c r="A124" t="s">
        <v>513</v>
      </c>
      <c r="B124" t="s">
        <v>533</v>
      </c>
      <c r="C124" t="s">
        <v>109</v>
      </c>
      <c r="D124" s="1">
        <v>45390</v>
      </c>
      <c r="E124" t="s">
        <v>35</v>
      </c>
      <c r="F124" t="s">
        <v>417</v>
      </c>
      <c r="G124" s="5">
        <v>1518</v>
      </c>
      <c r="O124" t="e">
        <f>#REF!/#REF!</f>
        <v>#REF!</v>
      </c>
      <c r="T124"/>
      <c r="AI124"/>
      <c r="AJ124"/>
    </row>
    <row r="125" spans="1:36" hidden="1" x14ac:dyDescent="0.25">
      <c r="A125" t="s">
        <v>513</v>
      </c>
      <c r="B125" t="s">
        <v>533</v>
      </c>
      <c r="C125" t="s">
        <v>109</v>
      </c>
      <c r="D125" s="1">
        <v>45390</v>
      </c>
      <c r="E125" t="s">
        <v>35</v>
      </c>
      <c r="F125" t="s">
        <v>1</v>
      </c>
      <c r="G125" s="5">
        <v>607.20000000000005</v>
      </c>
      <c r="O125" t="e">
        <f>#REF!/#REF!</f>
        <v>#REF!</v>
      </c>
      <c r="T125"/>
      <c r="AI125"/>
      <c r="AJ125"/>
    </row>
    <row r="126" spans="1:36" hidden="1" x14ac:dyDescent="0.25">
      <c r="A126" t="s">
        <v>513</v>
      </c>
      <c r="B126" t="s">
        <v>533</v>
      </c>
      <c r="C126" t="s">
        <v>109</v>
      </c>
      <c r="D126" s="1">
        <v>45390</v>
      </c>
      <c r="E126" t="s">
        <v>35</v>
      </c>
      <c r="F126" t="s">
        <v>184</v>
      </c>
      <c r="G126" s="5">
        <v>1518</v>
      </c>
      <c r="O126" t="e">
        <f>#REF!/#REF!</f>
        <v>#REF!</v>
      </c>
      <c r="T126"/>
      <c r="AI126"/>
      <c r="AJ126"/>
    </row>
    <row r="127" spans="1:36" hidden="1" x14ac:dyDescent="0.25">
      <c r="A127" t="s">
        <v>513</v>
      </c>
      <c r="B127" t="s">
        <v>608</v>
      </c>
      <c r="C127" t="s">
        <v>109</v>
      </c>
      <c r="D127" s="1">
        <v>45674</v>
      </c>
      <c r="E127" t="s">
        <v>35</v>
      </c>
      <c r="F127" t="s">
        <v>417</v>
      </c>
      <c r="G127" s="5">
        <v>1518</v>
      </c>
      <c r="O127" t="e">
        <f>#REF!/#REF!</f>
        <v>#REF!</v>
      </c>
      <c r="T127"/>
      <c r="AI127"/>
      <c r="AJ127"/>
    </row>
    <row r="128" spans="1:36" hidden="1" x14ac:dyDescent="0.25">
      <c r="A128" t="s">
        <v>513</v>
      </c>
      <c r="B128" t="s">
        <v>608</v>
      </c>
      <c r="C128" t="s">
        <v>109</v>
      </c>
      <c r="D128" s="1">
        <v>45674</v>
      </c>
      <c r="E128" t="s">
        <v>35</v>
      </c>
      <c r="F128" t="s">
        <v>9</v>
      </c>
      <c r="G128" s="5">
        <v>50.58</v>
      </c>
      <c r="O128" t="e">
        <f>#REF!/#REF!</f>
        <v>#REF!</v>
      </c>
      <c r="T128"/>
      <c r="AI128"/>
      <c r="AJ128"/>
    </row>
    <row r="129" spans="1:36" hidden="1" x14ac:dyDescent="0.25">
      <c r="A129" t="s">
        <v>513</v>
      </c>
      <c r="B129" t="s">
        <v>608</v>
      </c>
      <c r="C129" t="s">
        <v>109</v>
      </c>
      <c r="D129" s="1">
        <v>45674</v>
      </c>
      <c r="E129" t="s">
        <v>35</v>
      </c>
      <c r="F129" t="s">
        <v>1</v>
      </c>
      <c r="G129" s="5">
        <v>607.20000000000005</v>
      </c>
      <c r="O129" t="e">
        <f>#REF!/#REF!</f>
        <v>#REF!</v>
      </c>
      <c r="T129"/>
      <c r="AI129"/>
      <c r="AJ129"/>
    </row>
    <row r="130" spans="1:36" hidden="1" x14ac:dyDescent="0.25">
      <c r="A130" t="s">
        <v>513</v>
      </c>
      <c r="B130" t="s">
        <v>608</v>
      </c>
      <c r="C130" t="s">
        <v>109</v>
      </c>
      <c r="D130" s="1">
        <v>45674</v>
      </c>
      <c r="E130" t="s">
        <v>35</v>
      </c>
      <c r="F130" t="s">
        <v>8</v>
      </c>
      <c r="G130" s="5">
        <v>50.58</v>
      </c>
      <c r="O130" t="e">
        <f>#REF!/#REF!</f>
        <v>#REF!</v>
      </c>
      <c r="T130"/>
      <c r="AI130"/>
      <c r="AJ130"/>
    </row>
    <row r="131" spans="1:36" hidden="1" x14ac:dyDescent="0.25">
      <c r="A131" t="s">
        <v>513</v>
      </c>
      <c r="B131" t="s">
        <v>608</v>
      </c>
      <c r="C131" t="s">
        <v>109</v>
      </c>
      <c r="D131" s="1">
        <v>45674</v>
      </c>
      <c r="E131" t="s">
        <v>35</v>
      </c>
      <c r="F131" t="s">
        <v>184</v>
      </c>
      <c r="G131" s="5">
        <v>1518</v>
      </c>
      <c r="O131" t="e">
        <f>#REF!/#REF!</f>
        <v>#REF!</v>
      </c>
      <c r="T131"/>
      <c r="AI131"/>
      <c r="AJ131"/>
    </row>
    <row r="132" spans="1:36" hidden="1" x14ac:dyDescent="0.25">
      <c r="A132" t="s">
        <v>513</v>
      </c>
      <c r="B132" t="s">
        <v>589</v>
      </c>
      <c r="C132" t="s">
        <v>105</v>
      </c>
      <c r="D132" s="1">
        <v>45731</v>
      </c>
      <c r="E132" t="s">
        <v>35</v>
      </c>
      <c r="F132" t="s">
        <v>417</v>
      </c>
      <c r="G132" s="5">
        <v>1518</v>
      </c>
      <c r="O132" t="e">
        <f>#REF!/#REF!</f>
        <v>#REF!</v>
      </c>
      <c r="T132"/>
      <c r="AI132"/>
      <c r="AJ132"/>
    </row>
    <row r="133" spans="1:36" hidden="1" x14ac:dyDescent="0.25">
      <c r="A133" t="s">
        <v>513</v>
      </c>
      <c r="B133" t="s">
        <v>589</v>
      </c>
      <c r="C133" t="s">
        <v>105</v>
      </c>
      <c r="D133" s="1">
        <v>45731</v>
      </c>
      <c r="E133" t="s">
        <v>35</v>
      </c>
      <c r="F133" t="s">
        <v>9</v>
      </c>
      <c r="G133" s="5">
        <v>34.5</v>
      </c>
      <c r="O133" t="e">
        <f>#REF!/#REF!</f>
        <v>#REF!</v>
      </c>
      <c r="T133"/>
      <c r="AI133"/>
      <c r="AJ133"/>
    </row>
    <row r="134" spans="1:36" hidden="1" x14ac:dyDescent="0.25">
      <c r="A134" t="s">
        <v>513</v>
      </c>
      <c r="B134" t="s">
        <v>589</v>
      </c>
      <c r="C134" t="s">
        <v>105</v>
      </c>
      <c r="D134" s="1">
        <v>45731</v>
      </c>
      <c r="E134" t="s">
        <v>35</v>
      </c>
      <c r="F134" t="s">
        <v>1</v>
      </c>
      <c r="G134" s="5">
        <v>607.20000000000005</v>
      </c>
      <c r="O134" t="e">
        <f>#REF!/#REF!</f>
        <v>#REF!</v>
      </c>
      <c r="T134"/>
      <c r="AI134"/>
      <c r="AJ134"/>
    </row>
    <row r="135" spans="1:36" hidden="1" x14ac:dyDescent="0.25">
      <c r="A135" t="s">
        <v>513</v>
      </c>
      <c r="B135" t="s">
        <v>589</v>
      </c>
      <c r="C135" t="s">
        <v>105</v>
      </c>
      <c r="D135" s="1">
        <v>45731</v>
      </c>
      <c r="E135" t="s">
        <v>35</v>
      </c>
      <c r="F135" t="s">
        <v>559</v>
      </c>
      <c r="G135" s="5">
        <v>34.5</v>
      </c>
      <c r="O135" t="e">
        <f>#REF!/#REF!</f>
        <v>#REF!</v>
      </c>
      <c r="T135"/>
      <c r="AI135"/>
      <c r="AJ135"/>
    </row>
    <row r="136" spans="1:36" hidden="1" x14ac:dyDescent="0.25">
      <c r="A136" t="s">
        <v>513</v>
      </c>
      <c r="B136" t="s">
        <v>589</v>
      </c>
      <c r="C136" t="s">
        <v>105</v>
      </c>
      <c r="D136" s="1">
        <v>45731</v>
      </c>
      <c r="E136" t="s">
        <v>35</v>
      </c>
      <c r="F136" t="s">
        <v>184</v>
      </c>
      <c r="G136" s="5">
        <v>1518</v>
      </c>
      <c r="O136" t="e">
        <f>#REF!/#REF!</f>
        <v>#REF!</v>
      </c>
      <c r="T136"/>
      <c r="AI136"/>
      <c r="AJ136"/>
    </row>
    <row r="137" spans="1:36" hidden="1" x14ac:dyDescent="0.25">
      <c r="A137" t="s">
        <v>513</v>
      </c>
      <c r="B137" t="s">
        <v>595</v>
      </c>
      <c r="C137" t="s">
        <v>109</v>
      </c>
      <c r="D137" s="1">
        <v>45731</v>
      </c>
      <c r="E137" t="s">
        <v>35</v>
      </c>
      <c r="F137" t="s">
        <v>417</v>
      </c>
      <c r="G137" s="5">
        <v>1518</v>
      </c>
      <c r="O137" t="e">
        <f>#REF!/#REF!</f>
        <v>#REF!</v>
      </c>
      <c r="T137"/>
      <c r="AI137"/>
      <c r="AJ137"/>
    </row>
    <row r="138" spans="1:36" hidden="1" x14ac:dyDescent="0.25">
      <c r="A138" t="s">
        <v>513</v>
      </c>
      <c r="B138" t="s">
        <v>595</v>
      </c>
      <c r="C138" t="s">
        <v>109</v>
      </c>
      <c r="D138" s="1">
        <v>45731</v>
      </c>
      <c r="E138" t="s">
        <v>35</v>
      </c>
      <c r="F138" t="s">
        <v>1</v>
      </c>
      <c r="G138" s="5">
        <v>607.20000000000005</v>
      </c>
      <c r="O138" t="e">
        <f>#REF!/#REF!</f>
        <v>#REF!</v>
      </c>
      <c r="T138"/>
      <c r="AI138"/>
      <c r="AJ138"/>
    </row>
    <row r="139" spans="1:36" hidden="1" x14ac:dyDescent="0.25">
      <c r="A139" t="s">
        <v>513</v>
      </c>
      <c r="B139" t="s">
        <v>595</v>
      </c>
      <c r="C139" t="s">
        <v>109</v>
      </c>
      <c r="D139" s="1">
        <v>45731</v>
      </c>
      <c r="E139" t="s">
        <v>35</v>
      </c>
      <c r="F139" t="s">
        <v>184</v>
      </c>
      <c r="G139" s="5">
        <v>1518</v>
      </c>
      <c r="O139" t="e">
        <f>#REF!/#REF!</f>
        <v>#REF!</v>
      </c>
      <c r="T139"/>
      <c r="AI139"/>
      <c r="AJ139"/>
    </row>
    <row r="140" spans="1:36" hidden="1" x14ac:dyDescent="0.25">
      <c r="A140" t="s">
        <v>513</v>
      </c>
      <c r="B140" t="s">
        <v>545</v>
      </c>
      <c r="C140" t="s">
        <v>105</v>
      </c>
      <c r="D140" s="1">
        <v>45752</v>
      </c>
      <c r="E140" t="s">
        <v>35</v>
      </c>
      <c r="F140" t="s">
        <v>417</v>
      </c>
      <c r="G140" s="5">
        <v>1518</v>
      </c>
      <c r="O140" t="e">
        <f>#REF!/#REF!</f>
        <v>#REF!</v>
      </c>
      <c r="T140"/>
      <c r="AI140"/>
      <c r="AJ140"/>
    </row>
    <row r="141" spans="1:36" hidden="1" x14ac:dyDescent="0.25">
      <c r="A141" t="s">
        <v>513</v>
      </c>
      <c r="B141" t="s">
        <v>545</v>
      </c>
      <c r="C141" t="s">
        <v>105</v>
      </c>
      <c r="D141" s="1">
        <v>45752</v>
      </c>
      <c r="E141" t="s">
        <v>35</v>
      </c>
      <c r="F141" t="s">
        <v>1</v>
      </c>
      <c r="G141" s="5">
        <v>607.20000000000005</v>
      </c>
      <c r="O141" t="e">
        <f>#REF!/#REF!</f>
        <v>#REF!</v>
      </c>
      <c r="T141"/>
      <c r="AI141"/>
      <c r="AJ141"/>
    </row>
    <row r="142" spans="1:36" hidden="1" x14ac:dyDescent="0.25">
      <c r="A142" t="s">
        <v>513</v>
      </c>
      <c r="B142" t="s">
        <v>545</v>
      </c>
      <c r="C142" t="s">
        <v>105</v>
      </c>
      <c r="D142" s="1">
        <v>45752</v>
      </c>
      <c r="E142" t="s">
        <v>35</v>
      </c>
      <c r="F142" t="s">
        <v>184</v>
      </c>
      <c r="G142" s="5">
        <v>1518</v>
      </c>
      <c r="O142" t="e">
        <f>#REF!/#REF!</f>
        <v>#REF!</v>
      </c>
      <c r="T142"/>
      <c r="AI142"/>
      <c r="AJ142"/>
    </row>
    <row r="143" spans="1:36" hidden="1" x14ac:dyDescent="0.25">
      <c r="A143" t="s">
        <v>513</v>
      </c>
      <c r="B143" t="s">
        <v>240</v>
      </c>
      <c r="C143" t="s">
        <v>105</v>
      </c>
      <c r="D143" s="1">
        <v>44613</v>
      </c>
      <c r="E143" t="s">
        <v>35</v>
      </c>
      <c r="F143" t="s">
        <v>417</v>
      </c>
      <c r="G143" s="5">
        <v>1518</v>
      </c>
      <c r="O143" t="e">
        <f>#REF!/#REF!</f>
        <v>#REF!</v>
      </c>
      <c r="T143"/>
      <c r="AI143"/>
      <c r="AJ143"/>
    </row>
    <row r="144" spans="1:36" hidden="1" x14ac:dyDescent="0.25">
      <c r="A144" t="s">
        <v>513</v>
      </c>
      <c r="B144" t="s">
        <v>240</v>
      </c>
      <c r="C144" t="s">
        <v>105</v>
      </c>
      <c r="D144" s="1">
        <v>44613</v>
      </c>
      <c r="E144" t="s">
        <v>35</v>
      </c>
      <c r="F144" t="s">
        <v>7</v>
      </c>
      <c r="G144" s="5">
        <v>65</v>
      </c>
      <c r="O144" t="e">
        <f>#REF!/#REF!</f>
        <v>#REF!</v>
      </c>
      <c r="T144"/>
      <c r="AI144"/>
      <c r="AJ144"/>
    </row>
    <row r="145" spans="1:36" hidden="1" x14ac:dyDescent="0.25">
      <c r="A145" t="s">
        <v>513</v>
      </c>
      <c r="B145" t="s">
        <v>240</v>
      </c>
      <c r="C145" t="s">
        <v>105</v>
      </c>
      <c r="D145" s="1">
        <v>44613</v>
      </c>
      <c r="E145" t="s">
        <v>35</v>
      </c>
      <c r="F145" t="s">
        <v>622</v>
      </c>
      <c r="G145" s="5">
        <v>114</v>
      </c>
      <c r="O145" t="e">
        <f>#REF!/#REF!</f>
        <v>#REF!</v>
      </c>
      <c r="T145"/>
      <c r="AI145"/>
      <c r="AJ145"/>
    </row>
    <row r="146" spans="1:36" hidden="1" x14ac:dyDescent="0.25">
      <c r="A146" t="s">
        <v>513</v>
      </c>
      <c r="B146" t="s">
        <v>240</v>
      </c>
      <c r="C146" t="s">
        <v>105</v>
      </c>
      <c r="D146" s="1">
        <v>44613</v>
      </c>
      <c r="E146" t="s">
        <v>35</v>
      </c>
      <c r="F146" t="s">
        <v>1</v>
      </c>
      <c r="G146" s="5">
        <v>607.20000000000005</v>
      </c>
      <c r="O146" t="e">
        <f>#REF!/#REF!</f>
        <v>#REF!</v>
      </c>
      <c r="T146"/>
      <c r="AI146"/>
      <c r="AJ146"/>
    </row>
    <row r="147" spans="1:36" hidden="1" x14ac:dyDescent="0.25">
      <c r="A147" t="s">
        <v>513</v>
      </c>
      <c r="B147" t="s">
        <v>240</v>
      </c>
      <c r="C147" t="s">
        <v>105</v>
      </c>
      <c r="D147" s="1">
        <v>44613</v>
      </c>
      <c r="E147" t="s">
        <v>35</v>
      </c>
      <c r="F147" t="s">
        <v>184</v>
      </c>
      <c r="G147" s="5">
        <v>1518</v>
      </c>
      <c r="O147" t="e">
        <f>#REF!/#REF!</f>
        <v>#REF!</v>
      </c>
      <c r="T147"/>
      <c r="AI147"/>
      <c r="AJ147"/>
    </row>
    <row r="148" spans="1:36" hidden="1" x14ac:dyDescent="0.25">
      <c r="A148" t="s">
        <v>513</v>
      </c>
      <c r="B148" t="s">
        <v>590</v>
      </c>
      <c r="C148" t="s">
        <v>109</v>
      </c>
      <c r="D148" s="1">
        <v>45731</v>
      </c>
      <c r="E148" t="s">
        <v>35</v>
      </c>
      <c r="F148" t="s">
        <v>417</v>
      </c>
      <c r="G148" s="5">
        <v>1518</v>
      </c>
      <c r="O148" t="e">
        <f>#REF!/#REF!</f>
        <v>#REF!</v>
      </c>
      <c r="T148"/>
      <c r="AI148"/>
      <c r="AJ148"/>
    </row>
    <row r="149" spans="1:36" hidden="1" x14ac:dyDescent="0.25">
      <c r="A149" t="s">
        <v>513</v>
      </c>
      <c r="B149" t="s">
        <v>590</v>
      </c>
      <c r="C149" t="s">
        <v>109</v>
      </c>
      <c r="D149" s="1">
        <v>45731</v>
      </c>
      <c r="E149" t="s">
        <v>35</v>
      </c>
      <c r="F149" t="s">
        <v>1</v>
      </c>
      <c r="G149" s="5">
        <v>607.20000000000005</v>
      </c>
      <c r="O149" t="e">
        <f>#REF!/#REF!</f>
        <v>#REF!</v>
      </c>
      <c r="T149"/>
      <c r="AI149"/>
      <c r="AJ149"/>
    </row>
    <row r="150" spans="1:36" hidden="1" x14ac:dyDescent="0.25">
      <c r="A150" t="s">
        <v>513</v>
      </c>
      <c r="B150" t="s">
        <v>590</v>
      </c>
      <c r="C150" t="s">
        <v>109</v>
      </c>
      <c r="D150" s="1">
        <v>45731</v>
      </c>
      <c r="E150" t="s">
        <v>35</v>
      </c>
      <c r="F150" t="s">
        <v>184</v>
      </c>
      <c r="G150" s="5">
        <v>1518</v>
      </c>
      <c r="O150" t="e">
        <f>#REF!/#REF!</f>
        <v>#REF!</v>
      </c>
      <c r="T150"/>
      <c r="AI150"/>
      <c r="AJ150"/>
    </row>
    <row r="151" spans="1:36" hidden="1" x14ac:dyDescent="0.25">
      <c r="A151" t="s">
        <v>513</v>
      </c>
      <c r="B151" t="s">
        <v>115</v>
      </c>
      <c r="C151" t="s">
        <v>109</v>
      </c>
      <c r="D151" s="1">
        <v>43252</v>
      </c>
      <c r="E151" t="s">
        <v>35</v>
      </c>
      <c r="F151" t="s">
        <v>417</v>
      </c>
      <c r="G151" s="5">
        <v>1518</v>
      </c>
      <c r="O151" t="e">
        <f>#REF!/#REF!</f>
        <v>#REF!</v>
      </c>
      <c r="T151"/>
      <c r="AI151"/>
      <c r="AJ151"/>
    </row>
    <row r="152" spans="1:36" hidden="1" x14ac:dyDescent="0.25">
      <c r="A152" t="s">
        <v>513</v>
      </c>
      <c r="B152" t="s">
        <v>115</v>
      </c>
      <c r="C152" t="s">
        <v>109</v>
      </c>
      <c r="D152" s="1">
        <v>43252</v>
      </c>
      <c r="E152" t="s">
        <v>35</v>
      </c>
      <c r="F152" t="s">
        <v>7</v>
      </c>
      <c r="G152" s="5">
        <v>65</v>
      </c>
      <c r="O152" t="e">
        <f>#REF!/#REF!</f>
        <v>#REF!</v>
      </c>
      <c r="T152"/>
      <c r="AI152"/>
      <c r="AJ152"/>
    </row>
    <row r="153" spans="1:36" hidden="1" x14ac:dyDescent="0.25">
      <c r="A153" t="s">
        <v>513</v>
      </c>
      <c r="B153" t="s">
        <v>115</v>
      </c>
      <c r="C153" t="s">
        <v>109</v>
      </c>
      <c r="D153" s="1">
        <v>43252</v>
      </c>
      <c r="E153" t="s">
        <v>35</v>
      </c>
      <c r="F153" t="s">
        <v>1</v>
      </c>
      <c r="G153" s="5">
        <v>607.20000000000005</v>
      </c>
      <c r="O153" t="e">
        <f>#REF!/#REF!</f>
        <v>#REF!</v>
      </c>
      <c r="T153"/>
      <c r="AI153"/>
      <c r="AJ153"/>
    </row>
    <row r="154" spans="1:36" hidden="1" x14ac:dyDescent="0.25">
      <c r="A154" t="s">
        <v>513</v>
      </c>
      <c r="B154" t="s">
        <v>115</v>
      </c>
      <c r="C154" t="s">
        <v>109</v>
      </c>
      <c r="D154" s="1">
        <v>43252</v>
      </c>
      <c r="E154" t="s">
        <v>35</v>
      </c>
      <c r="F154" t="s">
        <v>184</v>
      </c>
      <c r="G154" s="5">
        <v>1518</v>
      </c>
      <c r="O154" t="e">
        <f>#REF!/#REF!</f>
        <v>#REF!</v>
      </c>
      <c r="T154"/>
      <c r="AI154"/>
      <c r="AJ154"/>
    </row>
    <row r="155" spans="1:36" hidden="1" x14ac:dyDescent="0.25">
      <c r="A155" t="s">
        <v>513</v>
      </c>
      <c r="B155" t="s">
        <v>116</v>
      </c>
      <c r="C155" t="s">
        <v>105</v>
      </c>
      <c r="D155" s="1">
        <v>44216</v>
      </c>
      <c r="E155" t="s">
        <v>35</v>
      </c>
      <c r="F155" t="s">
        <v>417</v>
      </c>
      <c r="G155" s="5">
        <v>253</v>
      </c>
      <c r="O155" t="e">
        <f>#REF!/#REF!</f>
        <v>#REF!</v>
      </c>
      <c r="T155"/>
      <c r="AI155"/>
      <c r="AJ155"/>
    </row>
    <row r="156" spans="1:36" hidden="1" x14ac:dyDescent="0.25">
      <c r="A156" t="s">
        <v>513</v>
      </c>
      <c r="B156" t="s">
        <v>116</v>
      </c>
      <c r="C156" t="s">
        <v>105</v>
      </c>
      <c r="D156" s="1">
        <v>44216</v>
      </c>
      <c r="E156" t="s">
        <v>35</v>
      </c>
      <c r="F156" t="s">
        <v>705</v>
      </c>
      <c r="G156" s="5">
        <v>506</v>
      </c>
      <c r="O156" t="e">
        <f>#REF!/#REF!</f>
        <v>#REF!</v>
      </c>
      <c r="T156"/>
      <c r="AI156"/>
      <c r="AJ156"/>
    </row>
    <row r="157" spans="1:36" hidden="1" x14ac:dyDescent="0.25">
      <c r="A157" t="s">
        <v>513</v>
      </c>
      <c r="B157" t="s">
        <v>116</v>
      </c>
      <c r="C157" t="s">
        <v>105</v>
      </c>
      <c r="D157" s="1">
        <v>44216</v>
      </c>
      <c r="E157" t="s">
        <v>35</v>
      </c>
      <c r="F157" t="s">
        <v>617</v>
      </c>
      <c r="G157" s="5">
        <v>759</v>
      </c>
      <c r="O157" t="e">
        <f>#REF!/#REF!</f>
        <v>#REF!</v>
      </c>
      <c r="T157"/>
      <c r="AI157"/>
      <c r="AJ157"/>
    </row>
    <row r="158" spans="1:36" hidden="1" x14ac:dyDescent="0.25">
      <c r="A158" t="s">
        <v>513</v>
      </c>
      <c r="B158" t="s">
        <v>116</v>
      </c>
      <c r="C158" t="s">
        <v>105</v>
      </c>
      <c r="D158" s="1">
        <v>44216</v>
      </c>
      <c r="E158" t="s">
        <v>35</v>
      </c>
      <c r="F158" t="s">
        <v>7</v>
      </c>
      <c r="G158" s="5">
        <v>130</v>
      </c>
      <c r="O158" t="e">
        <f>#REF!/#REF!</f>
        <v>#REF!</v>
      </c>
      <c r="T158"/>
      <c r="AI158"/>
      <c r="AJ158"/>
    </row>
    <row r="159" spans="1:36" hidden="1" x14ac:dyDescent="0.25">
      <c r="A159" t="s">
        <v>513</v>
      </c>
      <c r="B159" t="s">
        <v>116</v>
      </c>
      <c r="C159" t="s">
        <v>105</v>
      </c>
      <c r="D159" s="1">
        <v>44216</v>
      </c>
      <c r="E159" t="s">
        <v>35</v>
      </c>
      <c r="F159" t="s">
        <v>287</v>
      </c>
      <c r="G159" s="5">
        <v>506</v>
      </c>
      <c r="O159" t="e">
        <f>#REF!/#REF!</f>
        <v>#REF!</v>
      </c>
      <c r="T159"/>
      <c r="AI159"/>
      <c r="AJ159"/>
    </row>
    <row r="160" spans="1:36" hidden="1" x14ac:dyDescent="0.25">
      <c r="A160" t="s">
        <v>513</v>
      </c>
      <c r="B160" t="s">
        <v>116</v>
      </c>
      <c r="C160" t="s">
        <v>105</v>
      </c>
      <c r="D160" s="1">
        <v>44216</v>
      </c>
      <c r="E160" t="s">
        <v>35</v>
      </c>
      <c r="F160" t="s">
        <v>184</v>
      </c>
      <c r="G160" s="5">
        <v>1518</v>
      </c>
      <c r="O160" t="e">
        <f>#REF!/#REF!</f>
        <v>#REF!</v>
      </c>
      <c r="T160"/>
      <c r="AI160"/>
      <c r="AJ160"/>
    </row>
    <row r="161" spans="1:36" hidden="1" x14ac:dyDescent="0.25">
      <c r="A161" t="s">
        <v>513</v>
      </c>
      <c r="B161" t="s">
        <v>117</v>
      </c>
      <c r="C161" t="s">
        <v>105</v>
      </c>
      <c r="D161" s="1">
        <v>39266</v>
      </c>
      <c r="E161" t="s">
        <v>35</v>
      </c>
      <c r="F161" t="s">
        <v>417</v>
      </c>
      <c r="G161" s="5">
        <v>1518</v>
      </c>
      <c r="O161" t="e">
        <f>#REF!/#REF!</f>
        <v>#REF!</v>
      </c>
      <c r="T161"/>
      <c r="AI161"/>
      <c r="AJ161"/>
    </row>
    <row r="162" spans="1:36" hidden="1" x14ac:dyDescent="0.25">
      <c r="A162" t="s">
        <v>513</v>
      </c>
      <c r="B162" t="s">
        <v>117</v>
      </c>
      <c r="C162" t="s">
        <v>105</v>
      </c>
      <c r="D162" s="1">
        <v>39266</v>
      </c>
      <c r="E162" t="s">
        <v>35</v>
      </c>
      <c r="F162" t="s">
        <v>21</v>
      </c>
      <c r="G162" s="5">
        <v>45.54</v>
      </c>
      <c r="O162" t="e">
        <f>#REF!/#REF!</f>
        <v>#REF!</v>
      </c>
      <c r="T162"/>
      <c r="AI162"/>
      <c r="AJ162"/>
    </row>
    <row r="163" spans="1:36" hidden="1" x14ac:dyDescent="0.25">
      <c r="A163" t="s">
        <v>513</v>
      </c>
      <c r="B163" t="s">
        <v>117</v>
      </c>
      <c r="C163" t="s">
        <v>105</v>
      </c>
      <c r="D163" s="1">
        <v>39266</v>
      </c>
      <c r="E163" t="s">
        <v>35</v>
      </c>
      <c r="F163" t="s">
        <v>1</v>
      </c>
      <c r="G163" s="5">
        <v>607.20000000000005</v>
      </c>
      <c r="O163" t="e">
        <f>#REF!/#REF!</f>
        <v>#REF!</v>
      </c>
      <c r="T163"/>
      <c r="AI163"/>
      <c r="AJ163"/>
    </row>
    <row r="164" spans="1:36" hidden="1" x14ac:dyDescent="0.25">
      <c r="A164" t="s">
        <v>513</v>
      </c>
      <c r="B164" t="s">
        <v>117</v>
      </c>
      <c r="C164" t="s">
        <v>105</v>
      </c>
      <c r="D164" s="1">
        <v>39266</v>
      </c>
      <c r="E164" t="s">
        <v>35</v>
      </c>
      <c r="F164" t="s">
        <v>184</v>
      </c>
      <c r="G164" s="5">
        <v>1518</v>
      </c>
      <c r="O164" t="e">
        <f>#REF!/#REF!</f>
        <v>#REF!</v>
      </c>
      <c r="T164"/>
      <c r="AI164"/>
      <c r="AJ164"/>
    </row>
    <row r="165" spans="1:36" hidden="1" x14ac:dyDescent="0.25">
      <c r="A165" t="s">
        <v>513</v>
      </c>
      <c r="B165" t="s">
        <v>540</v>
      </c>
      <c r="C165" t="s">
        <v>109</v>
      </c>
      <c r="D165" s="1">
        <v>45444</v>
      </c>
      <c r="E165" t="s">
        <v>35</v>
      </c>
      <c r="F165" t="s">
        <v>417</v>
      </c>
      <c r="G165" s="5">
        <v>1518</v>
      </c>
      <c r="O165" t="e">
        <f>#REF!/#REF!</f>
        <v>#REF!</v>
      </c>
      <c r="T165"/>
      <c r="AI165"/>
      <c r="AJ165"/>
    </row>
    <row r="166" spans="1:36" hidden="1" x14ac:dyDescent="0.25">
      <c r="A166" t="s">
        <v>513</v>
      </c>
      <c r="B166" t="s">
        <v>540</v>
      </c>
      <c r="C166" t="s">
        <v>109</v>
      </c>
      <c r="D166" s="1">
        <v>45444</v>
      </c>
      <c r="E166" t="s">
        <v>35</v>
      </c>
      <c r="F166" t="s">
        <v>9</v>
      </c>
      <c r="G166" s="5">
        <v>34.5</v>
      </c>
      <c r="O166" t="e">
        <f>#REF!/#REF!</f>
        <v>#REF!</v>
      </c>
      <c r="T166"/>
      <c r="AI166"/>
      <c r="AJ166"/>
    </row>
    <row r="167" spans="1:36" hidden="1" x14ac:dyDescent="0.25">
      <c r="A167" t="s">
        <v>513</v>
      </c>
      <c r="B167" t="s">
        <v>540</v>
      </c>
      <c r="C167" t="s">
        <v>109</v>
      </c>
      <c r="D167" s="1">
        <v>45444</v>
      </c>
      <c r="E167" t="s">
        <v>35</v>
      </c>
      <c r="F167" t="s">
        <v>1</v>
      </c>
      <c r="G167" s="5">
        <v>607.20000000000005</v>
      </c>
      <c r="O167" t="e">
        <f>#REF!/#REF!</f>
        <v>#REF!</v>
      </c>
      <c r="T167"/>
      <c r="AI167"/>
      <c r="AJ167"/>
    </row>
    <row r="168" spans="1:36" hidden="1" x14ac:dyDescent="0.25">
      <c r="A168" t="s">
        <v>513</v>
      </c>
      <c r="B168" t="s">
        <v>540</v>
      </c>
      <c r="C168" t="s">
        <v>109</v>
      </c>
      <c r="D168" s="1">
        <v>45444</v>
      </c>
      <c r="E168" t="s">
        <v>35</v>
      </c>
      <c r="F168" t="s">
        <v>559</v>
      </c>
      <c r="G168" s="5">
        <v>34.5</v>
      </c>
      <c r="O168" t="e">
        <f>#REF!/#REF!</f>
        <v>#REF!</v>
      </c>
      <c r="T168"/>
      <c r="AI168"/>
      <c r="AJ168"/>
    </row>
    <row r="169" spans="1:36" hidden="1" x14ac:dyDescent="0.25">
      <c r="A169" t="s">
        <v>513</v>
      </c>
      <c r="B169" t="s">
        <v>540</v>
      </c>
      <c r="C169" t="s">
        <v>109</v>
      </c>
      <c r="D169" s="1">
        <v>45444</v>
      </c>
      <c r="E169" t="s">
        <v>35</v>
      </c>
      <c r="F169" t="s">
        <v>184</v>
      </c>
      <c r="G169" s="5">
        <v>1518</v>
      </c>
      <c r="O169" t="e">
        <f>#REF!/#REF!</f>
        <v>#REF!</v>
      </c>
      <c r="T169"/>
      <c r="AI169"/>
      <c r="AJ169"/>
    </row>
    <row r="170" spans="1:36" hidden="1" x14ac:dyDescent="0.25">
      <c r="A170" t="s">
        <v>513</v>
      </c>
      <c r="B170" t="s">
        <v>602</v>
      </c>
      <c r="C170" t="s">
        <v>105</v>
      </c>
      <c r="D170" s="1">
        <v>45674</v>
      </c>
      <c r="E170" t="s">
        <v>35</v>
      </c>
      <c r="F170" t="s">
        <v>417</v>
      </c>
      <c r="G170" s="5">
        <v>1518</v>
      </c>
      <c r="O170" t="e">
        <f>#REF!/#REF!</f>
        <v>#REF!</v>
      </c>
      <c r="T170"/>
      <c r="AI170"/>
      <c r="AJ170"/>
    </row>
    <row r="171" spans="1:36" hidden="1" x14ac:dyDescent="0.25">
      <c r="A171" t="s">
        <v>513</v>
      </c>
      <c r="B171" t="s">
        <v>602</v>
      </c>
      <c r="C171" t="s">
        <v>105</v>
      </c>
      <c r="D171" s="1">
        <v>45674</v>
      </c>
      <c r="E171" t="s">
        <v>35</v>
      </c>
      <c r="F171" t="s">
        <v>1</v>
      </c>
      <c r="G171" s="5">
        <v>607.20000000000005</v>
      </c>
      <c r="O171" t="e">
        <f>#REF!/#REF!</f>
        <v>#REF!</v>
      </c>
      <c r="T171"/>
      <c r="AI171"/>
      <c r="AJ171"/>
    </row>
    <row r="172" spans="1:36" hidden="1" x14ac:dyDescent="0.25">
      <c r="A172" t="s">
        <v>513</v>
      </c>
      <c r="B172" t="s">
        <v>602</v>
      </c>
      <c r="C172" t="s">
        <v>105</v>
      </c>
      <c r="D172" s="1">
        <v>45674</v>
      </c>
      <c r="E172" t="s">
        <v>35</v>
      </c>
      <c r="F172" t="s">
        <v>184</v>
      </c>
      <c r="G172" s="5">
        <v>1518</v>
      </c>
      <c r="O172" t="e">
        <f>#REF!/#REF!</f>
        <v>#REF!</v>
      </c>
      <c r="T172"/>
      <c r="AI172"/>
      <c r="AJ172"/>
    </row>
    <row r="173" spans="1:36" hidden="1" x14ac:dyDescent="0.25">
      <c r="A173" t="s">
        <v>513</v>
      </c>
      <c r="B173" t="s">
        <v>119</v>
      </c>
      <c r="C173" t="s">
        <v>105</v>
      </c>
      <c r="D173" s="1">
        <v>44216</v>
      </c>
      <c r="E173" t="s">
        <v>35</v>
      </c>
      <c r="F173" t="s">
        <v>417</v>
      </c>
      <c r="G173" s="5">
        <v>1518</v>
      </c>
      <c r="O173" t="e">
        <f>#REF!/#REF!</f>
        <v>#REF!</v>
      </c>
      <c r="T173"/>
      <c r="AI173"/>
      <c r="AJ173"/>
    </row>
    <row r="174" spans="1:36" hidden="1" x14ac:dyDescent="0.25">
      <c r="A174" t="s">
        <v>513</v>
      </c>
      <c r="B174" t="s">
        <v>119</v>
      </c>
      <c r="C174" t="s">
        <v>105</v>
      </c>
      <c r="D174" s="1">
        <v>44216</v>
      </c>
      <c r="E174" t="s">
        <v>35</v>
      </c>
      <c r="F174" t="s">
        <v>1</v>
      </c>
      <c r="G174" s="5">
        <v>607.20000000000005</v>
      </c>
      <c r="O174" t="e">
        <f>#REF!/#REF!</f>
        <v>#REF!</v>
      </c>
      <c r="T174"/>
      <c r="AI174"/>
      <c r="AJ174"/>
    </row>
    <row r="175" spans="1:36" hidden="1" x14ac:dyDescent="0.25">
      <c r="A175" t="s">
        <v>513</v>
      </c>
      <c r="B175" t="s">
        <v>119</v>
      </c>
      <c r="C175" t="s">
        <v>105</v>
      </c>
      <c r="D175" s="1">
        <v>44216</v>
      </c>
      <c r="E175" t="s">
        <v>35</v>
      </c>
      <c r="F175" t="s">
        <v>184</v>
      </c>
      <c r="G175" s="5">
        <v>1518</v>
      </c>
      <c r="O175" t="e">
        <f>#REF!/#REF!</f>
        <v>#REF!</v>
      </c>
      <c r="T175"/>
      <c r="AI175"/>
      <c r="AJ175"/>
    </row>
    <row r="176" spans="1:36" hidden="1" x14ac:dyDescent="0.25">
      <c r="A176" t="s">
        <v>513</v>
      </c>
      <c r="B176" t="s">
        <v>120</v>
      </c>
      <c r="C176" t="s">
        <v>390</v>
      </c>
      <c r="D176" s="1">
        <v>41852</v>
      </c>
      <c r="E176" t="s">
        <v>35</v>
      </c>
      <c r="F176" t="s">
        <v>417</v>
      </c>
      <c r="G176" s="5">
        <v>1518</v>
      </c>
      <c r="O176" t="e">
        <f>#REF!/#REF!</f>
        <v>#REF!</v>
      </c>
      <c r="T176"/>
      <c r="AI176"/>
      <c r="AJ176"/>
    </row>
    <row r="177" spans="1:36" hidden="1" x14ac:dyDescent="0.25">
      <c r="A177" t="s">
        <v>513</v>
      </c>
      <c r="B177" t="s">
        <v>120</v>
      </c>
      <c r="C177" t="s">
        <v>390</v>
      </c>
      <c r="D177" s="1">
        <v>41852</v>
      </c>
      <c r="E177" t="s">
        <v>35</v>
      </c>
      <c r="F177" t="s">
        <v>1</v>
      </c>
      <c r="G177" s="5">
        <v>607.20000000000005</v>
      </c>
      <c r="O177" t="e">
        <f>#REF!/#REF!</f>
        <v>#REF!</v>
      </c>
      <c r="T177"/>
      <c r="AI177"/>
      <c r="AJ177"/>
    </row>
    <row r="178" spans="1:36" hidden="1" x14ac:dyDescent="0.25">
      <c r="A178" t="s">
        <v>513</v>
      </c>
      <c r="B178" t="s">
        <v>120</v>
      </c>
      <c r="C178" t="s">
        <v>390</v>
      </c>
      <c r="D178" s="1">
        <v>41852</v>
      </c>
      <c r="E178" t="s">
        <v>35</v>
      </c>
      <c r="F178" t="s">
        <v>184</v>
      </c>
      <c r="G178" s="5">
        <v>1518</v>
      </c>
      <c r="O178" t="e">
        <f>#REF!/#REF!</f>
        <v>#REF!</v>
      </c>
      <c r="T178"/>
      <c r="AI178"/>
      <c r="AJ178"/>
    </row>
    <row r="179" spans="1:36" hidden="1" x14ac:dyDescent="0.25">
      <c r="A179" t="s">
        <v>513</v>
      </c>
      <c r="B179" t="s">
        <v>121</v>
      </c>
      <c r="C179" t="s">
        <v>105</v>
      </c>
      <c r="D179" s="1">
        <v>44216</v>
      </c>
      <c r="E179" t="s">
        <v>35</v>
      </c>
      <c r="F179" t="s">
        <v>417</v>
      </c>
      <c r="G179" s="5">
        <v>1518</v>
      </c>
      <c r="O179" t="e">
        <f>#REF!/#REF!</f>
        <v>#REF!</v>
      </c>
      <c r="T179"/>
      <c r="AI179"/>
      <c r="AJ179"/>
    </row>
    <row r="180" spans="1:36" hidden="1" x14ac:dyDescent="0.25">
      <c r="A180" t="s">
        <v>513</v>
      </c>
      <c r="B180" t="s">
        <v>121</v>
      </c>
      <c r="C180" t="s">
        <v>105</v>
      </c>
      <c r="D180" s="1">
        <v>44216</v>
      </c>
      <c r="E180" t="s">
        <v>35</v>
      </c>
      <c r="F180" t="s">
        <v>1</v>
      </c>
      <c r="G180" s="5">
        <v>607.20000000000005</v>
      </c>
      <c r="O180" t="e">
        <f>#REF!/#REF!</f>
        <v>#REF!</v>
      </c>
      <c r="T180"/>
      <c r="AI180"/>
      <c r="AJ180"/>
    </row>
    <row r="181" spans="1:36" hidden="1" x14ac:dyDescent="0.25">
      <c r="A181" t="s">
        <v>513</v>
      </c>
      <c r="B181" t="s">
        <v>121</v>
      </c>
      <c r="C181" t="s">
        <v>105</v>
      </c>
      <c r="D181" s="1">
        <v>44216</v>
      </c>
      <c r="E181" t="s">
        <v>35</v>
      </c>
      <c r="F181" t="s">
        <v>184</v>
      </c>
      <c r="G181" s="5">
        <v>1518</v>
      </c>
      <c r="O181" t="e">
        <f>#REF!/#REF!</f>
        <v>#REF!</v>
      </c>
      <c r="T181"/>
      <c r="AI181"/>
      <c r="AJ181"/>
    </row>
    <row r="182" spans="1:36" hidden="1" x14ac:dyDescent="0.25">
      <c r="A182" t="s">
        <v>513</v>
      </c>
      <c r="B182" t="s">
        <v>122</v>
      </c>
      <c r="C182" t="s">
        <v>109</v>
      </c>
      <c r="D182" s="1">
        <v>44173</v>
      </c>
      <c r="E182" t="s">
        <v>35</v>
      </c>
      <c r="F182" t="s">
        <v>417</v>
      </c>
      <c r="G182" s="5">
        <v>1518</v>
      </c>
      <c r="O182" t="e">
        <f>#REF!/#REF!</f>
        <v>#REF!</v>
      </c>
      <c r="T182"/>
      <c r="AI182"/>
      <c r="AJ182"/>
    </row>
    <row r="183" spans="1:36" hidden="1" x14ac:dyDescent="0.25">
      <c r="A183" t="s">
        <v>513</v>
      </c>
      <c r="B183" t="s">
        <v>122</v>
      </c>
      <c r="C183" t="s">
        <v>109</v>
      </c>
      <c r="D183" s="1">
        <v>44173</v>
      </c>
      <c r="E183" t="s">
        <v>35</v>
      </c>
      <c r="F183" t="s">
        <v>1</v>
      </c>
      <c r="G183" s="5">
        <v>607.20000000000005</v>
      </c>
      <c r="O183" t="e">
        <f>#REF!/#REF!</f>
        <v>#REF!</v>
      </c>
      <c r="T183"/>
      <c r="AI183"/>
      <c r="AJ183"/>
    </row>
    <row r="184" spans="1:36" hidden="1" x14ac:dyDescent="0.25">
      <c r="A184" t="s">
        <v>513</v>
      </c>
      <c r="B184" t="s">
        <v>122</v>
      </c>
      <c r="C184" t="s">
        <v>109</v>
      </c>
      <c r="D184" s="1">
        <v>44173</v>
      </c>
      <c r="E184" t="s">
        <v>35</v>
      </c>
      <c r="F184" t="s">
        <v>184</v>
      </c>
      <c r="G184" s="5">
        <v>1518</v>
      </c>
      <c r="O184" t="e">
        <f>#REF!/#REF!</f>
        <v>#REF!</v>
      </c>
      <c r="T184"/>
      <c r="AI184"/>
      <c r="AJ184"/>
    </row>
    <row r="185" spans="1:36" hidden="1" x14ac:dyDescent="0.25">
      <c r="A185" t="s">
        <v>513</v>
      </c>
      <c r="B185" t="s">
        <v>123</v>
      </c>
      <c r="C185" t="s">
        <v>124</v>
      </c>
      <c r="D185" s="1">
        <v>40392</v>
      </c>
      <c r="E185" t="s">
        <v>35</v>
      </c>
      <c r="F185" t="s">
        <v>417</v>
      </c>
      <c r="G185" s="5">
        <v>2300</v>
      </c>
      <c r="O185" t="e">
        <f>#REF!/#REF!</f>
        <v>#REF!</v>
      </c>
      <c r="T185"/>
      <c r="AI185"/>
      <c r="AJ185"/>
    </row>
    <row r="186" spans="1:36" hidden="1" x14ac:dyDescent="0.25">
      <c r="A186" t="s">
        <v>513</v>
      </c>
      <c r="B186" t="s">
        <v>123</v>
      </c>
      <c r="C186" t="s">
        <v>124</v>
      </c>
      <c r="D186" s="1">
        <v>40392</v>
      </c>
      <c r="E186" t="s">
        <v>35</v>
      </c>
      <c r="F186" t="s">
        <v>21</v>
      </c>
      <c r="G186" s="5">
        <v>69</v>
      </c>
      <c r="O186" t="e">
        <f>#REF!/#REF!</f>
        <v>#REF!</v>
      </c>
      <c r="T186"/>
      <c r="AI186"/>
      <c r="AJ186"/>
    </row>
    <row r="187" spans="1:36" hidden="1" x14ac:dyDescent="0.25">
      <c r="A187" t="s">
        <v>513</v>
      </c>
      <c r="B187" t="s">
        <v>123</v>
      </c>
      <c r="C187" t="s">
        <v>124</v>
      </c>
      <c r="D187" s="1">
        <v>40392</v>
      </c>
      <c r="E187" t="s">
        <v>35</v>
      </c>
      <c r="F187" t="s">
        <v>1</v>
      </c>
      <c r="G187" s="5">
        <v>1000</v>
      </c>
      <c r="O187" t="e">
        <f>#REF!/#REF!</f>
        <v>#REF!</v>
      </c>
      <c r="T187"/>
      <c r="AI187"/>
      <c r="AJ187"/>
    </row>
    <row r="188" spans="1:36" hidden="1" x14ac:dyDescent="0.25">
      <c r="A188" t="s">
        <v>513</v>
      </c>
      <c r="B188" t="s">
        <v>123</v>
      </c>
      <c r="C188" t="s">
        <v>124</v>
      </c>
      <c r="D188" s="1">
        <v>40392</v>
      </c>
      <c r="E188" t="s">
        <v>35</v>
      </c>
      <c r="F188" t="s">
        <v>184</v>
      </c>
      <c r="G188" s="5">
        <v>2300</v>
      </c>
      <c r="O188" t="e">
        <f>#REF!/#REF!</f>
        <v>#REF!</v>
      </c>
      <c r="T188"/>
      <c r="AI188"/>
      <c r="AJ188"/>
    </row>
    <row r="189" spans="1:36" hidden="1" x14ac:dyDescent="0.25">
      <c r="A189" t="s">
        <v>513</v>
      </c>
      <c r="B189" t="s">
        <v>623</v>
      </c>
      <c r="C189" t="s">
        <v>105</v>
      </c>
      <c r="D189" s="1">
        <v>45731</v>
      </c>
      <c r="E189" t="s">
        <v>35</v>
      </c>
      <c r="F189" t="s">
        <v>417</v>
      </c>
      <c r="G189" s="5">
        <v>1518</v>
      </c>
      <c r="O189" t="e">
        <f>#REF!/#REF!</f>
        <v>#REF!</v>
      </c>
      <c r="T189"/>
      <c r="AI189"/>
      <c r="AJ189"/>
    </row>
    <row r="190" spans="1:36" hidden="1" x14ac:dyDescent="0.25">
      <c r="A190" t="s">
        <v>513</v>
      </c>
      <c r="B190" t="s">
        <v>623</v>
      </c>
      <c r="C190" t="s">
        <v>105</v>
      </c>
      <c r="D190" s="1">
        <v>45731</v>
      </c>
      <c r="E190" t="s">
        <v>35</v>
      </c>
      <c r="F190" t="s">
        <v>1</v>
      </c>
      <c r="G190" s="5">
        <v>607.20000000000005</v>
      </c>
      <c r="O190" t="e">
        <f>#REF!/#REF!</f>
        <v>#REF!</v>
      </c>
      <c r="T190"/>
      <c r="AI190"/>
      <c r="AJ190"/>
    </row>
    <row r="191" spans="1:36" hidden="1" x14ac:dyDescent="0.25">
      <c r="A191" t="s">
        <v>513</v>
      </c>
      <c r="B191" t="s">
        <v>623</v>
      </c>
      <c r="C191" t="s">
        <v>105</v>
      </c>
      <c r="D191" s="1">
        <v>45731</v>
      </c>
      <c r="E191" t="s">
        <v>35</v>
      </c>
      <c r="F191" t="s">
        <v>184</v>
      </c>
      <c r="G191" s="5">
        <v>1518</v>
      </c>
      <c r="O191" t="e">
        <f>#REF!/#REF!</f>
        <v>#REF!</v>
      </c>
      <c r="T191"/>
      <c r="AI191"/>
      <c r="AJ191"/>
    </row>
    <row r="192" spans="1:36" hidden="1" x14ac:dyDescent="0.25">
      <c r="A192" t="s">
        <v>513</v>
      </c>
      <c r="B192" t="s">
        <v>126</v>
      </c>
      <c r="C192" t="s">
        <v>105</v>
      </c>
      <c r="D192" s="1">
        <v>39234</v>
      </c>
      <c r="E192" t="s">
        <v>35</v>
      </c>
      <c r="F192" t="s">
        <v>417</v>
      </c>
      <c r="G192" s="5">
        <v>1518</v>
      </c>
      <c r="O192" t="e">
        <f>#REF!/#REF!</f>
        <v>#REF!</v>
      </c>
      <c r="T192"/>
      <c r="AI192"/>
      <c r="AJ192"/>
    </row>
    <row r="193" spans="1:36" hidden="1" x14ac:dyDescent="0.25">
      <c r="A193" t="s">
        <v>513</v>
      </c>
      <c r="B193" t="s">
        <v>126</v>
      </c>
      <c r="C193" t="s">
        <v>105</v>
      </c>
      <c r="D193" s="1">
        <v>39234</v>
      </c>
      <c r="E193" t="s">
        <v>35</v>
      </c>
      <c r="F193" t="s">
        <v>21</v>
      </c>
      <c r="G193" s="5">
        <v>45.54</v>
      </c>
      <c r="O193" t="e">
        <f>#REF!/#REF!</f>
        <v>#REF!</v>
      </c>
      <c r="T193"/>
      <c r="AI193"/>
      <c r="AJ193"/>
    </row>
    <row r="194" spans="1:36" hidden="1" x14ac:dyDescent="0.25">
      <c r="A194" t="s">
        <v>513</v>
      </c>
      <c r="B194" t="s">
        <v>126</v>
      </c>
      <c r="C194" t="s">
        <v>105</v>
      </c>
      <c r="D194" s="1">
        <v>39234</v>
      </c>
      <c r="E194" t="s">
        <v>35</v>
      </c>
      <c r="F194" t="s">
        <v>7</v>
      </c>
      <c r="G194" s="5">
        <v>65</v>
      </c>
      <c r="O194" t="e">
        <f>#REF!/#REF!</f>
        <v>#REF!</v>
      </c>
      <c r="T194"/>
      <c r="AI194"/>
      <c r="AJ194"/>
    </row>
    <row r="195" spans="1:36" hidden="1" x14ac:dyDescent="0.25">
      <c r="A195" t="s">
        <v>513</v>
      </c>
      <c r="B195" t="s">
        <v>126</v>
      </c>
      <c r="C195" t="s">
        <v>105</v>
      </c>
      <c r="D195" s="1">
        <v>39234</v>
      </c>
      <c r="E195" t="s">
        <v>35</v>
      </c>
      <c r="F195" t="s">
        <v>1</v>
      </c>
      <c r="G195" s="5">
        <v>607.20000000000005</v>
      </c>
      <c r="O195" t="e">
        <f>#REF!/#REF!</f>
        <v>#REF!</v>
      </c>
      <c r="T195"/>
      <c r="AI195"/>
      <c r="AJ195"/>
    </row>
    <row r="196" spans="1:36" hidden="1" x14ac:dyDescent="0.25">
      <c r="A196" t="s">
        <v>513</v>
      </c>
      <c r="B196" t="s">
        <v>126</v>
      </c>
      <c r="C196" t="s">
        <v>105</v>
      </c>
      <c r="D196" s="1">
        <v>39234</v>
      </c>
      <c r="E196" t="s">
        <v>35</v>
      </c>
      <c r="F196" t="s">
        <v>184</v>
      </c>
      <c r="G196" s="5">
        <v>1518</v>
      </c>
      <c r="O196" t="e">
        <f>#REF!/#REF!</f>
        <v>#REF!</v>
      </c>
      <c r="T196"/>
      <c r="AI196"/>
      <c r="AJ196"/>
    </row>
    <row r="197" spans="1:36" hidden="1" x14ac:dyDescent="0.25">
      <c r="A197" t="s">
        <v>513</v>
      </c>
      <c r="B197" t="s">
        <v>591</v>
      </c>
      <c r="C197" t="s">
        <v>109</v>
      </c>
      <c r="D197" s="1">
        <v>45731</v>
      </c>
      <c r="E197" t="s">
        <v>35</v>
      </c>
      <c r="F197" t="s">
        <v>417</v>
      </c>
      <c r="G197" s="5">
        <v>1518</v>
      </c>
      <c r="O197" t="e">
        <f>#REF!/#REF!</f>
        <v>#REF!</v>
      </c>
      <c r="T197"/>
      <c r="AI197"/>
      <c r="AJ197"/>
    </row>
    <row r="198" spans="1:36" hidden="1" x14ac:dyDescent="0.25">
      <c r="A198" t="s">
        <v>513</v>
      </c>
      <c r="B198" t="s">
        <v>591</v>
      </c>
      <c r="C198" t="s">
        <v>109</v>
      </c>
      <c r="D198" s="1">
        <v>45731</v>
      </c>
      <c r="E198" t="s">
        <v>35</v>
      </c>
      <c r="F198" t="s">
        <v>1</v>
      </c>
      <c r="G198" s="5">
        <v>607.20000000000005</v>
      </c>
      <c r="O198" t="e">
        <f>#REF!/#REF!</f>
        <v>#REF!</v>
      </c>
      <c r="T198"/>
      <c r="AI198"/>
      <c r="AJ198"/>
    </row>
    <row r="199" spans="1:36" hidden="1" x14ac:dyDescent="0.25">
      <c r="A199" t="s">
        <v>513</v>
      </c>
      <c r="B199" t="s">
        <v>591</v>
      </c>
      <c r="C199" t="s">
        <v>109</v>
      </c>
      <c r="D199" s="1">
        <v>45731</v>
      </c>
      <c r="E199" t="s">
        <v>35</v>
      </c>
      <c r="F199" t="s">
        <v>184</v>
      </c>
      <c r="G199" s="5">
        <v>1518</v>
      </c>
      <c r="O199" t="e">
        <f>#REF!/#REF!</f>
        <v>#REF!</v>
      </c>
      <c r="T199"/>
      <c r="AI199"/>
      <c r="AJ199"/>
    </row>
    <row r="200" spans="1:36" hidden="1" x14ac:dyDescent="0.25">
      <c r="A200" t="s">
        <v>513</v>
      </c>
      <c r="B200" t="s">
        <v>132</v>
      </c>
      <c r="C200" t="s">
        <v>109</v>
      </c>
      <c r="D200" s="1">
        <v>39356</v>
      </c>
      <c r="E200" t="s">
        <v>35</v>
      </c>
      <c r="F200" t="s">
        <v>417</v>
      </c>
      <c r="G200" s="5">
        <v>1518</v>
      </c>
      <c r="O200" t="e">
        <f>#REF!/#REF!</f>
        <v>#REF!</v>
      </c>
      <c r="T200"/>
      <c r="AI200"/>
      <c r="AJ200"/>
    </row>
    <row r="201" spans="1:36" hidden="1" x14ac:dyDescent="0.25">
      <c r="A201" t="s">
        <v>513</v>
      </c>
      <c r="B201" t="s">
        <v>132</v>
      </c>
      <c r="C201" t="s">
        <v>109</v>
      </c>
      <c r="D201" s="1">
        <v>39356</v>
      </c>
      <c r="E201" t="s">
        <v>35</v>
      </c>
      <c r="F201" t="s">
        <v>21</v>
      </c>
      <c r="G201" s="5">
        <v>45.54</v>
      </c>
      <c r="O201" t="e">
        <f>#REF!/#REF!</f>
        <v>#REF!</v>
      </c>
      <c r="T201"/>
      <c r="AI201"/>
      <c r="AJ201"/>
    </row>
    <row r="202" spans="1:36" hidden="1" x14ac:dyDescent="0.25">
      <c r="A202" t="s">
        <v>513</v>
      </c>
      <c r="B202" t="s">
        <v>132</v>
      </c>
      <c r="C202" t="s">
        <v>109</v>
      </c>
      <c r="D202" s="1">
        <v>39356</v>
      </c>
      <c r="E202" t="s">
        <v>35</v>
      </c>
      <c r="F202" t="s">
        <v>1</v>
      </c>
      <c r="G202" s="5">
        <v>607.20000000000005</v>
      </c>
      <c r="O202" t="e">
        <f>#REF!/#REF!</f>
        <v>#REF!</v>
      </c>
      <c r="T202"/>
      <c r="AI202"/>
      <c r="AJ202"/>
    </row>
    <row r="203" spans="1:36" hidden="1" x14ac:dyDescent="0.25">
      <c r="A203" t="s">
        <v>513</v>
      </c>
      <c r="B203" t="s">
        <v>132</v>
      </c>
      <c r="C203" t="s">
        <v>109</v>
      </c>
      <c r="D203" s="1">
        <v>39356</v>
      </c>
      <c r="E203" t="s">
        <v>35</v>
      </c>
      <c r="F203" t="s">
        <v>184</v>
      </c>
      <c r="G203" s="5">
        <v>1518</v>
      </c>
      <c r="O203" t="e">
        <f>#REF!/#REF!</f>
        <v>#REF!</v>
      </c>
      <c r="T203"/>
      <c r="AI203"/>
      <c r="AJ203"/>
    </row>
    <row r="204" spans="1:36" hidden="1" x14ac:dyDescent="0.25">
      <c r="A204" t="s">
        <v>513</v>
      </c>
      <c r="B204" t="s">
        <v>133</v>
      </c>
      <c r="C204" t="s">
        <v>105</v>
      </c>
      <c r="D204" s="1">
        <v>41650</v>
      </c>
      <c r="E204" t="s">
        <v>35</v>
      </c>
      <c r="F204" t="s">
        <v>417</v>
      </c>
      <c r="G204" s="5">
        <v>1518</v>
      </c>
      <c r="O204" t="e">
        <f>#REF!/#REF!</f>
        <v>#REF!</v>
      </c>
      <c r="T204"/>
      <c r="AI204"/>
      <c r="AJ204"/>
    </row>
    <row r="205" spans="1:36" hidden="1" x14ac:dyDescent="0.25">
      <c r="A205" t="s">
        <v>513</v>
      </c>
      <c r="B205" t="s">
        <v>133</v>
      </c>
      <c r="C205" t="s">
        <v>105</v>
      </c>
      <c r="D205" s="1">
        <v>41650</v>
      </c>
      <c r="E205" t="s">
        <v>35</v>
      </c>
      <c r="F205" t="s">
        <v>1</v>
      </c>
      <c r="G205" s="5">
        <v>607.20000000000005</v>
      </c>
      <c r="O205" t="e">
        <f>#REF!/#REF!</f>
        <v>#REF!</v>
      </c>
      <c r="T205"/>
      <c r="AI205"/>
      <c r="AJ205"/>
    </row>
    <row r="206" spans="1:36" hidden="1" x14ac:dyDescent="0.25">
      <c r="A206" t="s">
        <v>513</v>
      </c>
      <c r="B206" t="s">
        <v>133</v>
      </c>
      <c r="C206" t="s">
        <v>105</v>
      </c>
      <c r="D206" s="1">
        <v>41650</v>
      </c>
      <c r="E206" t="s">
        <v>35</v>
      </c>
      <c r="F206" t="s">
        <v>184</v>
      </c>
      <c r="G206" s="5">
        <v>1518</v>
      </c>
      <c r="O206" t="e">
        <f>#REF!/#REF!</f>
        <v>#REF!</v>
      </c>
      <c r="T206"/>
      <c r="AI206"/>
      <c r="AJ206"/>
    </row>
    <row r="207" spans="1:36" hidden="1" x14ac:dyDescent="0.25">
      <c r="A207" t="s">
        <v>513</v>
      </c>
      <c r="B207" t="s">
        <v>597</v>
      </c>
      <c r="C207" t="s">
        <v>109</v>
      </c>
      <c r="D207" s="1">
        <v>45748</v>
      </c>
      <c r="E207" t="s">
        <v>35</v>
      </c>
      <c r="F207" t="s">
        <v>417</v>
      </c>
      <c r="G207" s="5">
        <v>1518</v>
      </c>
      <c r="O207" t="e">
        <f>#REF!/#REF!</f>
        <v>#REF!</v>
      </c>
      <c r="T207"/>
      <c r="AI207"/>
      <c r="AJ207"/>
    </row>
    <row r="208" spans="1:36" hidden="1" x14ac:dyDescent="0.25">
      <c r="A208" t="s">
        <v>513</v>
      </c>
      <c r="B208" t="s">
        <v>597</v>
      </c>
      <c r="C208" t="s">
        <v>109</v>
      </c>
      <c r="D208" s="1">
        <v>45748</v>
      </c>
      <c r="E208" t="s">
        <v>35</v>
      </c>
      <c r="F208" t="s">
        <v>1</v>
      </c>
      <c r="G208" s="5">
        <v>607.20000000000005</v>
      </c>
      <c r="O208" t="e">
        <f>#REF!/#REF!</f>
        <v>#REF!</v>
      </c>
      <c r="T208"/>
      <c r="AI208"/>
      <c r="AJ208"/>
    </row>
    <row r="209" spans="1:36" hidden="1" x14ac:dyDescent="0.25">
      <c r="A209" t="s">
        <v>513</v>
      </c>
      <c r="B209" t="s">
        <v>597</v>
      </c>
      <c r="C209" t="s">
        <v>109</v>
      </c>
      <c r="D209" s="1">
        <v>45748</v>
      </c>
      <c r="E209" t="s">
        <v>35</v>
      </c>
      <c r="F209" t="s">
        <v>184</v>
      </c>
      <c r="G209" s="5">
        <v>1518</v>
      </c>
      <c r="O209" t="e">
        <f>#REF!/#REF!</f>
        <v>#REF!</v>
      </c>
      <c r="T209"/>
      <c r="AI209"/>
      <c r="AJ209"/>
    </row>
    <row r="210" spans="1:36" hidden="1" x14ac:dyDescent="0.25">
      <c r="A210" t="s">
        <v>513</v>
      </c>
      <c r="B210" t="s">
        <v>575</v>
      </c>
      <c r="C210" t="s">
        <v>105</v>
      </c>
      <c r="D210" s="1">
        <v>45748</v>
      </c>
      <c r="E210" t="s">
        <v>35</v>
      </c>
      <c r="F210" t="s">
        <v>417</v>
      </c>
      <c r="G210" s="5">
        <v>1518</v>
      </c>
      <c r="O210" t="e">
        <f>#REF!/#REF!</f>
        <v>#REF!</v>
      </c>
      <c r="T210"/>
      <c r="AI210"/>
      <c r="AJ210"/>
    </row>
    <row r="211" spans="1:36" hidden="1" x14ac:dyDescent="0.25">
      <c r="A211" t="s">
        <v>513</v>
      </c>
      <c r="B211" t="s">
        <v>575</v>
      </c>
      <c r="C211" t="s">
        <v>105</v>
      </c>
      <c r="D211" s="1">
        <v>45748</v>
      </c>
      <c r="E211" t="s">
        <v>35</v>
      </c>
      <c r="F211" t="s">
        <v>1</v>
      </c>
      <c r="G211" s="5">
        <v>607.20000000000005</v>
      </c>
      <c r="O211" t="e">
        <f>#REF!/#REF!</f>
        <v>#REF!</v>
      </c>
      <c r="T211"/>
      <c r="AI211"/>
      <c r="AJ211"/>
    </row>
    <row r="212" spans="1:36" hidden="1" x14ac:dyDescent="0.25">
      <c r="A212" t="s">
        <v>513</v>
      </c>
      <c r="B212" t="s">
        <v>575</v>
      </c>
      <c r="C212" t="s">
        <v>105</v>
      </c>
      <c r="D212" s="1">
        <v>45748</v>
      </c>
      <c r="E212" t="s">
        <v>35</v>
      </c>
      <c r="F212" t="s">
        <v>184</v>
      </c>
      <c r="G212" s="5">
        <v>1518</v>
      </c>
      <c r="O212" t="e">
        <f>#REF!/#REF!</f>
        <v>#REF!</v>
      </c>
      <c r="T212"/>
      <c r="AI212"/>
      <c r="AJ212"/>
    </row>
    <row r="213" spans="1:36" hidden="1" x14ac:dyDescent="0.25">
      <c r="A213" t="s">
        <v>513</v>
      </c>
      <c r="B213" t="s">
        <v>592</v>
      </c>
      <c r="C213" t="s">
        <v>109</v>
      </c>
      <c r="D213" s="1">
        <v>45731</v>
      </c>
      <c r="E213" t="s">
        <v>35</v>
      </c>
      <c r="F213" t="s">
        <v>417</v>
      </c>
      <c r="G213" s="5">
        <v>1518</v>
      </c>
      <c r="O213" t="e">
        <f>#REF!/#REF!</f>
        <v>#REF!</v>
      </c>
      <c r="T213"/>
      <c r="AI213"/>
      <c r="AJ213"/>
    </row>
    <row r="214" spans="1:36" hidden="1" x14ac:dyDescent="0.25">
      <c r="A214" t="s">
        <v>513</v>
      </c>
      <c r="B214" t="s">
        <v>592</v>
      </c>
      <c r="C214" t="s">
        <v>109</v>
      </c>
      <c r="D214" s="1">
        <v>45731</v>
      </c>
      <c r="E214" t="s">
        <v>35</v>
      </c>
      <c r="F214" t="s">
        <v>9</v>
      </c>
      <c r="G214" s="5">
        <v>27.6</v>
      </c>
      <c r="O214" t="e">
        <f>#REF!/#REF!</f>
        <v>#REF!</v>
      </c>
      <c r="T214"/>
      <c r="AI214"/>
      <c r="AJ214"/>
    </row>
    <row r="215" spans="1:36" hidden="1" x14ac:dyDescent="0.25">
      <c r="A215" t="s">
        <v>513</v>
      </c>
      <c r="B215" t="s">
        <v>592</v>
      </c>
      <c r="C215" t="s">
        <v>109</v>
      </c>
      <c r="D215" s="1">
        <v>45731</v>
      </c>
      <c r="E215" t="s">
        <v>35</v>
      </c>
      <c r="F215" t="s">
        <v>1</v>
      </c>
      <c r="G215" s="5">
        <v>607.20000000000005</v>
      </c>
      <c r="O215" t="e">
        <f>#REF!/#REF!</f>
        <v>#REF!</v>
      </c>
      <c r="T215"/>
      <c r="AI215"/>
      <c r="AJ215"/>
    </row>
    <row r="216" spans="1:36" hidden="1" x14ac:dyDescent="0.25">
      <c r="A216" t="s">
        <v>513</v>
      </c>
      <c r="B216" t="s">
        <v>592</v>
      </c>
      <c r="C216" t="s">
        <v>109</v>
      </c>
      <c r="D216" s="1">
        <v>45731</v>
      </c>
      <c r="E216" t="s">
        <v>35</v>
      </c>
      <c r="F216" t="s">
        <v>559</v>
      </c>
      <c r="G216" s="5">
        <v>27.6</v>
      </c>
      <c r="O216" t="e">
        <f>#REF!/#REF!</f>
        <v>#REF!</v>
      </c>
      <c r="T216"/>
      <c r="AI216"/>
      <c r="AJ216"/>
    </row>
    <row r="217" spans="1:36" hidden="1" x14ac:dyDescent="0.25">
      <c r="A217" t="s">
        <v>513</v>
      </c>
      <c r="B217" t="s">
        <v>592</v>
      </c>
      <c r="C217" t="s">
        <v>109</v>
      </c>
      <c r="D217" s="1">
        <v>45731</v>
      </c>
      <c r="E217" t="s">
        <v>35</v>
      </c>
      <c r="F217" t="s">
        <v>184</v>
      </c>
      <c r="G217" s="5">
        <v>1518</v>
      </c>
      <c r="O217" t="e">
        <f>#REF!/#REF!</f>
        <v>#REF!</v>
      </c>
      <c r="T217"/>
      <c r="AI217"/>
      <c r="AJ217"/>
    </row>
    <row r="218" spans="1:36" hidden="1" x14ac:dyDescent="0.25">
      <c r="A218" t="s">
        <v>513</v>
      </c>
      <c r="B218" t="s">
        <v>541</v>
      </c>
      <c r="C218" t="s">
        <v>109</v>
      </c>
      <c r="D218" s="1">
        <v>45444</v>
      </c>
      <c r="E218" t="s">
        <v>35</v>
      </c>
      <c r="F218" t="s">
        <v>417</v>
      </c>
      <c r="G218" s="5">
        <v>1518</v>
      </c>
      <c r="O218" t="e">
        <f>#REF!/#REF!</f>
        <v>#REF!</v>
      </c>
      <c r="T218"/>
      <c r="AI218"/>
      <c r="AJ218"/>
    </row>
    <row r="219" spans="1:36" hidden="1" x14ac:dyDescent="0.25">
      <c r="A219" t="s">
        <v>513</v>
      </c>
      <c r="B219" t="s">
        <v>541</v>
      </c>
      <c r="C219" t="s">
        <v>109</v>
      </c>
      <c r="D219" s="1">
        <v>45444</v>
      </c>
      <c r="E219" t="s">
        <v>35</v>
      </c>
      <c r="F219" t="s">
        <v>1</v>
      </c>
      <c r="G219" s="5">
        <v>607.20000000000005</v>
      </c>
      <c r="O219" t="e">
        <f>#REF!/#REF!</f>
        <v>#REF!</v>
      </c>
      <c r="T219"/>
      <c r="AI219"/>
      <c r="AJ219"/>
    </row>
    <row r="220" spans="1:36" hidden="1" x14ac:dyDescent="0.25">
      <c r="A220" t="s">
        <v>513</v>
      </c>
      <c r="B220" t="s">
        <v>541</v>
      </c>
      <c r="C220" t="s">
        <v>109</v>
      </c>
      <c r="D220" s="1">
        <v>45444</v>
      </c>
      <c r="E220" t="s">
        <v>35</v>
      </c>
      <c r="F220" t="s">
        <v>184</v>
      </c>
      <c r="G220" s="5">
        <v>1518</v>
      </c>
      <c r="O220" t="e">
        <f>#REF!/#REF!</f>
        <v>#REF!</v>
      </c>
      <c r="T220"/>
      <c r="AI220"/>
      <c r="AJ220"/>
    </row>
    <row r="221" spans="1:36" hidden="1" x14ac:dyDescent="0.25">
      <c r="A221" t="s">
        <v>513</v>
      </c>
      <c r="B221" t="s">
        <v>535</v>
      </c>
      <c r="C221" t="s">
        <v>109</v>
      </c>
      <c r="D221" s="1">
        <v>45390</v>
      </c>
      <c r="E221" t="s">
        <v>35</v>
      </c>
      <c r="F221" t="s">
        <v>417</v>
      </c>
      <c r="G221" s="5">
        <v>1518</v>
      </c>
      <c r="O221" t="e">
        <f>#REF!/#REF!</f>
        <v>#REF!</v>
      </c>
      <c r="T221"/>
      <c r="AI221"/>
      <c r="AJ221"/>
    </row>
    <row r="222" spans="1:36" hidden="1" x14ac:dyDescent="0.25">
      <c r="A222" t="s">
        <v>513</v>
      </c>
      <c r="B222" t="s">
        <v>535</v>
      </c>
      <c r="C222" t="s">
        <v>109</v>
      </c>
      <c r="D222" s="1">
        <v>45390</v>
      </c>
      <c r="E222" t="s">
        <v>35</v>
      </c>
      <c r="F222" t="s">
        <v>7</v>
      </c>
      <c r="G222" s="5">
        <v>65</v>
      </c>
      <c r="O222" t="e">
        <f>#REF!/#REF!</f>
        <v>#REF!</v>
      </c>
      <c r="T222"/>
      <c r="AI222"/>
      <c r="AJ222"/>
    </row>
    <row r="223" spans="1:36" hidden="1" x14ac:dyDescent="0.25">
      <c r="A223" t="s">
        <v>513</v>
      </c>
      <c r="B223" t="s">
        <v>535</v>
      </c>
      <c r="C223" t="s">
        <v>109</v>
      </c>
      <c r="D223" s="1">
        <v>45390</v>
      </c>
      <c r="E223" t="s">
        <v>35</v>
      </c>
      <c r="F223" t="s">
        <v>1</v>
      </c>
      <c r="G223" s="5">
        <v>607.20000000000005</v>
      </c>
      <c r="O223" t="e">
        <f>#REF!/#REF!</f>
        <v>#REF!</v>
      </c>
      <c r="T223"/>
      <c r="AI223"/>
      <c r="AJ223"/>
    </row>
    <row r="224" spans="1:36" hidden="1" x14ac:dyDescent="0.25">
      <c r="A224" t="s">
        <v>513</v>
      </c>
      <c r="B224" t="s">
        <v>535</v>
      </c>
      <c r="C224" t="s">
        <v>109</v>
      </c>
      <c r="D224" s="1">
        <v>45390</v>
      </c>
      <c r="E224" t="s">
        <v>35</v>
      </c>
      <c r="F224" t="s">
        <v>184</v>
      </c>
      <c r="G224" s="5">
        <v>1518</v>
      </c>
      <c r="O224" t="e">
        <f>#REF!/#REF!</f>
        <v>#REF!</v>
      </c>
      <c r="T224"/>
      <c r="AI224"/>
      <c r="AJ224"/>
    </row>
    <row r="225" spans="1:36" hidden="1" x14ac:dyDescent="0.25">
      <c r="A225" t="s">
        <v>513</v>
      </c>
      <c r="B225" t="s">
        <v>536</v>
      </c>
      <c r="C225" t="s">
        <v>109</v>
      </c>
      <c r="D225" s="1">
        <v>45390</v>
      </c>
      <c r="E225" t="s">
        <v>35</v>
      </c>
      <c r="F225" t="s">
        <v>417</v>
      </c>
      <c r="G225" s="5">
        <v>1518</v>
      </c>
      <c r="P225" s="5"/>
      <c r="T225"/>
      <c r="AE225" s="5"/>
      <c r="AF225" s="5"/>
      <c r="AI225" t="e">
        <f>#REF!/#REF!</f>
        <v>#REF!</v>
      </c>
      <c r="AJ225"/>
    </row>
    <row r="226" spans="1:36" hidden="1" x14ac:dyDescent="0.25">
      <c r="A226" t="s">
        <v>513</v>
      </c>
      <c r="B226" t="s">
        <v>536</v>
      </c>
      <c r="C226" t="s">
        <v>109</v>
      </c>
      <c r="D226" s="1">
        <v>45390</v>
      </c>
      <c r="E226" t="s">
        <v>35</v>
      </c>
      <c r="F226" t="s">
        <v>1</v>
      </c>
      <c r="G226" s="5">
        <v>607.20000000000005</v>
      </c>
      <c r="P226" s="5"/>
      <c r="T226"/>
      <c r="AE226" s="5"/>
      <c r="AF226" s="5"/>
      <c r="AI226" t="e">
        <f>#REF!/#REF!</f>
        <v>#REF!</v>
      </c>
      <c r="AJ226"/>
    </row>
    <row r="227" spans="1:36" hidden="1" x14ac:dyDescent="0.25">
      <c r="A227" t="s">
        <v>513</v>
      </c>
      <c r="B227" t="s">
        <v>536</v>
      </c>
      <c r="C227" t="s">
        <v>109</v>
      </c>
      <c r="D227" s="1">
        <v>45390</v>
      </c>
      <c r="E227" t="s">
        <v>35</v>
      </c>
      <c r="F227" t="s">
        <v>184</v>
      </c>
      <c r="G227" s="5">
        <v>1518</v>
      </c>
      <c r="P227" s="5"/>
      <c r="T227"/>
      <c r="AE227" s="5"/>
      <c r="AF227" s="5"/>
      <c r="AI227" t="e">
        <f>#REF!/#REF!</f>
        <v>#REF!</v>
      </c>
      <c r="AJ227"/>
    </row>
    <row r="228" spans="1:36" hidden="1" x14ac:dyDescent="0.25">
      <c r="A228" t="s">
        <v>513</v>
      </c>
      <c r="B228" t="s">
        <v>553</v>
      </c>
      <c r="C228" t="s">
        <v>599</v>
      </c>
      <c r="D228" s="1">
        <v>45597</v>
      </c>
      <c r="E228" t="s">
        <v>35</v>
      </c>
      <c r="F228" t="s">
        <v>417</v>
      </c>
      <c r="G228" s="5">
        <v>1518</v>
      </c>
      <c r="P228" s="5"/>
      <c r="T228"/>
      <c r="AE228" s="5"/>
      <c r="AF228" s="5"/>
      <c r="AI228" t="e">
        <f>#REF!/#REF!</f>
        <v>#REF!</v>
      </c>
      <c r="AJ228"/>
    </row>
    <row r="229" spans="1:36" hidden="1" x14ac:dyDescent="0.25">
      <c r="A229" t="s">
        <v>513</v>
      </c>
      <c r="B229" t="s">
        <v>553</v>
      </c>
      <c r="C229" t="s">
        <v>599</v>
      </c>
      <c r="D229" s="1">
        <v>45597</v>
      </c>
      <c r="E229" t="s">
        <v>35</v>
      </c>
      <c r="F229" t="s">
        <v>1</v>
      </c>
      <c r="G229" s="5">
        <v>607.20000000000005</v>
      </c>
      <c r="P229" s="5"/>
      <c r="T229"/>
      <c r="AE229" s="5"/>
      <c r="AF229" s="5"/>
      <c r="AI229" t="e">
        <f>#REF!/#REF!</f>
        <v>#REF!</v>
      </c>
      <c r="AJ229"/>
    </row>
    <row r="230" spans="1:36" hidden="1" x14ac:dyDescent="0.25">
      <c r="A230" t="s">
        <v>513</v>
      </c>
      <c r="B230" t="s">
        <v>553</v>
      </c>
      <c r="C230" t="s">
        <v>599</v>
      </c>
      <c r="D230" s="1">
        <v>45597</v>
      </c>
      <c r="E230" t="s">
        <v>35</v>
      </c>
      <c r="F230" t="s">
        <v>184</v>
      </c>
      <c r="G230" s="5">
        <v>1518</v>
      </c>
      <c r="P230" s="5"/>
      <c r="T230"/>
      <c r="AE230" s="5"/>
      <c r="AF230" s="5"/>
      <c r="AI230" t="e">
        <f>#REF!/#REF!</f>
        <v>#REF!</v>
      </c>
      <c r="AJ230"/>
    </row>
    <row r="231" spans="1:36" hidden="1" x14ac:dyDescent="0.25">
      <c r="A231" t="s">
        <v>513</v>
      </c>
      <c r="B231" t="s">
        <v>609</v>
      </c>
      <c r="C231" t="s">
        <v>109</v>
      </c>
      <c r="D231" s="1">
        <v>45674</v>
      </c>
      <c r="E231" t="s">
        <v>35</v>
      </c>
      <c r="F231" t="s">
        <v>417</v>
      </c>
      <c r="G231" s="5">
        <v>1518</v>
      </c>
      <c r="P231" s="5"/>
      <c r="T231"/>
      <c r="AE231" s="5"/>
      <c r="AF231" s="5"/>
      <c r="AI231" t="e">
        <f>#REF!/#REF!</f>
        <v>#REF!</v>
      </c>
      <c r="AJ231"/>
    </row>
    <row r="232" spans="1:36" hidden="1" x14ac:dyDescent="0.25">
      <c r="A232" t="s">
        <v>513</v>
      </c>
      <c r="B232" t="s">
        <v>609</v>
      </c>
      <c r="C232" t="s">
        <v>109</v>
      </c>
      <c r="D232" s="1">
        <v>45674</v>
      </c>
      <c r="E232" t="s">
        <v>35</v>
      </c>
      <c r="F232" t="s">
        <v>1</v>
      </c>
      <c r="G232" s="5">
        <v>607.20000000000005</v>
      </c>
      <c r="P232" s="5"/>
      <c r="T232"/>
      <c r="AE232" s="5"/>
      <c r="AF232" s="5"/>
      <c r="AI232" t="e">
        <f>#REF!/#REF!</f>
        <v>#REF!</v>
      </c>
      <c r="AJ232"/>
    </row>
    <row r="233" spans="1:36" hidden="1" x14ac:dyDescent="0.25">
      <c r="A233" t="s">
        <v>513</v>
      </c>
      <c r="B233" t="s">
        <v>609</v>
      </c>
      <c r="C233" t="s">
        <v>109</v>
      </c>
      <c r="D233" s="1">
        <v>45674</v>
      </c>
      <c r="E233" t="s">
        <v>35</v>
      </c>
      <c r="F233" t="s">
        <v>184</v>
      </c>
      <c r="G233" s="5">
        <v>1518</v>
      </c>
      <c r="P233" s="5"/>
      <c r="T233"/>
      <c r="AE233" s="5"/>
      <c r="AF233" s="5"/>
      <c r="AI233" t="e">
        <f>#REF!/#REF!</f>
        <v>#REF!</v>
      </c>
      <c r="AJ233"/>
    </row>
    <row r="234" spans="1:36" hidden="1" x14ac:dyDescent="0.25">
      <c r="A234" t="s">
        <v>513</v>
      </c>
      <c r="B234" t="s">
        <v>136</v>
      </c>
      <c r="C234" t="s">
        <v>105</v>
      </c>
      <c r="D234" s="1">
        <v>44216</v>
      </c>
      <c r="E234" t="s">
        <v>35</v>
      </c>
      <c r="F234" t="s">
        <v>417</v>
      </c>
      <c r="G234" s="5">
        <v>1518</v>
      </c>
      <c r="P234" s="5"/>
      <c r="T234"/>
      <c r="AE234" s="5"/>
      <c r="AF234" s="5"/>
      <c r="AI234" t="e">
        <f>#REF!/#REF!</f>
        <v>#REF!</v>
      </c>
      <c r="AJ234"/>
    </row>
    <row r="235" spans="1:36" hidden="1" x14ac:dyDescent="0.25">
      <c r="A235" t="s">
        <v>513</v>
      </c>
      <c r="B235" t="s">
        <v>136</v>
      </c>
      <c r="C235" t="s">
        <v>105</v>
      </c>
      <c r="D235" s="1">
        <v>44216</v>
      </c>
      <c r="E235" t="s">
        <v>35</v>
      </c>
      <c r="F235" t="s">
        <v>1</v>
      </c>
      <c r="G235" s="5">
        <v>607.20000000000005</v>
      </c>
      <c r="P235" s="5"/>
      <c r="T235"/>
      <c r="AE235" s="5"/>
      <c r="AF235" s="5"/>
      <c r="AI235" t="e">
        <f>#REF!/#REF!</f>
        <v>#REF!</v>
      </c>
      <c r="AJ235"/>
    </row>
    <row r="236" spans="1:36" hidden="1" x14ac:dyDescent="0.25">
      <c r="A236" t="s">
        <v>513</v>
      </c>
      <c r="B236" t="s">
        <v>136</v>
      </c>
      <c r="C236" t="s">
        <v>105</v>
      </c>
      <c r="D236" s="1">
        <v>44216</v>
      </c>
      <c r="E236" t="s">
        <v>35</v>
      </c>
      <c r="F236" t="s">
        <v>184</v>
      </c>
      <c r="G236" s="5">
        <v>1518</v>
      </c>
      <c r="P236" s="5"/>
      <c r="T236"/>
      <c r="AE236" s="5"/>
      <c r="AF236" s="5"/>
      <c r="AI236" t="e">
        <f>#REF!/#REF!</f>
        <v>#REF!</v>
      </c>
      <c r="AJ236"/>
    </row>
    <row r="237" spans="1:36" hidden="1" x14ac:dyDescent="0.25">
      <c r="A237" t="s">
        <v>513</v>
      </c>
      <c r="B237" t="s">
        <v>138</v>
      </c>
      <c r="C237" t="s">
        <v>109</v>
      </c>
      <c r="D237" s="1">
        <v>44287</v>
      </c>
      <c r="E237" t="s">
        <v>35</v>
      </c>
      <c r="F237" t="s">
        <v>417</v>
      </c>
      <c r="G237" s="5">
        <v>1518</v>
      </c>
      <c r="P237" s="5"/>
      <c r="T237"/>
      <c r="AE237" s="5"/>
      <c r="AF237" s="5"/>
      <c r="AI237" t="e">
        <f>#REF!/#REF!</f>
        <v>#REF!</v>
      </c>
      <c r="AJ237"/>
    </row>
    <row r="238" spans="1:36" hidden="1" x14ac:dyDescent="0.25">
      <c r="A238" t="s">
        <v>513</v>
      </c>
      <c r="B238" t="s">
        <v>138</v>
      </c>
      <c r="C238" t="s">
        <v>109</v>
      </c>
      <c r="D238" s="1">
        <v>44287</v>
      </c>
      <c r="E238" t="s">
        <v>35</v>
      </c>
      <c r="F238" t="s">
        <v>7</v>
      </c>
      <c r="G238" s="5">
        <v>65</v>
      </c>
      <c r="P238" s="5"/>
      <c r="T238"/>
      <c r="AE238" s="5"/>
      <c r="AF238" s="5"/>
      <c r="AI238" t="e">
        <f>#REF!/#REF!</f>
        <v>#REF!</v>
      </c>
      <c r="AJ238"/>
    </row>
    <row r="239" spans="1:36" hidden="1" x14ac:dyDescent="0.25">
      <c r="A239" t="s">
        <v>513</v>
      </c>
      <c r="B239" t="s">
        <v>138</v>
      </c>
      <c r="C239" t="s">
        <v>109</v>
      </c>
      <c r="D239" s="1">
        <v>44287</v>
      </c>
      <c r="E239" t="s">
        <v>35</v>
      </c>
      <c r="F239" t="s">
        <v>1</v>
      </c>
      <c r="G239" s="5">
        <v>607.20000000000005</v>
      </c>
      <c r="P239" s="5"/>
      <c r="T239"/>
      <c r="AE239" s="5"/>
      <c r="AF239" s="5"/>
      <c r="AI239" t="e">
        <f>#REF!/#REF!</f>
        <v>#REF!</v>
      </c>
      <c r="AJ239"/>
    </row>
    <row r="240" spans="1:36" hidden="1" x14ac:dyDescent="0.25">
      <c r="A240" t="s">
        <v>513</v>
      </c>
      <c r="B240" t="s">
        <v>138</v>
      </c>
      <c r="C240" t="s">
        <v>109</v>
      </c>
      <c r="D240" s="1">
        <v>44287</v>
      </c>
      <c r="E240" t="s">
        <v>35</v>
      </c>
      <c r="F240" t="s">
        <v>184</v>
      </c>
      <c r="G240" s="5">
        <v>1518</v>
      </c>
      <c r="P240" s="5"/>
      <c r="T240"/>
      <c r="AE240" s="5"/>
      <c r="AF240" s="5"/>
      <c r="AI240" t="e">
        <f>#REF!/#REF!</f>
        <v>#REF!</v>
      </c>
      <c r="AJ240"/>
    </row>
    <row r="241" spans="1:36" hidden="1" x14ac:dyDescent="0.25">
      <c r="A241" t="s">
        <v>513</v>
      </c>
      <c r="B241" t="s">
        <v>139</v>
      </c>
      <c r="C241" t="s">
        <v>109</v>
      </c>
      <c r="D241" s="1">
        <v>44482</v>
      </c>
      <c r="E241" t="s">
        <v>35</v>
      </c>
      <c r="F241" t="s">
        <v>417</v>
      </c>
      <c r="G241" s="5">
        <v>1518</v>
      </c>
      <c r="P241" s="5"/>
      <c r="T241"/>
      <c r="AE241" s="5"/>
      <c r="AF241" s="5"/>
      <c r="AI241" t="e">
        <f>#REF!/#REF!</f>
        <v>#REF!</v>
      </c>
      <c r="AJ241"/>
    </row>
    <row r="242" spans="1:36" hidden="1" x14ac:dyDescent="0.25">
      <c r="A242" t="s">
        <v>513</v>
      </c>
      <c r="B242" t="s">
        <v>139</v>
      </c>
      <c r="C242" t="s">
        <v>109</v>
      </c>
      <c r="D242" s="1">
        <v>44482</v>
      </c>
      <c r="E242" t="s">
        <v>35</v>
      </c>
      <c r="F242" t="s">
        <v>1</v>
      </c>
      <c r="G242" s="5">
        <v>607.20000000000005</v>
      </c>
      <c r="P242" s="5"/>
      <c r="T242"/>
      <c r="AE242" s="5"/>
      <c r="AF242" s="5"/>
      <c r="AI242" t="e">
        <f>#REF!/#REF!</f>
        <v>#REF!</v>
      </c>
      <c r="AJ242"/>
    </row>
    <row r="243" spans="1:36" hidden="1" x14ac:dyDescent="0.25">
      <c r="A243" t="s">
        <v>513</v>
      </c>
      <c r="B243" t="s">
        <v>139</v>
      </c>
      <c r="C243" t="s">
        <v>109</v>
      </c>
      <c r="D243" s="1">
        <v>44482</v>
      </c>
      <c r="E243" t="s">
        <v>35</v>
      </c>
      <c r="F243" t="s">
        <v>184</v>
      </c>
      <c r="G243" s="5">
        <v>1518</v>
      </c>
      <c r="P243" s="5"/>
      <c r="T243"/>
      <c r="AE243" s="5"/>
      <c r="AF243" s="5"/>
      <c r="AI243" t="e">
        <f>#REF!/#REF!</f>
        <v>#REF!</v>
      </c>
      <c r="AJ243"/>
    </row>
    <row r="244" spans="1:36" hidden="1" x14ac:dyDescent="0.25">
      <c r="A244" t="s">
        <v>513</v>
      </c>
      <c r="B244" t="s">
        <v>576</v>
      </c>
      <c r="C244" t="s">
        <v>109</v>
      </c>
      <c r="D244" s="1">
        <v>45681</v>
      </c>
      <c r="E244" t="s">
        <v>35</v>
      </c>
      <c r="F244" t="s">
        <v>417</v>
      </c>
      <c r="G244" s="5">
        <v>1518</v>
      </c>
      <c r="P244" s="5"/>
      <c r="T244"/>
      <c r="AE244" s="5"/>
      <c r="AF244" s="5"/>
      <c r="AI244" t="e">
        <f>#REF!/#REF!</f>
        <v>#REF!</v>
      </c>
      <c r="AJ244"/>
    </row>
    <row r="245" spans="1:36" hidden="1" x14ac:dyDescent="0.25">
      <c r="A245" t="s">
        <v>513</v>
      </c>
      <c r="B245" t="s">
        <v>576</v>
      </c>
      <c r="C245" t="s">
        <v>109</v>
      </c>
      <c r="D245" s="1">
        <v>45681</v>
      </c>
      <c r="E245" t="s">
        <v>35</v>
      </c>
      <c r="F245" t="s">
        <v>1</v>
      </c>
      <c r="G245" s="5">
        <v>607.20000000000005</v>
      </c>
      <c r="P245" s="5"/>
      <c r="T245"/>
      <c r="AE245" s="5"/>
      <c r="AF245" s="5"/>
      <c r="AI245"/>
      <c r="AJ245"/>
    </row>
    <row r="246" spans="1:36" hidden="1" x14ac:dyDescent="0.25">
      <c r="A246" t="s">
        <v>513</v>
      </c>
      <c r="B246" t="s">
        <v>576</v>
      </c>
      <c r="C246" t="s">
        <v>109</v>
      </c>
      <c r="D246" s="1">
        <v>45681</v>
      </c>
      <c r="E246" t="s">
        <v>35</v>
      </c>
      <c r="F246" t="s">
        <v>184</v>
      </c>
      <c r="G246" s="5">
        <v>1518</v>
      </c>
      <c r="P246" s="5"/>
      <c r="T246"/>
      <c r="AE246" s="5"/>
      <c r="AF246" s="5"/>
      <c r="AI246"/>
      <c r="AJ246"/>
    </row>
    <row r="247" spans="1:36" hidden="1" x14ac:dyDescent="0.25">
      <c r="A247" t="s">
        <v>513</v>
      </c>
      <c r="B247" t="s">
        <v>577</v>
      </c>
      <c r="C247" t="s">
        <v>109</v>
      </c>
      <c r="D247" s="1">
        <v>45748</v>
      </c>
      <c r="E247" t="s">
        <v>35</v>
      </c>
      <c r="F247" t="s">
        <v>417</v>
      </c>
      <c r="G247" s="5">
        <v>1518</v>
      </c>
      <c r="P247" s="5"/>
      <c r="T247"/>
      <c r="AE247" s="5"/>
      <c r="AF247" s="5"/>
      <c r="AI247"/>
      <c r="AJ247"/>
    </row>
    <row r="248" spans="1:36" hidden="1" x14ac:dyDescent="0.25">
      <c r="A248" t="s">
        <v>513</v>
      </c>
      <c r="B248" t="s">
        <v>577</v>
      </c>
      <c r="C248" t="s">
        <v>109</v>
      </c>
      <c r="D248" s="1">
        <v>45748</v>
      </c>
      <c r="E248" t="s">
        <v>35</v>
      </c>
      <c r="F248" t="s">
        <v>706</v>
      </c>
      <c r="G248" s="5">
        <v>117.3</v>
      </c>
      <c r="P248" s="5"/>
      <c r="T248"/>
      <c r="AE248" s="5"/>
      <c r="AF248" s="5"/>
      <c r="AI248"/>
      <c r="AJ248"/>
    </row>
    <row r="249" spans="1:36" hidden="1" x14ac:dyDescent="0.25">
      <c r="A249" t="s">
        <v>513</v>
      </c>
      <c r="B249" t="s">
        <v>577</v>
      </c>
      <c r="C249" t="s">
        <v>109</v>
      </c>
      <c r="D249" s="1">
        <v>45748</v>
      </c>
      <c r="E249" t="s">
        <v>35</v>
      </c>
      <c r="F249" t="s">
        <v>1</v>
      </c>
      <c r="G249" s="5">
        <v>607.20000000000005</v>
      </c>
      <c r="P249" s="5"/>
      <c r="T249"/>
      <c r="AE249" s="5"/>
      <c r="AF249" s="5"/>
      <c r="AI249"/>
      <c r="AJ249"/>
    </row>
    <row r="250" spans="1:36" hidden="1" x14ac:dyDescent="0.25">
      <c r="A250" t="s">
        <v>513</v>
      </c>
      <c r="B250" t="s">
        <v>577</v>
      </c>
      <c r="C250" t="s">
        <v>109</v>
      </c>
      <c r="D250" s="1">
        <v>45748</v>
      </c>
      <c r="E250" t="s">
        <v>35</v>
      </c>
      <c r="F250" t="s">
        <v>184</v>
      </c>
      <c r="G250" s="5">
        <v>1518</v>
      </c>
      <c r="P250" s="5"/>
      <c r="T250"/>
      <c r="AE250" s="5"/>
      <c r="AF250" s="5"/>
      <c r="AI250"/>
      <c r="AJ250"/>
    </row>
    <row r="251" spans="1:36" hidden="1" x14ac:dyDescent="0.25">
      <c r="A251" t="s">
        <v>513</v>
      </c>
      <c r="B251" t="s">
        <v>573</v>
      </c>
      <c r="C251" t="s">
        <v>109</v>
      </c>
      <c r="D251" s="1">
        <v>45731</v>
      </c>
      <c r="E251" t="s">
        <v>35</v>
      </c>
      <c r="F251" t="s">
        <v>417</v>
      </c>
      <c r="G251" s="5">
        <v>1518</v>
      </c>
      <c r="P251" s="5"/>
      <c r="T251"/>
      <c r="AE251" s="5"/>
      <c r="AF251" s="5"/>
      <c r="AI251"/>
      <c r="AJ251"/>
    </row>
    <row r="252" spans="1:36" hidden="1" x14ac:dyDescent="0.25">
      <c r="A252" t="s">
        <v>513</v>
      </c>
      <c r="B252" t="s">
        <v>573</v>
      </c>
      <c r="C252" t="s">
        <v>109</v>
      </c>
      <c r="D252" s="1">
        <v>45731</v>
      </c>
      <c r="E252" t="s">
        <v>35</v>
      </c>
      <c r="F252" t="s">
        <v>1</v>
      </c>
      <c r="G252" s="5">
        <v>607.20000000000005</v>
      </c>
      <c r="P252" s="5"/>
      <c r="T252"/>
      <c r="AE252" s="5"/>
      <c r="AF252" s="5"/>
      <c r="AI252"/>
      <c r="AJ252"/>
    </row>
    <row r="253" spans="1:36" hidden="1" x14ac:dyDescent="0.25">
      <c r="A253" t="s">
        <v>513</v>
      </c>
      <c r="B253" t="s">
        <v>573</v>
      </c>
      <c r="C253" t="s">
        <v>109</v>
      </c>
      <c r="D253" s="1">
        <v>45731</v>
      </c>
      <c r="E253" t="s">
        <v>35</v>
      </c>
      <c r="F253" t="s">
        <v>184</v>
      </c>
      <c r="G253" s="5">
        <v>1518</v>
      </c>
      <c r="P253" s="5"/>
      <c r="T253"/>
      <c r="AE253" s="5"/>
      <c r="AF253" s="5"/>
      <c r="AI253"/>
      <c r="AJ253"/>
    </row>
    <row r="254" spans="1:36" hidden="1" x14ac:dyDescent="0.25">
      <c r="A254" t="s">
        <v>513</v>
      </c>
      <c r="B254" t="s">
        <v>554</v>
      </c>
      <c r="C254" t="s">
        <v>109</v>
      </c>
      <c r="D254" s="1">
        <v>45673</v>
      </c>
      <c r="E254" t="s">
        <v>35</v>
      </c>
      <c r="F254" t="s">
        <v>417</v>
      </c>
      <c r="G254" s="5">
        <v>1518</v>
      </c>
      <c r="P254" s="5"/>
      <c r="T254"/>
      <c r="AE254" s="5"/>
      <c r="AF254" s="5"/>
      <c r="AI254"/>
      <c r="AJ254"/>
    </row>
    <row r="255" spans="1:36" hidden="1" x14ac:dyDescent="0.25">
      <c r="A255" t="s">
        <v>513</v>
      </c>
      <c r="B255" t="s">
        <v>554</v>
      </c>
      <c r="C255" t="s">
        <v>109</v>
      </c>
      <c r="D255" s="1">
        <v>45673</v>
      </c>
      <c r="E255" t="s">
        <v>35</v>
      </c>
      <c r="F255" t="s">
        <v>1</v>
      </c>
      <c r="G255" s="5">
        <v>607.20000000000005</v>
      </c>
      <c r="P255" s="5"/>
      <c r="T255"/>
      <c r="AE255" s="5"/>
      <c r="AF255" s="5"/>
      <c r="AI255"/>
      <c r="AJ255"/>
    </row>
    <row r="256" spans="1:36" hidden="1" x14ac:dyDescent="0.25">
      <c r="A256" t="s">
        <v>513</v>
      </c>
      <c r="B256" t="s">
        <v>554</v>
      </c>
      <c r="C256" t="s">
        <v>109</v>
      </c>
      <c r="D256" s="1">
        <v>45673</v>
      </c>
      <c r="E256" t="s">
        <v>35</v>
      </c>
      <c r="F256" t="s">
        <v>184</v>
      </c>
      <c r="G256" s="5">
        <v>1518</v>
      </c>
      <c r="P256" s="5"/>
      <c r="T256"/>
      <c r="AE256" s="5"/>
      <c r="AF256" s="5"/>
      <c r="AI256"/>
      <c r="AJ256"/>
    </row>
    <row r="257" spans="1:36" hidden="1" x14ac:dyDescent="0.25">
      <c r="A257" t="s">
        <v>513</v>
      </c>
      <c r="B257" t="s">
        <v>148</v>
      </c>
      <c r="C257" t="s">
        <v>105</v>
      </c>
      <c r="D257" s="1">
        <v>41852</v>
      </c>
      <c r="E257" t="s">
        <v>35</v>
      </c>
      <c r="F257" t="s">
        <v>417</v>
      </c>
      <c r="G257" s="5">
        <v>1518</v>
      </c>
      <c r="P257" s="5"/>
      <c r="T257"/>
      <c r="AE257" s="5"/>
      <c r="AF257" s="5"/>
      <c r="AI257"/>
      <c r="AJ257"/>
    </row>
    <row r="258" spans="1:36" hidden="1" x14ac:dyDescent="0.25">
      <c r="A258" t="s">
        <v>513</v>
      </c>
      <c r="B258" t="s">
        <v>148</v>
      </c>
      <c r="C258" t="s">
        <v>105</v>
      </c>
      <c r="D258" s="1">
        <v>41852</v>
      </c>
      <c r="E258" t="s">
        <v>35</v>
      </c>
      <c r="F258" t="s">
        <v>1</v>
      </c>
      <c r="G258" s="5">
        <v>607.20000000000005</v>
      </c>
      <c r="P258" s="5"/>
      <c r="T258"/>
      <c r="AE258" s="5"/>
      <c r="AF258" s="5"/>
      <c r="AI258"/>
      <c r="AJ258"/>
    </row>
    <row r="259" spans="1:36" hidden="1" x14ac:dyDescent="0.25">
      <c r="A259" t="s">
        <v>513</v>
      </c>
      <c r="B259" t="s">
        <v>148</v>
      </c>
      <c r="C259" t="s">
        <v>105</v>
      </c>
      <c r="D259" s="1">
        <v>41852</v>
      </c>
      <c r="E259" t="s">
        <v>35</v>
      </c>
      <c r="F259" t="s">
        <v>184</v>
      </c>
      <c r="G259" s="5">
        <v>1518</v>
      </c>
      <c r="P259" s="5"/>
      <c r="T259"/>
      <c r="AE259" s="5"/>
      <c r="AF259" s="5"/>
      <c r="AI259"/>
      <c r="AJ259"/>
    </row>
    <row r="260" spans="1:36" hidden="1" x14ac:dyDescent="0.25">
      <c r="A260" t="s">
        <v>513</v>
      </c>
      <c r="B260" t="s">
        <v>149</v>
      </c>
      <c r="C260" t="s">
        <v>130</v>
      </c>
      <c r="D260" s="1">
        <v>41946</v>
      </c>
      <c r="E260" t="s">
        <v>35</v>
      </c>
      <c r="F260" t="s">
        <v>417</v>
      </c>
      <c r="G260" s="5">
        <v>1518</v>
      </c>
      <c r="P260" s="5"/>
      <c r="T260"/>
      <c r="AE260" s="5"/>
      <c r="AF260" s="5"/>
      <c r="AI260"/>
      <c r="AJ260"/>
    </row>
    <row r="261" spans="1:36" hidden="1" x14ac:dyDescent="0.25">
      <c r="A261" t="s">
        <v>513</v>
      </c>
      <c r="B261" t="s">
        <v>149</v>
      </c>
      <c r="C261" t="s">
        <v>130</v>
      </c>
      <c r="D261" s="1">
        <v>41946</v>
      </c>
      <c r="E261" t="s">
        <v>35</v>
      </c>
      <c r="F261" t="s">
        <v>7</v>
      </c>
      <c r="G261" s="5">
        <v>65</v>
      </c>
      <c r="P261" s="5"/>
      <c r="T261"/>
      <c r="AE261" s="5"/>
      <c r="AF261" s="5"/>
      <c r="AI261"/>
      <c r="AJ261"/>
    </row>
    <row r="262" spans="1:36" hidden="1" x14ac:dyDescent="0.25">
      <c r="A262" t="s">
        <v>513</v>
      </c>
      <c r="B262" t="s">
        <v>149</v>
      </c>
      <c r="C262" t="s">
        <v>130</v>
      </c>
      <c r="D262" s="1">
        <v>41946</v>
      </c>
      <c r="E262" t="s">
        <v>35</v>
      </c>
      <c r="F262" t="s">
        <v>1</v>
      </c>
      <c r="G262" s="5">
        <v>607.20000000000005</v>
      </c>
      <c r="P262" s="5"/>
      <c r="T262"/>
      <c r="AE262" s="5"/>
      <c r="AF262" s="5"/>
      <c r="AI262"/>
      <c r="AJ262"/>
    </row>
    <row r="263" spans="1:36" hidden="1" x14ac:dyDescent="0.25">
      <c r="A263" t="s">
        <v>513</v>
      </c>
      <c r="B263" t="s">
        <v>149</v>
      </c>
      <c r="C263" t="s">
        <v>130</v>
      </c>
      <c r="D263" s="1">
        <v>41946</v>
      </c>
      <c r="E263" t="s">
        <v>35</v>
      </c>
      <c r="F263" t="s">
        <v>184</v>
      </c>
      <c r="G263" s="5">
        <v>1518</v>
      </c>
      <c r="P263" s="5"/>
      <c r="T263"/>
      <c r="AE263" s="5"/>
      <c r="AF263" s="5"/>
      <c r="AI263"/>
      <c r="AJ263"/>
    </row>
    <row r="264" spans="1:36" hidden="1" x14ac:dyDescent="0.25">
      <c r="A264" t="s">
        <v>513</v>
      </c>
      <c r="B264" t="s">
        <v>150</v>
      </c>
      <c r="C264" t="s">
        <v>109</v>
      </c>
      <c r="D264" s="1">
        <v>45474</v>
      </c>
      <c r="E264" t="s">
        <v>35</v>
      </c>
      <c r="F264" t="s">
        <v>417</v>
      </c>
      <c r="G264" s="5">
        <v>1518</v>
      </c>
      <c r="P264" s="5"/>
      <c r="T264"/>
      <c r="AE264" s="5"/>
      <c r="AF264" s="5"/>
      <c r="AI264"/>
      <c r="AJ264"/>
    </row>
    <row r="265" spans="1:36" hidden="1" x14ac:dyDescent="0.25">
      <c r="A265" t="s">
        <v>513</v>
      </c>
      <c r="B265" t="s">
        <v>150</v>
      </c>
      <c r="C265" t="s">
        <v>109</v>
      </c>
      <c r="D265" s="1">
        <v>45474</v>
      </c>
      <c r="E265" t="s">
        <v>35</v>
      </c>
      <c r="F265" t="s">
        <v>1</v>
      </c>
      <c r="G265" s="5">
        <v>607.20000000000005</v>
      </c>
      <c r="P265" s="5"/>
      <c r="T265"/>
      <c r="AE265" s="5"/>
      <c r="AF265" s="5"/>
      <c r="AI265"/>
      <c r="AJ265"/>
    </row>
    <row r="266" spans="1:36" hidden="1" x14ac:dyDescent="0.25">
      <c r="A266" t="s">
        <v>513</v>
      </c>
      <c r="B266" t="s">
        <v>150</v>
      </c>
      <c r="C266" t="s">
        <v>109</v>
      </c>
      <c r="D266" s="1">
        <v>45474</v>
      </c>
      <c r="E266" t="s">
        <v>35</v>
      </c>
      <c r="F266" t="s">
        <v>184</v>
      </c>
      <c r="G266" s="5">
        <v>1518</v>
      </c>
      <c r="P266" s="5"/>
      <c r="T266"/>
      <c r="AE266" s="5"/>
      <c r="AF266" s="5"/>
      <c r="AI266"/>
      <c r="AJ266"/>
    </row>
    <row r="267" spans="1:36" hidden="1" x14ac:dyDescent="0.25">
      <c r="A267" t="s">
        <v>513</v>
      </c>
      <c r="B267" t="s">
        <v>151</v>
      </c>
      <c r="C267" t="s">
        <v>105</v>
      </c>
      <c r="D267" s="1">
        <v>41655</v>
      </c>
      <c r="E267" t="s">
        <v>35</v>
      </c>
      <c r="F267" t="s">
        <v>417</v>
      </c>
      <c r="G267" s="5">
        <v>1518</v>
      </c>
      <c r="P267" s="5"/>
      <c r="T267"/>
      <c r="AE267" s="5"/>
      <c r="AF267" s="5"/>
      <c r="AI267"/>
      <c r="AJ267"/>
    </row>
    <row r="268" spans="1:36" hidden="1" x14ac:dyDescent="0.25">
      <c r="A268" t="s">
        <v>513</v>
      </c>
      <c r="B268" t="s">
        <v>151</v>
      </c>
      <c r="C268" t="s">
        <v>105</v>
      </c>
      <c r="D268" s="1">
        <v>41655</v>
      </c>
      <c r="E268" t="s">
        <v>35</v>
      </c>
      <c r="F268" t="s">
        <v>7</v>
      </c>
      <c r="G268" s="5">
        <v>65</v>
      </c>
      <c r="P268" s="5"/>
      <c r="T268"/>
      <c r="AE268" s="5"/>
      <c r="AF268" s="5"/>
      <c r="AI268"/>
      <c r="AJ268"/>
    </row>
    <row r="269" spans="1:36" hidden="1" x14ac:dyDescent="0.25">
      <c r="A269" t="s">
        <v>513</v>
      </c>
      <c r="B269" t="s">
        <v>151</v>
      </c>
      <c r="C269" t="s">
        <v>105</v>
      </c>
      <c r="D269" s="1">
        <v>41655</v>
      </c>
      <c r="E269" t="s">
        <v>35</v>
      </c>
      <c r="F269" t="s">
        <v>1</v>
      </c>
      <c r="G269" s="5">
        <v>607.20000000000005</v>
      </c>
      <c r="P269" s="5"/>
      <c r="T269"/>
      <c r="AE269" s="5"/>
      <c r="AF269" s="5"/>
      <c r="AI269"/>
      <c r="AJ269"/>
    </row>
    <row r="270" spans="1:36" hidden="1" x14ac:dyDescent="0.25">
      <c r="A270" t="s">
        <v>513</v>
      </c>
      <c r="B270" t="s">
        <v>151</v>
      </c>
      <c r="C270" t="s">
        <v>105</v>
      </c>
      <c r="D270" s="1">
        <v>41655</v>
      </c>
      <c r="E270" t="s">
        <v>35</v>
      </c>
      <c r="F270" t="s">
        <v>184</v>
      </c>
      <c r="G270" s="5">
        <v>1518</v>
      </c>
      <c r="P270" s="5"/>
      <c r="T270"/>
      <c r="AE270" s="5"/>
      <c r="AF270" s="5"/>
      <c r="AI270"/>
      <c r="AJ270"/>
    </row>
    <row r="271" spans="1:36" hidden="1" x14ac:dyDescent="0.25">
      <c r="A271" t="s">
        <v>520</v>
      </c>
      <c r="B271" t="s">
        <v>312</v>
      </c>
      <c r="C271" t="s">
        <v>389</v>
      </c>
      <c r="D271" s="1">
        <v>44774</v>
      </c>
      <c r="E271" t="s">
        <v>35</v>
      </c>
      <c r="F271" t="s">
        <v>417</v>
      </c>
      <c r="G271" s="5">
        <v>1819.55</v>
      </c>
      <c r="P271" s="5"/>
      <c r="T271"/>
      <c r="AE271" s="5"/>
      <c r="AF271" s="5"/>
      <c r="AI271"/>
      <c r="AJ271"/>
    </row>
    <row r="272" spans="1:36" hidden="1" x14ac:dyDescent="0.25">
      <c r="A272" t="s">
        <v>520</v>
      </c>
      <c r="B272" t="s">
        <v>312</v>
      </c>
      <c r="C272" t="s">
        <v>389</v>
      </c>
      <c r="D272" s="1">
        <v>44774</v>
      </c>
      <c r="E272" t="s">
        <v>35</v>
      </c>
      <c r="F272" t="s">
        <v>6</v>
      </c>
      <c r="G272" s="5">
        <v>300</v>
      </c>
      <c r="P272" s="5"/>
      <c r="T272"/>
      <c r="AE272" s="5"/>
      <c r="AF272" s="5"/>
      <c r="AI272"/>
      <c r="AJ272"/>
    </row>
    <row r="273" spans="1:36" hidden="1" x14ac:dyDescent="0.25">
      <c r="A273" t="s">
        <v>520</v>
      </c>
      <c r="B273" t="s">
        <v>312</v>
      </c>
      <c r="C273" t="s">
        <v>389</v>
      </c>
      <c r="D273" s="1">
        <v>44774</v>
      </c>
      <c r="E273" t="s">
        <v>35</v>
      </c>
      <c r="F273" t="s">
        <v>4</v>
      </c>
      <c r="G273" s="5">
        <v>20</v>
      </c>
      <c r="P273" s="5"/>
      <c r="T273"/>
      <c r="AE273" s="5"/>
      <c r="AF273" s="5"/>
      <c r="AI273"/>
      <c r="AJ273"/>
    </row>
    <row r="274" spans="1:36" hidden="1" x14ac:dyDescent="0.25">
      <c r="A274" t="s">
        <v>520</v>
      </c>
      <c r="B274" t="s">
        <v>312</v>
      </c>
      <c r="C274" t="s">
        <v>389</v>
      </c>
      <c r="D274" s="1">
        <v>44774</v>
      </c>
      <c r="E274" t="s">
        <v>35</v>
      </c>
      <c r="F274" t="s">
        <v>184</v>
      </c>
      <c r="G274" s="5">
        <v>1819.55</v>
      </c>
      <c r="P274" s="5"/>
      <c r="T274"/>
      <c r="AE274" s="5"/>
      <c r="AF274" s="5"/>
      <c r="AI274"/>
      <c r="AJ274"/>
    </row>
    <row r="275" spans="1:36" hidden="1" x14ac:dyDescent="0.25">
      <c r="A275" t="s">
        <v>520</v>
      </c>
      <c r="B275" t="s">
        <v>218</v>
      </c>
      <c r="C275" t="s">
        <v>56</v>
      </c>
      <c r="D275" s="1">
        <v>43444</v>
      </c>
      <c r="E275" t="s">
        <v>35</v>
      </c>
      <c r="F275" t="s">
        <v>417</v>
      </c>
      <c r="G275" s="5">
        <v>1660</v>
      </c>
      <c r="P275" s="5"/>
      <c r="T275"/>
      <c r="AE275" s="5"/>
      <c r="AF275" s="5"/>
      <c r="AI275"/>
      <c r="AJ275"/>
    </row>
    <row r="276" spans="1:36" hidden="1" x14ac:dyDescent="0.25">
      <c r="A276" t="s">
        <v>520</v>
      </c>
      <c r="B276" t="s">
        <v>218</v>
      </c>
      <c r="C276" t="s">
        <v>56</v>
      </c>
      <c r="D276" s="1">
        <v>43444</v>
      </c>
      <c r="E276" t="s">
        <v>35</v>
      </c>
      <c r="F276" t="s">
        <v>5</v>
      </c>
      <c r="G276" s="5">
        <v>166</v>
      </c>
      <c r="P276" s="5"/>
      <c r="T276"/>
      <c r="AE276" s="5"/>
      <c r="AF276" s="5"/>
      <c r="AI276"/>
      <c r="AJ276"/>
    </row>
    <row r="277" spans="1:36" hidden="1" x14ac:dyDescent="0.25">
      <c r="A277" t="s">
        <v>520</v>
      </c>
      <c r="B277" t="s">
        <v>218</v>
      </c>
      <c r="C277" t="s">
        <v>56</v>
      </c>
      <c r="D277" s="1">
        <v>43444</v>
      </c>
      <c r="E277" t="s">
        <v>35</v>
      </c>
      <c r="F277" t="s">
        <v>3</v>
      </c>
      <c r="G277" s="5">
        <v>83</v>
      </c>
      <c r="P277" s="5"/>
      <c r="T277"/>
      <c r="AE277" s="5"/>
      <c r="AF277" s="5"/>
      <c r="AI277"/>
      <c r="AJ277"/>
    </row>
    <row r="278" spans="1:36" hidden="1" x14ac:dyDescent="0.25">
      <c r="A278" t="s">
        <v>520</v>
      </c>
      <c r="B278" t="s">
        <v>218</v>
      </c>
      <c r="C278" t="s">
        <v>56</v>
      </c>
      <c r="D278" s="1">
        <v>43444</v>
      </c>
      <c r="E278" t="s">
        <v>35</v>
      </c>
      <c r="F278" t="s">
        <v>4</v>
      </c>
      <c r="G278" s="5">
        <v>20</v>
      </c>
      <c r="P278" s="5"/>
      <c r="T278"/>
      <c r="AE278" s="5"/>
      <c r="AF278" s="5"/>
      <c r="AI278"/>
      <c r="AJ278"/>
    </row>
    <row r="279" spans="1:36" hidden="1" x14ac:dyDescent="0.25">
      <c r="A279" t="s">
        <v>520</v>
      </c>
      <c r="B279" t="s">
        <v>218</v>
      </c>
      <c r="C279" t="s">
        <v>56</v>
      </c>
      <c r="D279" s="1">
        <v>43444</v>
      </c>
      <c r="E279" t="s">
        <v>35</v>
      </c>
      <c r="F279" t="s">
        <v>1</v>
      </c>
      <c r="G279" s="5">
        <v>664</v>
      </c>
      <c r="P279" s="5"/>
      <c r="T279"/>
      <c r="AE279" s="5"/>
      <c r="AF279" s="5"/>
      <c r="AI279"/>
      <c r="AJ279"/>
    </row>
    <row r="280" spans="1:36" hidden="1" x14ac:dyDescent="0.25">
      <c r="A280" t="s">
        <v>520</v>
      </c>
      <c r="B280" t="s">
        <v>218</v>
      </c>
      <c r="C280" t="s">
        <v>56</v>
      </c>
      <c r="D280" s="1">
        <v>43444</v>
      </c>
      <c r="E280" t="s">
        <v>35</v>
      </c>
      <c r="F280" t="s">
        <v>24</v>
      </c>
      <c r="G280" s="5">
        <v>99.6</v>
      </c>
      <c r="P280" s="5"/>
      <c r="T280"/>
      <c r="AE280" s="5"/>
      <c r="AF280" s="5"/>
      <c r="AI280"/>
      <c r="AJ280"/>
    </row>
    <row r="281" spans="1:36" hidden="1" x14ac:dyDescent="0.25">
      <c r="A281" t="s">
        <v>520</v>
      </c>
      <c r="B281" t="s">
        <v>218</v>
      </c>
      <c r="C281" t="s">
        <v>56</v>
      </c>
      <c r="D281" s="1">
        <v>43444</v>
      </c>
      <c r="E281" t="s">
        <v>35</v>
      </c>
      <c r="F281" t="s">
        <v>418</v>
      </c>
      <c r="G281" s="5">
        <v>16.899999999999999</v>
      </c>
      <c r="P281" s="5"/>
      <c r="T281"/>
      <c r="AE281" s="5"/>
      <c r="AF281" s="5"/>
      <c r="AI281"/>
      <c r="AJ281"/>
    </row>
    <row r="282" spans="1:36" hidden="1" x14ac:dyDescent="0.25">
      <c r="A282" t="s">
        <v>520</v>
      </c>
      <c r="B282" t="s">
        <v>218</v>
      </c>
      <c r="C282" t="s">
        <v>56</v>
      </c>
      <c r="D282" s="1">
        <v>43444</v>
      </c>
      <c r="E282" t="s">
        <v>35</v>
      </c>
      <c r="F282" t="s">
        <v>184</v>
      </c>
      <c r="G282" s="5">
        <v>1660</v>
      </c>
      <c r="P282" s="5"/>
      <c r="T282"/>
      <c r="AE282" s="5"/>
      <c r="AF282" s="5"/>
      <c r="AI282"/>
      <c r="AJ282"/>
    </row>
    <row r="283" spans="1:36" hidden="1" x14ac:dyDescent="0.25">
      <c r="A283" t="s">
        <v>520</v>
      </c>
      <c r="B283" t="s">
        <v>379</v>
      </c>
      <c r="C283" t="s">
        <v>58</v>
      </c>
      <c r="D283" s="1">
        <v>44958</v>
      </c>
      <c r="E283" t="s">
        <v>35</v>
      </c>
      <c r="F283" t="s">
        <v>417</v>
      </c>
      <c r="G283" s="5">
        <v>1660</v>
      </c>
      <c r="P283" s="5"/>
      <c r="T283"/>
      <c r="AE283" s="5"/>
      <c r="AF283" s="5"/>
      <c r="AI283"/>
      <c r="AJ283"/>
    </row>
    <row r="284" spans="1:36" hidden="1" x14ac:dyDescent="0.25">
      <c r="A284" t="s">
        <v>520</v>
      </c>
      <c r="B284" t="s">
        <v>379</v>
      </c>
      <c r="C284" t="s">
        <v>58</v>
      </c>
      <c r="D284" s="1">
        <v>44958</v>
      </c>
      <c r="E284" t="s">
        <v>35</v>
      </c>
      <c r="F284" t="s">
        <v>7</v>
      </c>
      <c r="G284" s="5">
        <v>65</v>
      </c>
      <c r="P284" s="5"/>
      <c r="T284"/>
      <c r="AE284" s="5"/>
      <c r="AF284" s="5"/>
      <c r="AI284"/>
      <c r="AJ284"/>
    </row>
    <row r="285" spans="1:36" hidden="1" x14ac:dyDescent="0.25">
      <c r="A285" t="s">
        <v>520</v>
      </c>
      <c r="B285" t="s">
        <v>379</v>
      </c>
      <c r="C285" t="s">
        <v>58</v>
      </c>
      <c r="D285" s="1">
        <v>44958</v>
      </c>
      <c r="E285" t="s">
        <v>35</v>
      </c>
      <c r="F285" t="s">
        <v>4</v>
      </c>
      <c r="G285" s="5">
        <v>20</v>
      </c>
      <c r="P285" s="5"/>
      <c r="T285"/>
      <c r="AE285" s="5"/>
      <c r="AF285" s="5"/>
      <c r="AI285"/>
      <c r="AJ285"/>
    </row>
    <row r="286" spans="1:36" hidden="1" x14ac:dyDescent="0.25">
      <c r="A286" t="s">
        <v>520</v>
      </c>
      <c r="B286" t="s">
        <v>379</v>
      </c>
      <c r="C286" t="s">
        <v>58</v>
      </c>
      <c r="D286" s="1">
        <v>44958</v>
      </c>
      <c r="E286" t="s">
        <v>35</v>
      </c>
      <c r="F286" t="s">
        <v>1</v>
      </c>
      <c r="G286" s="5">
        <v>664</v>
      </c>
      <c r="P286" s="5"/>
      <c r="T286"/>
      <c r="AE286" s="5"/>
      <c r="AF286" s="5"/>
      <c r="AI286"/>
      <c r="AJ286"/>
    </row>
    <row r="287" spans="1:36" hidden="1" x14ac:dyDescent="0.25">
      <c r="A287" t="s">
        <v>520</v>
      </c>
      <c r="B287" t="s">
        <v>379</v>
      </c>
      <c r="C287" t="s">
        <v>58</v>
      </c>
      <c r="D287" s="1">
        <v>44958</v>
      </c>
      <c r="E287" t="s">
        <v>35</v>
      </c>
      <c r="F287" t="s">
        <v>184</v>
      </c>
      <c r="G287" s="5">
        <v>1660</v>
      </c>
      <c r="P287" s="5"/>
      <c r="T287"/>
      <c r="AE287" s="5"/>
      <c r="AF287" s="5"/>
      <c r="AI287"/>
      <c r="AJ287"/>
    </row>
    <row r="288" spans="1:36" hidden="1" x14ac:dyDescent="0.25">
      <c r="A288" t="s">
        <v>520</v>
      </c>
      <c r="B288" t="s">
        <v>402</v>
      </c>
      <c r="C288" t="s">
        <v>389</v>
      </c>
      <c r="D288" s="1">
        <v>44874</v>
      </c>
      <c r="E288" t="s">
        <v>35</v>
      </c>
      <c r="F288" t="s">
        <v>417</v>
      </c>
      <c r="G288" s="5">
        <v>1660</v>
      </c>
      <c r="P288" s="5"/>
      <c r="T288"/>
      <c r="AE288" s="5"/>
      <c r="AF288" s="5"/>
      <c r="AI288"/>
      <c r="AJ288"/>
    </row>
    <row r="289" spans="1:36" hidden="1" x14ac:dyDescent="0.25">
      <c r="A289" t="s">
        <v>520</v>
      </c>
      <c r="B289" t="s">
        <v>402</v>
      </c>
      <c r="C289" t="s">
        <v>389</v>
      </c>
      <c r="D289" s="1">
        <v>44874</v>
      </c>
      <c r="E289" t="s">
        <v>35</v>
      </c>
      <c r="F289" t="s">
        <v>7</v>
      </c>
      <c r="G289" s="5">
        <v>65</v>
      </c>
      <c r="P289" s="5"/>
      <c r="T289"/>
      <c r="AE289" s="5"/>
      <c r="AF289" s="5"/>
      <c r="AI289"/>
      <c r="AJ289"/>
    </row>
    <row r="290" spans="1:36" hidden="1" x14ac:dyDescent="0.25">
      <c r="A290" t="s">
        <v>520</v>
      </c>
      <c r="B290" t="s">
        <v>402</v>
      </c>
      <c r="C290" t="s">
        <v>389</v>
      </c>
      <c r="D290" s="1">
        <v>44874</v>
      </c>
      <c r="E290" t="s">
        <v>35</v>
      </c>
      <c r="F290" t="s">
        <v>4</v>
      </c>
      <c r="G290" s="5">
        <v>20</v>
      </c>
      <c r="P290" s="5"/>
      <c r="T290"/>
      <c r="AE290" s="5"/>
      <c r="AF290" s="5"/>
      <c r="AI290"/>
      <c r="AJ290"/>
    </row>
    <row r="291" spans="1:36" hidden="1" x14ac:dyDescent="0.25">
      <c r="A291" t="s">
        <v>520</v>
      </c>
      <c r="B291" t="s">
        <v>402</v>
      </c>
      <c r="C291" t="s">
        <v>389</v>
      </c>
      <c r="D291" s="1">
        <v>44874</v>
      </c>
      <c r="E291" t="s">
        <v>35</v>
      </c>
      <c r="F291" t="s">
        <v>1</v>
      </c>
      <c r="G291" s="5">
        <v>664</v>
      </c>
      <c r="P291" s="5"/>
      <c r="T291"/>
      <c r="AE291" s="5"/>
      <c r="AF291" s="5"/>
      <c r="AI291"/>
      <c r="AJ291"/>
    </row>
    <row r="292" spans="1:36" hidden="1" x14ac:dyDescent="0.25">
      <c r="A292" t="s">
        <v>520</v>
      </c>
      <c r="B292" t="s">
        <v>402</v>
      </c>
      <c r="C292" t="s">
        <v>389</v>
      </c>
      <c r="D292" s="1">
        <v>44874</v>
      </c>
      <c r="E292" t="s">
        <v>35</v>
      </c>
      <c r="F292" t="s">
        <v>24</v>
      </c>
      <c r="G292" s="5">
        <v>99.6</v>
      </c>
      <c r="P292" s="5"/>
      <c r="T292"/>
      <c r="AE292" s="5"/>
      <c r="AF292" s="5"/>
      <c r="AI292"/>
      <c r="AJ292"/>
    </row>
    <row r="293" spans="1:36" hidden="1" x14ac:dyDescent="0.25">
      <c r="A293" t="s">
        <v>520</v>
      </c>
      <c r="B293" t="s">
        <v>402</v>
      </c>
      <c r="C293" t="s">
        <v>389</v>
      </c>
      <c r="D293" s="1">
        <v>44874</v>
      </c>
      <c r="E293" t="s">
        <v>35</v>
      </c>
      <c r="F293" t="s">
        <v>184</v>
      </c>
      <c r="G293" s="5">
        <v>1660</v>
      </c>
      <c r="P293" s="5"/>
      <c r="T293"/>
      <c r="AE293" s="5"/>
      <c r="AF293" s="5"/>
      <c r="AI293"/>
      <c r="AJ293"/>
    </row>
    <row r="294" spans="1:36" hidden="1" x14ac:dyDescent="0.25">
      <c r="A294" t="s">
        <v>520</v>
      </c>
      <c r="B294" t="s">
        <v>204</v>
      </c>
      <c r="C294" t="s">
        <v>58</v>
      </c>
      <c r="D294" s="1">
        <v>43238</v>
      </c>
      <c r="E294" t="s">
        <v>35</v>
      </c>
      <c r="F294" t="s">
        <v>417</v>
      </c>
      <c r="G294" s="5">
        <v>1660</v>
      </c>
      <c r="P294" s="5"/>
      <c r="T294"/>
      <c r="AE294" s="5"/>
      <c r="AF294" s="5"/>
      <c r="AI294"/>
      <c r="AJ294"/>
    </row>
    <row r="295" spans="1:36" hidden="1" x14ac:dyDescent="0.25">
      <c r="A295" t="s">
        <v>520</v>
      </c>
      <c r="B295" t="s">
        <v>204</v>
      </c>
      <c r="C295" t="s">
        <v>58</v>
      </c>
      <c r="D295" s="1">
        <v>43238</v>
      </c>
      <c r="E295" t="s">
        <v>35</v>
      </c>
      <c r="F295" t="s">
        <v>5</v>
      </c>
      <c r="G295" s="5">
        <v>166</v>
      </c>
      <c r="P295" s="5"/>
      <c r="T295"/>
      <c r="AE295" s="5"/>
      <c r="AF295" s="5"/>
      <c r="AI295"/>
      <c r="AJ295"/>
    </row>
    <row r="296" spans="1:36" hidden="1" x14ac:dyDescent="0.25">
      <c r="A296" t="s">
        <v>520</v>
      </c>
      <c r="B296" t="s">
        <v>204</v>
      </c>
      <c r="C296" t="s">
        <v>58</v>
      </c>
      <c r="D296" s="1">
        <v>43238</v>
      </c>
      <c r="E296" t="s">
        <v>35</v>
      </c>
      <c r="F296" t="s">
        <v>7</v>
      </c>
      <c r="G296" s="5">
        <v>65</v>
      </c>
      <c r="P296" s="5"/>
      <c r="T296"/>
      <c r="AE296" s="5"/>
      <c r="AF296" s="5"/>
      <c r="AI296"/>
      <c r="AJ296"/>
    </row>
    <row r="297" spans="1:36" hidden="1" x14ac:dyDescent="0.25">
      <c r="A297" t="s">
        <v>520</v>
      </c>
      <c r="B297" t="s">
        <v>204</v>
      </c>
      <c r="C297" t="s">
        <v>58</v>
      </c>
      <c r="D297" s="1">
        <v>43238</v>
      </c>
      <c r="E297" t="s">
        <v>35</v>
      </c>
      <c r="F297" t="s">
        <v>6</v>
      </c>
      <c r="G297" s="5">
        <v>79.09</v>
      </c>
      <c r="P297" s="5"/>
      <c r="T297"/>
      <c r="AE297" s="5"/>
      <c r="AF297" s="5"/>
      <c r="AI297"/>
      <c r="AJ297"/>
    </row>
    <row r="298" spans="1:36" hidden="1" x14ac:dyDescent="0.25">
      <c r="A298" t="s">
        <v>520</v>
      </c>
      <c r="B298" t="s">
        <v>204</v>
      </c>
      <c r="C298" t="s">
        <v>58</v>
      </c>
      <c r="D298" s="1">
        <v>43238</v>
      </c>
      <c r="E298" t="s">
        <v>35</v>
      </c>
      <c r="F298" t="s">
        <v>4</v>
      </c>
      <c r="G298" s="5">
        <v>20</v>
      </c>
      <c r="P298" s="5"/>
      <c r="T298"/>
      <c r="AE298" s="5"/>
      <c r="AF298" s="5"/>
      <c r="AI298"/>
      <c r="AJ298"/>
    </row>
    <row r="299" spans="1:36" hidden="1" x14ac:dyDescent="0.25">
      <c r="A299" t="s">
        <v>520</v>
      </c>
      <c r="B299" t="s">
        <v>204</v>
      </c>
      <c r="C299" t="s">
        <v>58</v>
      </c>
      <c r="D299" s="1">
        <v>43238</v>
      </c>
      <c r="E299" t="s">
        <v>35</v>
      </c>
      <c r="F299" t="s">
        <v>1</v>
      </c>
      <c r="G299" s="5">
        <v>664</v>
      </c>
      <c r="P299" s="5"/>
      <c r="T299"/>
      <c r="AE299" s="5"/>
      <c r="AF299" s="5"/>
      <c r="AI299"/>
      <c r="AJ299"/>
    </row>
    <row r="300" spans="1:36" hidden="1" x14ac:dyDescent="0.25">
      <c r="A300" t="s">
        <v>520</v>
      </c>
      <c r="B300" t="s">
        <v>204</v>
      </c>
      <c r="C300" t="s">
        <v>58</v>
      </c>
      <c r="D300" s="1">
        <v>43238</v>
      </c>
      <c r="E300" t="s">
        <v>35</v>
      </c>
      <c r="F300" t="s">
        <v>24</v>
      </c>
      <c r="G300" s="5">
        <v>99.6</v>
      </c>
      <c r="P300" s="5"/>
      <c r="T300"/>
      <c r="AE300" s="5"/>
      <c r="AF300" s="5"/>
      <c r="AI300"/>
      <c r="AJ300"/>
    </row>
    <row r="301" spans="1:36" hidden="1" x14ac:dyDescent="0.25">
      <c r="A301" t="s">
        <v>520</v>
      </c>
      <c r="B301" t="s">
        <v>204</v>
      </c>
      <c r="C301" t="s">
        <v>58</v>
      </c>
      <c r="D301" s="1">
        <v>43238</v>
      </c>
      <c r="E301" t="s">
        <v>35</v>
      </c>
      <c r="F301" t="s">
        <v>184</v>
      </c>
      <c r="G301" s="5">
        <v>1660</v>
      </c>
      <c r="P301" s="5"/>
      <c r="T301"/>
      <c r="AE301" s="5"/>
      <c r="AF301" s="5"/>
      <c r="AI301"/>
      <c r="AJ301"/>
    </row>
    <row r="302" spans="1:36" hidden="1" x14ac:dyDescent="0.25">
      <c r="A302" t="s">
        <v>520</v>
      </c>
      <c r="B302" t="s">
        <v>166</v>
      </c>
      <c r="C302" t="s">
        <v>56</v>
      </c>
      <c r="D302" s="1">
        <v>44663</v>
      </c>
      <c r="E302" t="s">
        <v>35</v>
      </c>
      <c r="F302" t="s">
        <v>417</v>
      </c>
      <c r="G302" s="5">
        <v>1660</v>
      </c>
      <c r="P302" s="5"/>
      <c r="T302"/>
      <c r="AE302" s="5"/>
      <c r="AF302" s="5"/>
      <c r="AI302"/>
      <c r="AJ302"/>
    </row>
    <row r="303" spans="1:36" hidden="1" x14ac:dyDescent="0.25">
      <c r="A303" t="s">
        <v>520</v>
      </c>
      <c r="B303" t="s">
        <v>166</v>
      </c>
      <c r="C303" t="s">
        <v>56</v>
      </c>
      <c r="D303" s="1">
        <v>44663</v>
      </c>
      <c r="E303" t="s">
        <v>35</v>
      </c>
      <c r="F303" t="s">
        <v>5</v>
      </c>
      <c r="G303" s="5">
        <v>83</v>
      </c>
      <c r="P303" s="5"/>
      <c r="T303"/>
      <c r="AE303" s="5"/>
      <c r="AF303" s="5"/>
      <c r="AI303"/>
      <c r="AJ303"/>
    </row>
    <row r="304" spans="1:36" hidden="1" x14ac:dyDescent="0.25">
      <c r="A304" t="s">
        <v>520</v>
      </c>
      <c r="B304" t="s">
        <v>166</v>
      </c>
      <c r="C304" t="s">
        <v>56</v>
      </c>
      <c r="D304" s="1">
        <v>44663</v>
      </c>
      <c r="E304" t="s">
        <v>35</v>
      </c>
      <c r="F304" t="s">
        <v>3</v>
      </c>
      <c r="G304" s="5">
        <v>83</v>
      </c>
      <c r="P304" s="5"/>
      <c r="T304"/>
      <c r="AE304" s="5"/>
      <c r="AF304" s="5"/>
      <c r="AI304"/>
      <c r="AJ304"/>
    </row>
    <row r="305" spans="1:36" hidden="1" x14ac:dyDescent="0.25">
      <c r="A305" t="s">
        <v>520</v>
      </c>
      <c r="B305" t="s">
        <v>166</v>
      </c>
      <c r="C305" t="s">
        <v>56</v>
      </c>
      <c r="D305" s="1">
        <v>44663</v>
      </c>
      <c r="E305" t="s">
        <v>35</v>
      </c>
      <c r="F305" t="s">
        <v>4</v>
      </c>
      <c r="G305" s="5">
        <v>20</v>
      </c>
      <c r="P305" s="5"/>
      <c r="T305"/>
      <c r="AE305" s="5"/>
      <c r="AF305" s="5"/>
      <c r="AI305"/>
      <c r="AJ305"/>
    </row>
    <row r="306" spans="1:36" hidden="1" x14ac:dyDescent="0.25">
      <c r="A306" t="s">
        <v>520</v>
      </c>
      <c r="B306" t="s">
        <v>166</v>
      </c>
      <c r="C306" t="s">
        <v>56</v>
      </c>
      <c r="D306" s="1">
        <v>44663</v>
      </c>
      <c r="E306" t="s">
        <v>35</v>
      </c>
      <c r="F306" t="s">
        <v>1</v>
      </c>
      <c r="G306" s="5">
        <v>664</v>
      </c>
      <c r="P306" s="5"/>
      <c r="T306"/>
      <c r="AE306" s="5"/>
      <c r="AF306" s="5"/>
      <c r="AI306"/>
      <c r="AJ306"/>
    </row>
    <row r="307" spans="1:36" hidden="1" x14ac:dyDescent="0.25">
      <c r="A307" t="s">
        <v>520</v>
      </c>
      <c r="B307" t="s">
        <v>166</v>
      </c>
      <c r="C307" t="s">
        <v>56</v>
      </c>
      <c r="D307" s="1">
        <v>44663</v>
      </c>
      <c r="E307" t="s">
        <v>35</v>
      </c>
      <c r="F307" t="s">
        <v>184</v>
      </c>
      <c r="G307" s="5">
        <v>1660</v>
      </c>
      <c r="P307" s="5"/>
      <c r="T307"/>
      <c r="AE307" s="5"/>
      <c r="AF307" s="5"/>
      <c r="AI307"/>
      <c r="AJ307"/>
    </row>
    <row r="308" spans="1:36" hidden="1" x14ac:dyDescent="0.25">
      <c r="A308" t="s">
        <v>520</v>
      </c>
      <c r="B308" t="s">
        <v>173</v>
      </c>
      <c r="C308" t="s">
        <v>58</v>
      </c>
      <c r="D308" s="1">
        <v>43056</v>
      </c>
      <c r="E308" t="s">
        <v>35</v>
      </c>
      <c r="F308" t="s">
        <v>417</v>
      </c>
      <c r="G308" s="5">
        <v>1660</v>
      </c>
      <c r="P308" s="5"/>
      <c r="T308"/>
      <c r="AE308" s="5"/>
      <c r="AF308" s="5"/>
      <c r="AI308"/>
      <c r="AJ308"/>
    </row>
    <row r="309" spans="1:36" hidden="1" x14ac:dyDescent="0.25">
      <c r="A309" t="s">
        <v>520</v>
      </c>
      <c r="B309" t="s">
        <v>173</v>
      </c>
      <c r="C309" t="s">
        <v>58</v>
      </c>
      <c r="D309" s="1">
        <v>43056</v>
      </c>
      <c r="E309" t="s">
        <v>35</v>
      </c>
      <c r="F309" t="s">
        <v>5</v>
      </c>
      <c r="G309" s="5">
        <v>166</v>
      </c>
      <c r="P309" s="5"/>
      <c r="T309"/>
      <c r="AE309" s="5"/>
      <c r="AF309" s="5"/>
      <c r="AI309"/>
      <c r="AJ309"/>
    </row>
    <row r="310" spans="1:36" hidden="1" x14ac:dyDescent="0.25">
      <c r="A310" t="s">
        <v>520</v>
      </c>
      <c r="B310" t="s">
        <v>173</v>
      </c>
      <c r="C310" t="s">
        <v>58</v>
      </c>
      <c r="D310" s="1">
        <v>43056</v>
      </c>
      <c r="E310" t="s">
        <v>35</v>
      </c>
      <c r="F310" t="s">
        <v>4</v>
      </c>
      <c r="G310" s="5">
        <v>20</v>
      </c>
      <c r="P310" s="5"/>
      <c r="T310"/>
      <c r="AE310" s="5"/>
      <c r="AF310" s="5"/>
      <c r="AI310"/>
      <c r="AJ310"/>
    </row>
    <row r="311" spans="1:36" hidden="1" x14ac:dyDescent="0.25">
      <c r="A311" t="s">
        <v>520</v>
      </c>
      <c r="B311" t="s">
        <v>173</v>
      </c>
      <c r="C311" t="s">
        <v>58</v>
      </c>
      <c r="D311" s="1">
        <v>43056</v>
      </c>
      <c r="E311" t="s">
        <v>35</v>
      </c>
      <c r="F311" t="s">
        <v>1</v>
      </c>
      <c r="G311" s="5">
        <v>664</v>
      </c>
      <c r="P311" s="5"/>
      <c r="T311"/>
      <c r="AE311" s="5"/>
      <c r="AF311" s="5"/>
      <c r="AI311"/>
      <c r="AJ311"/>
    </row>
    <row r="312" spans="1:36" hidden="1" x14ac:dyDescent="0.25">
      <c r="A312" t="s">
        <v>520</v>
      </c>
      <c r="B312" t="s">
        <v>173</v>
      </c>
      <c r="C312" t="s">
        <v>58</v>
      </c>
      <c r="D312" s="1">
        <v>43056</v>
      </c>
      <c r="E312" t="s">
        <v>35</v>
      </c>
      <c r="F312" t="s">
        <v>24</v>
      </c>
      <c r="G312" s="5">
        <v>99.6</v>
      </c>
      <c r="P312" s="5"/>
      <c r="T312"/>
      <c r="AE312" s="5"/>
      <c r="AF312" s="5"/>
      <c r="AI312"/>
      <c r="AJ312"/>
    </row>
    <row r="313" spans="1:36" hidden="1" x14ac:dyDescent="0.25">
      <c r="A313" t="s">
        <v>520</v>
      </c>
      <c r="B313" t="s">
        <v>173</v>
      </c>
      <c r="C313" t="s">
        <v>58</v>
      </c>
      <c r="D313" s="1">
        <v>43056</v>
      </c>
      <c r="E313" t="s">
        <v>35</v>
      </c>
      <c r="F313" t="s">
        <v>184</v>
      </c>
      <c r="G313" s="5">
        <v>1660</v>
      </c>
      <c r="P313" s="5"/>
      <c r="T313"/>
      <c r="AE313" s="5"/>
      <c r="AF313" s="5"/>
      <c r="AI313"/>
      <c r="AJ313"/>
    </row>
    <row r="314" spans="1:36" hidden="1" x14ac:dyDescent="0.25">
      <c r="A314" t="s">
        <v>520</v>
      </c>
      <c r="B314" t="s">
        <v>174</v>
      </c>
      <c r="C314" t="s">
        <v>391</v>
      </c>
      <c r="D314" s="1">
        <v>42851</v>
      </c>
      <c r="E314" t="s">
        <v>35</v>
      </c>
      <c r="F314" t="s">
        <v>417</v>
      </c>
      <c r="G314" s="5">
        <v>2092.21</v>
      </c>
      <c r="P314" s="5"/>
      <c r="T314"/>
      <c r="AE314" s="5"/>
      <c r="AF314" s="5"/>
      <c r="AI314"/>
      <c r="AJ314"/>
    </row>
    <row r="315" spans="1:36" hidden="1" x14ac:dyDescent="0.25">
      <c r="A315" t="s">
        <v>520</v>
      </c>
      <c r="B315" t="s">
        <v>174</v>
      </c>
      <c r="C315" t="s">
        <v>391</v>
      </c>
      <c r="D315" s="1">
        <v>42851</v>
      </c>
      <c r="E315" t="s">
        <v>35</v>
      </c>
      <c r="F315" t="s">
        <v>5</v>
      </c>
      <c r="G315" s="5">
        <v>209.22</v>
      </c>
      <c r="P315" s="5"/>
      <c r="T315"/>
      <c r="AE315" s="5"/>
      <c r="AF315" s="5"/>
      <c r="AI315"/>
      <c r="AJ315"/>
    </row>
    <row r="316" spans="1:36" hidden="1" x14ac:dyDescent="0.25">
      <c r="A316" t="s">
        <v>520</v>
      </c>
      <c r="B316" t="s">
        <v>174</v>
      </c>
      <c r="C316" t="s">
        <v>391</v>
      </c>
      <c r="D316" s="1">
        <v>42851</v>
      </c>
      <c r="E316" t="s">
        <v>35</v>
      </c>
      <c r="F316" t="s">
        <v>6</v>
      </c>
      <c r="G316" s="5">
        <v>48</v>
      </c>
      <c r="P316" s="5"/>
      <c r="T316"/>
      <c r="AE316" s="5"/>
      <c r="AF316" s="5"/>
      <c r="AI316"/>
      <c r="AJ316"/>
    </row>
    <row r="317" spans="1:36" hidden="1" x14ac:dyDescent="0.25">
      <c r="A317" t="s">
        <v>520</v>
      </c>
      <c r="B317" t="s">
        <v>174</v>
      </c>
      <c r="C317" t="s">
        <v>391</v>
      </c>
      <c r="D317" s="1">
        <v>42851</v>
      </c>
      <c r="E317" t="s">
        <v>35</v>
      </c>
      <c r="F317" t="s">
        <v>4</v>
      </c>
      <c r="G317" s="5">
        <v>20</v>
      </c>
      <c r="P317" s="5"/>
      <c r="T317"/>
      <c r="AE317" s="5"/>
      <c r="AF317" s="5"/>
      <c r="AI317"/>
      <c r="AJ317"/>
    </row>
    <row r="318" spans="1:36" hidden="1" x14ac:dyDescent="0.25">
      <c r="A318" t="s">
        <v>520</v>
      </c>
      <c r="B318" t="s">
        <v>174</v>
      </c>
      <c r="C318" t="s">
        <v>391</v>
      </c>
      <c r="D318" s="1">
        <v>42851</v>
      </c>
      <c r="E318" t="s">
        <v>35</v>
      </c>
      <c r="F318" t="s">
        <v>1</v>
      </c>
      <c r="G318" s="5">
        <v>836.88</v>
      </c>
      <c r="P318" s="5"/>
      <c r="T318"/>
      <c r="AE318" s="5"/>
      <c r="AF318" s="5"/>
      <c r="AI318"/>
      <c r="AJ318"/>
    </row>
    <row r="319" spans="1:36" hidden="1" x14ac:dyDescent="0.25">
      <c r="A319" t="s">
        <v>520</v>
      </c>
      <c r="B319" t="s">
        <v>174</v>
      </c>
      <c r="C319" t="s">
        <v>391</v>
      </c>
      <c r="D319" s="1">
        <v>42851</v>
      </c>
      <c r="E319" t="s">
        <v>35</v>
      </c>
      <c r="F319" t="s">
        <v>184</v>
      </c>
      <c r="G319" s="5">
        <v>2092.21</v>
      </c>
      <c r="P319" s="5"/>
      <c r="T319"/>
      <c r="AE319" s="5"/>
      <c r="AF319" s="5"/>
      <c r="AI319"/>
      <c r="AJ319"/>
    </row>
    <row r="320" spans="1:36" hidden="1" x14ac:dyDescent="0.25">
      <c r="A320" t="s">
        <v>520</v>
      </c>
      <c r="B320" t="s">
        <v>440</v>
      </c>
      <c r="C320" t="s">
        <v>388</v>
      </c>
      <c r="D320" s="1">
        <v>45355</v>
      </c>
      <c r="E320" t="s">
        <v>35</v>
      </c>
      <c r="F320" t="s">
        <v>417</v>
      </c>
      <c r="G320" s="5">
        <v>1660</v>
      </c>
      <c r="P320" s="5"/>
      <c r="T320"/>
      <c r="AE320" s="5"/>
      <c r="AF320" s="5"/>
      <c r="AI320"/>
      <c r="AJ320"/>
    </row>
    <row r="321" spans="1:36" hidden="1" x14ac:dyDescent="0.25">
      <c r="A321" t="s">
        <v>520</v>
      </c>
      <c r="B321" t="s">
        <v>440</v>
      </c>
      <c r="C321" t="s">
        <v>388</v>
      </c>
      <c r="D321" s="1">
        <v>45355</v>
      </c>
      <c r="E321" t="s">
        <v>35</v>
      </c>
      <c r="F321" t="s">
        <v>4</v>
      </c>
      <c r="G321" s="5">
        <v>20</v>
      </c>
      <c r="P321" s="5"/>
      <c r="T321"/>
      <c r="AE321" s="5"/>
      <c r="AF321" s="5"/>
      <c r="AI321"/>
      <c r="AJ321"/>
    </row>
    <row r="322" spans="1:36" hidden="1" x14ac:dyDescent="0.25">
      <c r="A322" t="s">
        <v>520</v>
      </c>
      <c r="B322" t="s">
        <v>440</v>
      </c>
      <c r="C322" t="s">
        <v>388</v>
      </c>
      <c r="D322" s="1">
        <v>45355</v>
      </c>
      <c r="E322" t="s">
        <v>35</v>
      </c>
      <c r="F322" t="s">
        <v>1</v>
      </c>
      <c r="G322" s="5">
        <v>664</v>
      </c>
      <c r="P322" s="5"/>
      <c r="T322"/>
      <c r="AE322" s="5"/>
      <c r="AF322" s="5"/>
      <c r="AI322"/>
      <c r="AJ322"/>
    </row>
    <row r="323" spans="1:36" hidden="1" x14ac:dyDescent="0.25">
      <c r="A323" t="s">
        <v>520</v>
      </c>
      <c r="B323" t="s">
        <v>440</v>
      </c>
      <c r="C323" t="s">
        <v>388</v>
      </c>
      <c r="D323" s="1">
        <v>45355</v>
      </c>
      <c r="E323" t="s">
        <v>35</v>
      </c>
      <c r="F323" t="s">
        <v>184</v>
      </c>
      <c r="G323" s="5">
        <v>1660</v>
      </c>
      <c r="P323" s="5"/>
      <c r="T323"/>
      <c r="AE323" s="5"/>
      <c r="AF323" s="5"/>
      <c r="AI323"/>
      <c r="AJ323"/>
    </row>
    <row r="324" spans="1:36" hidden="1" x14ac:dyDescent="0.25">
      <c r="A324" t="s">
        <v>520</v>
      </c>
      <c r="B324" t="s">
        <v>175</v>
      </c>
      <c r="C324" t="s">
        <v>388</v>
      </c>
      <c r="D324" s="1">
        <v>43255</v>
      </c>
      <c r="E324" t="s">
        <v>35</v>
      </c>
      <c r="F324" t="s">
        <v>417</v>
      </c>
      <c r="G324" s="5">
        <v>1660</v>
      </c>
      <c r="P324" s="5"/>
      <c r="T324"/>
      <c r="AE324" s="5"/>
      <c r="AF324" s="5"/>
      <c r="AI324"/>
      <c r="AJ324"/>
    </row>
    <row r="325" spans="1:36" hidden="1" x14ac:dyDescent="0.25">
      <c r="A325" t="s">
        <v>520</v>
      </c>
      <c r="B325" t="s">
        <v>175</v>
      </c>
      <c r="C325" t="s">
        <v>388</v>
      </c>
      <c r="D325" s="1">
        <v>43255</v>
      </c>
      <c r="E325" t="s">
        <v>35</v>
      </c>
      <c r="F325" t="s">
        <v>600</v>
      </c>
      <c r="G325" s="5">
        <v>92.27</v>
      </c>
      <c r="P325" s="5"/>
      <c r="T325"/>
      <c r="AE325" s="5"/>
      <c r="AF325" s="5"/>
      <c r="AI325"/>
      <c r="AJ325"/>
    </row>
    <row r="326" spans="1:36" hidden="1" x14ac:dyDescent="0.25">
      <c r="A326" t="s">
        <v>520</v>
      </c>
      <c r="B326" t="s">
        <v>175</v>
      </c>
      <c r="C326" t="s">
        <v>388</v>
      </c>
      <c r="D326" s="1">
        <v>43255</v>
      </c>
      <c r="E326" t="s">
        <v>35</v>
      </c>
      <c r="F326" t="s">
        <v>288</v>
      </c>
      <c r="G326" s="5">
        <v>92.27</v>
      </c>
      <c r="P326" s="5"/>
      <c r="T326"/>
      <c r="AE326" s="5"/>
      <c r="AF326" s="5"/>
      <c r="AI326"/>
      <c r="AJ326"/>
    </row>
    <row r="327" spans="1:36" hidden="1" x14ac:dyDescent="0.25">
      <c r="A327" t="s">
        <v>520</v>
      </c>
      <c r="B327" t="s">
        <v>175</v>
      </c>
      <c r="C327" t="s">
        <v>388</v>
      </c>
      <c r="D327" s="1">
        <v>43255</v>
      </c>
      <c r="E327" t="s">
        <v>35</v>
      </c>
      <c r="F327" t="s">
        <v>559</v>
      </c>
      <c r="G327" s="5">
        <v>1660</v>
      </c>
      <c r="P327" s="5"/>
      <c r="T327"/>
      <c r="AE327" s="5"/>
      <c r="AF327" s="5"/>
      <c r="AI327"/>
      <c r="AJ327"/>
    </row>
    <row r="328" spans="1:36" hidden="1" x14ac:dyDescent="0.25">
      <c r="A328" t="s">
        <v>520</v>
      </c>
      <c r="B328" t="s">
        <v>175</v>
      </c>
      <c r="C328" t="s">
        <v>388</v>
      </c>
      <c r="D328" s="1">
        <v>43255</v>
      </c>
      <c r="E328" t="s">
        <v>35</v>
      </c>
      <c r="F328" t="s">
        <v>184</v>
      </c>
      <c r="G328" s="5">
        <v>1660</v>
      </c>
      <c r="P328" s="5"/>
      <c r="T328"/>
      <c r="AE328" s="5"/>
      <c r="AF328" s="5"/>
      <c r="AI328"/>
      <c r="AJ328"/>
    </row>
    <row r="329" spans="1:36" hidden="1" x14ac:dyDescent="0.25">
      <c r="A329" t="s">
        <v>520</v>
      </c>
      <c r="B329" t="s">
        <v>95</v>
      </c>
      <c r="C329" t="s">
        <v>99</v>
      </c>
      <c r="D329" s="1">
        <v>42675</v>
      </c>
      <c r="E329" t="s">
        <v>35</v>
      </c>
      <c r="F329" t="s">
        <v>417</v>
      </c>
      <c r="G329" s="5">
        <v>3041.4</v>
      </c>
      <c r="P329" s="5"/>
      <c r="T329"/>
      <c r="AE329" s="5"/>
      <c r="AF329" s="5"/>
      <c r="AI329"/>
      <c r="AJ329"/>
    </row>
    <row r="330" spans="1:36" hidden="1" x14ac:dyDescent="0.25">
      <c r="A330" t="s">
        <v>520</v>
      </c>
      <c r="B330" t="s">
        <v>95</v>
      </c>
      <c r="C330" t="s">
        <v>99</v>
      </c>
      <c r="D330" s="1">
        <v>42675</v>
      </c>
      <c r="E330" t="s">
        <v>35</v>
      </c>
      <c r="F330" t="s">
        <v>5</v>
      </c>
      <c r="G330" s="5">
        <v>304.14</v>
      </c>
      <c r="P330" s="5"/>
      <c r="T330"/>
      <c r="AE330" s="5"/>
      <c r="AF330" s="5"/>
      <c r="AI330"/>
      <c r="AJ330"/>
    </row>
    <row r="331" spans="1:36" hidden="1" x14ac:dyDescent="0.25">
      <c r="A331" t="s">
        <v>520</v>
      </c>
      <c r="B331" t="s">
        <v>95</v>
      </c>
      <c r="C331" t="s">
        <v>99</v>
      </c>
      <c r="D331" s="1">
        <v>42675</v>
      </c>
      <c r="E331" t="s">
        <v>35</v>
      </c>
      <c r="F331" t="s">
        <v>4</v>
      </c>
      <c r="G331" s="5">
        <v>20</v>
      </c>
      <c r="P331" s="5"/>
      <c r="T331"/>
      <c r="AE331" s="5"/>
      <c r="AF331" s="5"/>
      <c r="AI331"/>
      <c r="AJ331"/>
    </row>
    <row r="332" spans="1:36" hidden="1" x14ac:dyDescent="0.25">
      <c r="A332" t="s">
        <v>520</v>
      </c>
      <c r="B332" t="s">
        <v>95</v>
      </c>
      <c r="C332" t="s">
        <v>99</v>
      </c>
      <c r="D332" s="1">
        <v>42675</v>
      </c>
      <c r="E332" t="s">
        <v>35</v>
      </c>
      <c r="F332" t="s">
        <v>1</v>
      </c>
      <c r="G332" s="5">
        <v>1216.56</v>
      </c>
      <c r="P332" s="5"/>
      <c r="T332"/>
      <c r="AE332" s="5"/>
      <c r="AF332" s="5"/>
      <c r="AI332"/>
      <c r="AJ332"/>
    </row>
    <row r="333" spans="1:36" hidden="1" x14ac:dyDescent="0.25">
      <c r="A333" t="s">
        <v>520</v>
      </c>
      <c r="B333" t="s">
        <v>95</v>
      </c>
      <c r="C333" t="s">
        <v>99</v>
      </c>
      <c r="D333" s="1">
        <v>42675</v>
      </c>
      <c r="E333" t="s">
        <v>35</v>
      </c>
      <c r="F333" t="s">
        <v>10</v>
      </c>
      <c r="G333" s="5">
        <v>910.8</v>
      </c>
      <c r="P333" s="5"/>
      <c r="T333"/>
      <c r="AE333" s="5"/>
      <c r="AF333" s="5"/>
      <c r="AI333"/>
      <c r="AJ333"/>
    </row>
    <row r="334" spans="1:36" hidden="1" x14ac:dyDescent="0.25">
      <c r="A334" t="s">
        <v>520</v>
      </c>
      <c r="B334" t="s">
        <v>95</v>
      </c>
      <c r="C334" t="s">
        <v>99</v>
      </c>
      <c r="D334" s="1">
        <v>42675</v>
      </c>
      <c r="E334" t="s">
        <v>35</v>
      </c>
      <c r="F334" t="s">
        <v>418</v>
      </c>
      <c r="G334" s="5">
        <v>16.899999999999999</v>
      </c>
      <c r="P334" s="5"/>
      <c r="T334"/>
      <c r="AE334" s="5"/>
      <c r="AF334" s="5"/>
      <c r="AI334"/>
      <c r="AJ334"/>
    </row>
    <row r="335" spans="1:36" hidden="1" x14ac:dyDescent="0.25">
      <c r="A335" t="s">
        <v>520</v>
      </c>
      <c r="B335" t="s">
        <v>95</v>
      </c>
      <c r="C335" t="s">
        <v>99</v>
      </c>
      <c r="D335" s="1">
        <v>42675</v>
      </c>
      <c r="E335" t="s">
        <v>35</v>
      </c>
      <c r="F335" t="s">
        <v>184</v>
      </c>
      <c r="G335" s="5">
        <v>3041.4</v>
      </c>
      <c r="P335" s="5"/>
      <c r="T335"/>
      <c r="AE335" s="5"/>
      <c r="AF335" s="5"/>
      <c r="AI335"/>
      <c r="AJ335"/>
    </row>
    <row r="336" spans="1:36" hidden="1" x14ac:dyDescent="0.25">
      <c r="A336" t="s">
        <v>520</v>
      </c>
      <c r="B336" t="s">
        <v>96</v>
      </c>
      <c r="C336" t="s">
        <v>58</v>
      </c>
      <c r="D336" s="1">
        <v>42927</v>
      </c>
      <c r="E336" t="s">
        <v>35</v>
      </c>
      <c r="F336" t="s">
        <v>417</v>
      </c>
      <c r="G336" s="5">
        <v>1660</v>
      </c>
      <c r="P336" s="5"/>
      <c r="T336"/>
      <c r="AE336" s="5"/>
      <c r="AF336" s="5"/>
      <c r="AI336"/>
      <c r="AJ336"/>
    </row>
    <row r="337" spans="1:36" hidden="1" x14ac:dyDescent="0.25">
      <c r="A337" t="s">
        <v>520</v>
      </c>
      <c r="B337" t="s">
        <v>96</v>
      </c>
      <c r="C337" t="s">
        <v>58</v>
      </c>
      <c r="D337" s="1">
        <v>42927</v>
      </c>
      <c r="E337" t="s">
        <v>35</v>
      </c>
      <c r="F337" t="s">
        <v>5</v>
      </c>
      <c r="G337" s="5">
        <v>166</v>
      </c>
      <c r="P337" s="5"/>
      <c r="T337"/>
      <c r="AE337" s="5"/>
      <c r="AF337" s="5"/>
      <c r="AI337"/>
      <c r="AJ337"/>
    </row>
    <row r="338" spans="1:36" hidden="1" x14ac:dyDescent="0.25">
      <c r="A338" t="s">
        <v>520</v>
      </c>
      <c r="B338" t="s">
        <v>96</v>
      </c>
      <c r="C338" t="s">
        <v>58</v>
      </c>
      <c r="D338" s="1">
        <v>42927</v>
      </c>
      <c r="E338" t="s">
        <v>35</v>
      </c>
      <c r="F338" t="s">
        <v>7</v>
      </c>
      <c r="G338" s="5">
        <v>65</v>
      </c>
      <c r="P338" s="5"/>
      <c r="T338"/>
      <c r="AE338" s="5"/>
      <c r="AF338" s="5"/>
      <c r="AI338"/>
      <c r="AJ338"/>
    </row>
    <row r="339" spans="1:36" hidden="1" x14ac:dyDescent="0.25">
      <c r="A339" t="s">
        <v>520</v>
      </c>
      <c r="B339" t="s">
        <v>96</v>
      </c>
      <c r="C339" t="s">
        <v>58</v>
      </c>
      <c r="D339" s="1">
        <v>42927</v>
      </c>
      <c r="E339" t="s">
        <v>35</v>
      </c>
      <c r="F339" t="s">
        <v>6</v>
      </c>
      <c r="G339" s="5">
        <v>102</v>
      </c>
      <c r="P339" s="5"/>
      <c r="T339"/>
      <c r="AE339" s="5"/>
      <c r="AF339" s="5"/>
      <c r="AI339"/>
      <c r="AJ339"/>
    </row>
    <row r="340" spans="1:36" hidden="1" x14ac:dyDescent="0.25">
      <c r="A340" t="s">
        <v>520</v>
      </c>
      <c r="B340" t="s">
        <v>96</v>
      </c>
      <c r="C340" t="s">
        <v>58</v>
      </c>
      <c r="D340" s="1">
        <v>42927</v>
      </c>
      <c r="E340" t="s">
        <v>35</v>
      </c>
      <c r="F340" t="s">
        <v>4</v>
      </c>
      <c r="G340" s="5">
        <v>20</v>
      </c>
      <c r="P340" s="5"/>
      <c r="T340"/>
      <c r="AE340" s="5"/>
      <c r="AF340" s="5"/>
      <c r="AI340"/>
      <c r="AJ340"/>
    </row>
    <row r="341" spans="1:36" hidden="1" x14ac:dyDescent="0.25">
      <c r="A341" t="s">
        <v>520</v>
      </c>
      <c r="B341" t="s">
        <v>96</v>
      </c>
      <c r="C341" t="s">
        <v>58</v>
      </c>
      <c r="D341" s="1">
        <v>42927</v>
      </c>
      <c r="E341" t="s">
        <v>35</v>
      </c>
      <c r="F341" t="s">
        <v>1</v>
      </c>
      <c r="G341" s="5">
        <v>664</v>
      </c>
      <c r="P341" s="5"/>
      <c r="T341"/>
      <c r="AE341" s="5"/>
      <c r="AF341" s="5"/>
      <c r="AI341"/>
      <c r="AJ341"/>
    </row>
    <row r="342" spans="1:36" hidden="1" x14ac:dyDescent="0.25">
      <c r="A342" t="s">
        <v>520</v>
      </c>
      <c r="B342" t="s">
        <v>96</v>
      </c>
      <c r="C342" t="s">
        <v>58</v>
      </c>
      <c r="D342" s="1">
        <v>42927</v>
      </c>
      <c r="E342" t="s">
        <v>35</v>
      </c>
      <c r="F342" t="s">
        <v>184</v>
      </c>
      <c r="G342" s="5">
        <v>1660</v>
      </c>
      <c r="P342" s="5"/>
      <c r="T342"/>
      <c r="AE342" s="5"/>
      <c r="AF342" s="5"/>
      <c r="AI342"/>
      <c r="AJ342"/>
    </row>
    <row r="343" spans="1:36" hidden="1" x14ac:dyDescent="0.25">
      <c r="A343" t="s">
        <v>521</v>
      </c>
      <c r="B343" t="s">
        <v>457</v>
      </c>
      <c r="C343" t="s">
        <v>58</v>
      </c>
      <c r="D343" s="1">
        <v>45236</v>
      </c>
      <c r="E343" t="s">
        <v>35</v>
      </c>
      <c r="F343" t="s">
        <v>417</v>
      </c>
      <c r="G343" s="5">
        <v>1694.35</v>
      </c>
      <c r="P343" s="5"/>
      <c r="T343"/>
      <c r="AE343" s="5"/>
      <c r="AF343" s="5"/>
      <c r="AI343"/>
      <c r="AJ343"/>
    </row>
    <row r="344" spans="1:36" hidden="1" x14ac:dyDescent="0.25">
      <c r="A344" t="s">
        <v>521</v>
      </c>
      <c r="B344" t="s">
        <v>457</v>
      </c>
      <c r="C344" t="s">
        <v>58</v>
      </c>
      <c r="D344" s="1">
        <v>45236</v>
      </c>
      <c r="E344" t="s">
        <v>35</v>
      </c>
      <c r="F344" t="s">
        <v>1</v>
      </c>
      <c r="G344" s="5">
        <v>677.74</v>
      </c>
      <c r="P344" s="5"/>
      <c r="T344"/>
      <c r="AE344" s="5"/>
      <c r="AF344" s="5"/>
      <c r="AI344"/>
      <c r="AJ344"/>
    </row>
    <row r="345" spans="1:36" hidden="1" x14ac:dyDescent="0.25">
      <c r="A345" t="s">
        <v>521</v>
      </c>
      <c r="B345" t="s">
        <v>457</v>
      </c>
      <c r="C345" t="s">
        <v>58</v>
      </c>
      <c r="D345" s="1">
        <v>45236</v>
      </c>
      <c r="E345" t="s">
        <v>35</v>
      </c>
      <c r="F345" t="s">
        <v>184</v>
      </c>
      <c r="G345" s="5">
        <v>1694.35</v>
      </c>
      <c r="P345" s="5"/>
      <c r="T345"/>
      <c r="AE345" s="5"/>
      <c r="AF345" s="5"/>
      <c r="AI345"/>
      <c r="AJ345"/>
    </row>
    <row r="346" spans="1:36" hidden="1" x14ac:dyDescent="0.25">
      <c r="A346" t="s">
        <v>521</v>
      </c>
      <c r="B346" t="s">
        <v>71</v>
      </c>
      <c r="C346" t="s">
        <v>56</v>
      </c>
      <c r="D346" s="1">
        <v>43199</v>
      </c>
      <c r="E346" t="s">
        <v>35</v>
      </c>
      <c r="F346" t="s">
        <v>417</v>
      </c>
      <c r="G346" s="5">
        <v>1694.35</v>
      </c>
      <c r="P346" s="5"/>
      <c r="T346"/>
      <c r="AE346" s="5"/>
      <c r="AF346" s="5"/>
      <c r="AI346"/>
      <c r="AJ346"/>
    </row>
    <row r="347" spans="1:36" hidden="1" x14ac:dyDescent="0.25">
      <c r="A347" t="s">
        <v>521</v>
      </c>
      <c r="B347" t="s">
        <v>71</v>
      </c>
      <c r="C347" t="s">
        <v>56</v>
      </c>
      <c r="D347" s="1">
        <v>43199</v>
      </c>
      <c r="E347" t="s">
        <v>35</v>
      </c>
      <c r="F347" t="s">
        <v>14</v>
      </c>
      <c r="G347" s="5">
        <v>101.66</v>
      </c>
      <c r="P347" s="5"/>
      <c r="T347"/>
      <c r="AE347" s="5"/>
      <c r="AF347" s="5"/>
      <c r="AI347"/>
      <c r="AJ347"/>
    </row>
    <row r="348" spans="1:36" hidden="1" x14ac:dyDescent="0.25">
      <c r="A348" t="s">
        <v>521</v>
      </c>
      <c r="B348" t="s">
        <v>71</v>
      </c>
      <c r="C348" t="s">
        <v>56</v>
      </c>
      <c r="D348" s="1">
        <v>43199</v>
      </c>
      <c r="E348" t="s">
        <v>35</v>
      </c>
      <c r="F348" t="s">
        <v>16</v>
      </c>
      <c r="G348" s="5">
        <v>169.44</v>
      </c>
      <c r="P348" s="5"/>
      <c r="T348"/>
      <c r="AE348" s="5"/>
      <c r="AF348" s="5"/>
      <c r="AI348"/>
      <c r="AJ348"/>
    </row>
    <row r="349" spans="1:36" hidden="1" x14ac:dyDescent="0.25">
      <c r="A349" t="s">
        <v>521</v>
      </c>
      <c r="B349" t="s">
        <v>71</v>
      </c>
      <c r="C349" t="s">
        <v>56</v>
      </c>
      <c r="D349" s="1">
        <v>43199</v>
      </c>
      <c r="E349" t="s">
        <v>35</v>
      </c>
      <c r="F349" t="s">
        <v>1</v>
      </c>
      <c r="G349" s="5">
        <v>677.74</v>
      </c>
      <c r="P349" s="5"/>
      <c r="T349"/>
      <c r="AE349" s="5"/>
      <c r="AF349" s="5"/>
      <c r="AI349"/>
      <c r="AJ349"/>
    </row>
    <row r="350" spans="1:36" hidden="1" x14ac:dyDescent="0.25">
      <c r="A350" t="s">
        <v>521</v>
      </c>
      <c r="B350" t="s">
        <v>71</v>
      </c>
      <c r="C350" t="s">
        <v>56</v>
      </c>
      <c r="D350" s="1">
        <v>43199</v>
      </c>
      <c r="E350" t="s">
        <v>35</v>
      </c>
      <c r="F350" t="s">
        <v>184</v>
      </c>
      <c r="G350" s="5">
        <v>1694.35</v>
      </c>
      <c r="P350" s="5"/>
      <c r="T350"/>
      <c r="AE350" s="5"/>
      <c r="AF350" s="5"/>
      <c r="AI350"/>
      <c r="AJ350"/>
    </row>
    <row r="351" spans="1:36" hidden="1" x14ac:dyDescent="0.25">
      <c r="A351" t="s">
        <v>521</v>
      </c>
      <c r="B351" t="s">
        <v>444</v>
      </c>
      <c r="C351" t="s">
        <v>124</v>
      </c>
      <c r="D351" s="1">
        <v>45271</v>
      </c>
      <c r="E351" t="s">
        <v>35</v>
      </c>
      <c r="F351" t="s">
        <v>417</v>
      </c>
      <c r="G351" s="5">
        <v>2834.71</v>
      </c>
      <c r="P351" s="5"/>
      <c r="T351"/>
      <c r="AE351" s="5"/>
      <c r="AF351" s="5"/>
      <c r="AI351"/>
      <c r="AJ351"/>
    </row>
    <row r="352" spans="1:36" hidden="1" x14ac:dyDescent="0.25">
      <c r="A352" t="s">
        <v>521</v>
      </c>
      <c r="B352" t="s">
        <v>444</v>
      </c>
      <c r="C352" t="s">
        <v>124</v>
      </c>
      <c r="D352" s="1">
        <v>45271</v>
      </c>
      <c r="E352" t="s">
        <v>35</v>
      </c>
      <c r="F352" t="s">
        <v>1</v>
      </c>
      <c r="G352" s="5">
        <v>1133.8800000000001</v>
      </c>
      <c r="P352" s="5"/>
      <c r="T352"/>
      <c r="AE352" s="5"/>
      <c r="AF352" s="5"/>
      <c r="AI352"/>
      <c r="AJ352"/>
    </row>
    <row r="353" spans="1:36" hidden="1" x14ac:dyDescent="0.25">
      <c r="A353" t="s">
        <v>521</v>
      </c>
      <c r="B353" t="s">
        <v>444</v>
      </c>
      <c r="C353" t="s">
        <v>124</v>
      </c>
      <c r="D353" s="1">
        <v>45271</v>
      </c>
      <c r="E353" t="s">
        <v>35</v>
      </c>
      <c r="F353" t="s">
        <v>184</v>
      </c>
      <c r="G353" s="5">
        <v>2834.71</v>
      </c>
      <c r="P353" s="5"/>
      <c r="T353"/>
      <c r="AE353" s="5"/>
      <c r="AF353" s="5"/>
      <c r="AI353"/>
      <c r="AJ353"/>
    </row>
    <row r="354" spans="1:36" hidden="1" x14ac:dyDescent="0.25">
      <c r="A354" t="s">
        <v>521</v>
      </c>
      <c r="B354" t="s">
        <v>458</v>
      </c>
      <c r="C354" t="s">
        <v>58</v>
      </c>
      <c r="D354" s="1">
        <v>45236</v>
      </c>
      <c r="E354" t="s">
        <v>67</v>
      </c>
      <c r="F354" t="s">
        <v>23</v>
      </c>
      <c r="G354" s="5">
        <v>734.22</v>
      </c>
      <c r="P354" s="5"/>
      <c r="T354"/>
      <c r="AE354" s="5"/>
      <c r="AF354" s="5"/>
      <c r="AI354"/>
      <c r="AJ354"/>
    </row>
    <row r="355" spans="1:36" hidden="1" x14ac:dyDescent="0.25">
      <c r="A355" t="s">
        <v>521</v>
      </c>
      <c r="B355" t="s">
        <v>458</v>
      </c>
      <c r="C355" t="s">
        <v>58</v>
      </c>
      <c r="D355" s="1">
        <v>45236</v>
      </c>
      <c r="E355" t="s">
        <v>67</v>
      </c>
      <c r="F355" t="s">
        <v>7</v>
      </c>
      <c r="G355" s="5">
        <v>28.17</v>
      </c>
      <c r="P355" s="5"/>
      <c r="T355"/>
      <c r="AE355" s="5"/>
      <c r="AF355" s="5"/>
      <c r="AI355"/>
      <c r="AJ355"/>
    </row>
    <row r="356" spans="1:36" hidden="1" x14ac:dyDescent="0.25">
      <c r="A356" t="s">
        <v>521</v>
      </c>
      <c r="B356" t="s">
        <v>458</v>
      </c>
      <c r="C356" t="s">
        <v>58</v>
      </c>
      <c r="D356" s="1">
        <v>45236</v>
      </c>
      <c r="E356" t="s">
        <v>67</v>
      </c>
      <c r="F356" t="s">
        <v>707</v>
      </c>
      <c r="G356" s="5">
        <v>338.87</v>
      </c>
      <c r="P356" s="5"/>
      <c r="T356"/>
      <c r="AE356" s="5"/>
      <c r="AF356" s="5"/>
      <c r="AI356"/>
      <c r="AJ356"/>
    </row>
    <row r="357" spans="1:36" hidden="1" x14ac:dyDescent="0.25">
      <c r="A357" t="s">
        <v>521</v>
      </c>
      <c r="B357" t="s">
        <v>458</v>
      </c>
      <c r="C357" t="s">
        <v>58</v>
      </c>
      <c r="D357" s="1">
        <v>45236</v>
      </c>
      <c r="E357" t="s">
        <v>67</v>
      </c>
      <c r="F357" t="s">
        <v>273</v>
      </c>
      <c r="G357" s="5">
        <v>4409.0200000000004</v>
      </c>
      <c r="P357" s="5"/>
      <c r="T357"/>
      <c r="AE357" s="5"/>
      <c r="AF357" s="5"/>
      <c r="AI357"/>
      <c r="AJ357"/>
    </row>
    <row r="358" spans="1:36" hidden="1" x14ac:dyDescent="0.25">
      <c r="A358" t="s">
        <v>521</v>
      </c>
      <c r="B358" t="s">
        <v>458</v>
      </c>
      <c r="C358" t="s">
        <v>58</v>
      </c>
      <c r="D358" s="1">
        <v>45236</v>
      </c>
      <c r="E358" t="s">
        <v>67</v>
      </c>
      <c r="F358" t="s">
        <v>184</v>
      </c>
      <c r="G358" s="5">
        <v>1694.35</v>
      </c>
      <c r="P358" s="5"/>
      <c r="T358"/>
      <c r="AE358" s="5"/>
      <c r="AF358" s="5"/>
      <c r="AI358"/>
      <c r="AJ358"/>
    </row>
    <row r="359" spans="1:36" hidden="1" x14ac:dyDescent="0.25">
      <c r="A359" t="s">
        <v>521</v>
      </c>
      <c r="B359" t="s">
        <v>74</v>
      </c>
      <c r="C359" t="s">
        <v>58</v>
      </c>
      <c r="D359" s="1">
        <v>42263</v>
      </c>
      <c r="E359" t="s">
        <v>35</v>
      </c>
      <c r="F359" t="s">
        <v>417</v>
      </c>
      <c r="G359" s="5">
        <v>1694.35</v>
      </c>
      <c r="P359" s="5"/>
      <c r="T359"/>
      <c r="AE359" s="5"/>
      <c r="AF359" s="5"/>
      <c r="AI359"/>
      <c r="AJ359"/>
    </row>
    <row r="360" spans="1:36" hidden="1" x14ac:dyDescent="0.25">
      <c r="A360" t="s">
        <v>521</v>
      </c>
      <c r="B360" t="s">
        <v>74</v>
      </c>
      <c r="C360" t="s">
        <v>58</v>
      </c>
      <c r="D360" s="1">
        <v>42263</v>
      </c>
      <c r="E360" t="s">
        <v>35</v>
      </c>
      <c r="F360" t="s">
        <v>14</v>
      </c>
      <c r="G360" s="5">
        <v>152.49</v>
      </c>
      <c r="P360" s="5"/>
      <c r="T360"/>
      <c r="AE360" s="5"/>
      <c r="AF360" s="5"/>
      <c r="AI360"/>
      <c r="AJ360"/>
    </row>
    <row r="361" spans="1:36" hidden="1" x14ac:dyDescent="0.25">
      <c r="A361" t="s">
        <v>521</v>
      </c>
      <c r="B361" t="s">
        <v>74</v>
      </c>
      <c r="C361" t="s">
        <v>58</v>
      </c>
      <c r="D361" s="1">
        <v>42263</v>
      </c>
      <c r="E361" t="s">
        <v>35</v>
      </c>
      <c r="F361" t="s">
        <v>1</v>
      </c>
      <c r="G361" s="5">
        <v>677.74</v>
      </c>
      <c r="P361" s="5"/>
      <c r="T361"/>
      <c r="AE361" s="5"/>
      <c r="AF361" s="5"/>
      <c r="AI361"/>
      <c r="AJ361"/>
    </row>
    <row r="362" spans="1:36" hidden="1" x14ac:dyDescent="0.25">
      <c r="A362" t="s">
        <v>521</v>
      </c>
      <c r="B362" t="s">
        <v>74</v>
      </c>
      <c r="C362" t="s">
        <v>58</v>
      </c>
      <c r="D362" s="1">
        <v>42263</v>
      </c>
      <c r="E362" t="s">
        <v>35</v>
      </c>
      <c r="F362" t="s">
        <v>184</v>
      </c>
      <c r="G362" s="5">
        <v>1694.35</v>
      </c>
      <c r="P362" s="5"/>
      <c r="T362"/>
      <c r="AE362" s="5"/>
      <c r="AF362" s="5"/>
      <c r="AI362"/>
      <c r="AJ362"/>
    </row>
    <row r="363" spans="1:36" hidden="1" x14ac:dyDescent="0.25">
      <c r="A363" t="s">
        <v>606</v>
      </c>
      <c r="B363" t="s">
        <v>581</v>
      </c>
      <c r="C363" t="s">
        <v>56</v>
      </c>
      <c r="D363" s="1">
        <v>45570</v>
      </c>
      <c r="E363" t="s">
        <v>35</v>
      </c>
      <c r="F363" t="s">
        <v>417</v>
      </c>
      <c r="G363" s="5">
        <v>1605</v>
      </c>
      <c r="P363" s="5"/>
      <c r="T363"/>
      <c r="AE363" s="5"/>
      <c r="AF363" s="5"/>
      <c r="AI363"/>
      <c r="AJ363"/>
    </row>
    <row r="364" spans="1:36" hidden="1" x14ac:dyDescent="0.25">
      <c r="A364" t="s">
        <v>606</v>
      </c>
      <c r="B364" t="s">
        <v>581</v>
      </c>
      <c r="C364" t="s">
        <v>56</v>
      </c>
      <c r="D364" s="1">
        <v>45570</v>
      </c>
      <c r="E364" t="s">
        <v>35</v>
      </c>
      <c r="F364" t="s">
        <v>7</v>
      </c>
      <c r="G364" s="5">
        <v>65</v>
      </c>
      <c r="P364" s="5"/>
      <c r="T364"/>
      <c r="AE364" s="5"/>
      <c r="AF364" s="5"/>
      <c r="AI364"/>
      <c r="AJ364"/>
    </row>
    <row r="365" spans="1:36" hidden="1" x14ac:dyDescent="0.25">
      <c r="A365" t="s">
        <v>606</v>
      </c>
      <c r="B365" t="s">
        <v>581</v>
      </c>
      <c r="C365" t="s">
        <v>56</v>
      </c>
      <c r="D365" s="1">
        <v>45570</v>
      </c>
      <c r="E365" t="s">
        <v>35</v>
      </c>
      <c r="F365" t="s">
        <v>16</v>
      </c>
      <c r="G365" s="5">
        <v>112.35</v>
      </c>
      <c r="P365" s="5"/>
      <c r="T365"/>
      <c r="AE365" s="5"/>
      <c r="AF365" s="5"/>
      <c r="AI365"/>
      <c r="AJ365"/>
    </row>
    <row r="366" spans="1:36" hidden="1" x14ac:dyDescent="0.25">
      <c r="A366" t="s">
        <v>606</v>
      </c>
      <c r="B366" t="s">
        <v>581</v>
      </c>
      <c r="C366" t="s">
        <v>56</v>
      </c>
      <c r="D366" s="1">
        <v>45570</v>
      </c>
      <c r="E366" t="s">
        <v>35</v>
      </c>
      <c r="F366" t="s">
        <v>1</v>
      </c>
      <c r="G366" s="5">
        <v>642</v>
      </c>
      <c r="P366" s="5"/>
      <c r="T366"/>
      <c r="AE366" s="5"/>
      <c r="AF366" s="5"/>
      <c r="AI366"/>
      <c r="AJ366"/>
    </row>
    <row r="367" spans="1:36" hidden="1" x14ac:dyDescent="0.25">
      <c r="A367" t="s">
        <v>606</v>
      </c>
      <c r="B367" t="s">
        <v>581</v>
      </c>
      <c r="C367" t="s">
        <v>56</v>
      </c>
      <c r="D367" s="1">
        <v>45570</v>
      </c>
      <c r="E367" t="s">
        <v>35</v>
      </c>
      <c r="F367" t="s">
        <v>184</v>
      </c>
      <c r="G367" s="5">
        <v>1605</v>
      </c>
      <c r="P367" s="5"/>
      <c r="T367"/>
      <c r="AE367" s="5"/>
      <c r="AF367" s="5"/>
      <c r="AI367"/>
      <c r="AJ367"/>
    </row>
    <row r="368" spans="1:36" hidden="1" x14ac:dyDescent="0.25">
      <c r="A368" t="s">
        <v>606</v>
      </c>
      <c r="B368" t="s">
        <v>571</v>
      </c>
      <c r="C368" t="s">
        <v>58</v>
      </c>
      <c r="D368" s="1">
        <v>45570</v>
      </c>
      <c r="E368" t="s">
        <v>35</v>
      </c>
      <c r="F368" t="s">
        <v>417</v>
      </c>
      <c r="G368" s="5">
        <v>1605</v>
      </c>
      <c r="P368" s="5"/>
      <c r="T368"/>
      <c r="AE368" s="5"/>
      <c r="AF368" s="5"/>
      <c r="AI368"/>
      <c r="AJ368"/>
    </row>
    <row r="369" spans="1:36" hidden="1" x14ac:dyDescent="0.25">
      <c r="A369" t="s">
        <v>606</v>
      </c>
      <c r="B369" t="s">
        <v>571</v>
      </c>
      <c r="C369" t="s">
        <v>58</v>
      </c>
      <c r="D369" s="1">
        <v>45570</v>
      </c>
      <c r="E369" t="s">
        <v>35</v>
      </c>
      <c r="F369" t="s">
        <v>1</v>
      </c>
      <c r="G369" s="5">
        <v>642</v>
      </c>
      <c r="P369" s="5"/>
      <c r="T369"/>
      <c r="AE369" s="5"/>
      <c r="AF369" s="5"/>
      <c r="AI369"/>
      <c r="AJ369"/>
    </row>
    <row r="370" spans="1:36" hidden="1" x14ac:dyDescent="0.25">
      <c r="A370" t="s">
        <v>606</v>
      </c>
      <c r="B370" t="s">
        <v>571</v>
      </c>
      <c r="C370" t="s">
        <v>58</v>
      </c>
      <c r="D370" s="1">
        <v>45570</v>
      </c>
      <c r="E370" t="s">
        <v>35</v>
      </c>
      <c r="F370" t="s">
        <v>184</v>
      </c>
      <c r="G370" s="5">
        <v>1605</v>
      </c>
      <c r="P370" s="5"/>
      <c r="T370"/>
      <c r="AE370" s="5"/>
      <c r="AF370" s="5"/>
      <c r="AI370"/>
      <c r="AJ370"/>
    </row>
    <row r="371" spans="1:36" hidden="1" x14ac:dyDescent="0.25">
      <c r="A371" t="s">
        <v>606</v>
      </c>
      <c r="B371" t="s">
        <v>37</v>
      </c>
      <c r="C371" t="s">
        <v>58</v>
      </c>
      <c r="D371" s="1">
        <v>44361</v>
      </c>
      <c r="E371" t="s">
        <v>35</v>
      </c>
      <c r="F371" t="s">
        <v>417</v>
      </c>
      <c r="G371" s="5">
        <v>1605</v>
      </c>
      <c r="P371" s="5"/>
      <c r="T371"/>
      <c r="AE371" s="5"/>
      <c r="AF371" s="5"/>
      <c r="AI371"/>
      <c r="AJ371"/>
    </row>
    <row r="372" spans="1:36" hidden="1" x14ac:dyDescent="0.25">
      <c r="A372" t="s">
        <v>606</v>
      </c>
      <c r="B372" t="s">
        <v>37</v>
      </c>
      <c r="C372" t="s">
        <v>58</v>
      </c>
      <c r="D372" s="1">
        <v>44361</v>
      </c>
      <c r="E372" t="s">
        <v>35</v>
      </c>
      <c r="F372" t="s">
        <v>17</v>
      </c>
      <c r="G372" s="5">
        <v>48.15</v>
      </c>
      <c r="P372" s="5"/>
      <c r="T372"/>
      <c r="AE372" s="5"/>
      <c r="AF372" s="5"/>
      <c r="AI372"/>
      <c r="AJ372"/>
    </row>
    <row r="373" spans="1:36" hidden="1" x14ac:dyDescent="0.25">
      <c r="A373" t="s">
        <v>606</v>
      </c>
      <c r="B373" t="s">
        <v>37</v>
      </c>
      <c r="C373" t="s">
        <v>58</v>
      </c>
      <c r="D373" s="1">
        <v>44361</v>
      </c>
      <c r="E373" t="s">
        <v>35</v>
      </c>
      <c r="F373" t="s">
        <v>288</v>
      </c>
      <c r="G373" s="5">
        <v>45.54</v>
      </c>
      <c r="P373" s="5"/>
      <c r="T373"/>
      <c r="AE373" s="5"/>
      <c r="AF373" s="5"/>
      <c r="AI373"/>
      <c r="AJ373"/>
    </row>
    <row r="374" spans="1:36" hidden="1" x14ac:dyDescent="0.25">
      <c r="A374" t="s">
        <v>606</v>
      </c>
      <c r="B374" t="s">
        <v>37</v>
      </c>
      <c r="C374" t="s">
        <v>58</v>
      </c>
      <c r="D374" s="1">
        <v>44361</v>
      </c>
      <c r="E374" t="s">
        <v>35</v>
      </c>
      <c r="F374" t="s">
        <v>419</v>
      </c>
      <c r="G374" s="5">
        <v>45.54</v>
      </c>
      <c r="P374" s="5"/>
      <c r="T374"/>
      <c r="AE374" s="5"/>
      <c r="AF374" s="5"/>
      <c r="AI374"/>
      <c r="AJ374"/>
    </row>
    <row r="375" spans="1:36" hidden="1" x14ac:dyDescent="0.25">
      <c r="A375" t="s">
        <v>606</v>
      </c>
      <c r="B375" t="s">
        <v>37</v>
      </c>
      <c r="C375" t="s">
        <v>58</v>
      </c>
      <c r="D375" s="1">
        <v>44361</v>
      </c>
      <c r="E375" t="s">
        <v>35</v>
      </c>
      <c r="F375" t="s">
        <v>1</v>
      </c>
      <c r="G375" s="5">
        <v>642</v>
      </c>
      <c r="P375" s="5"/>
      <c r="T375"/>
      <c r="AE375" s="5"/>
      <c r="AF375" s="5"/>
      <c r="AI375"/>
      <c r="AJ375"/>
    </row>
    <row r="376" spans="1:36" hidden="1" x14ac:dyDescent="0.25">
      <c r="A376" t="s">
        <v>606</v>
      </c>
      <c r="B376" t="s">
        <v>37</v>
      </c>
      <c r="C376" t="s">
        <v>58</v>
      </c>
      <c r="D376" s="1">
        <v>44361</v>
      </c>
      <c r="E376" t="s">
        <v>35</v>
      </c>
      <c r="F376" t="s">
        <v>184</v>
      </c>
      <c r="G376" s="5">
        <v>1605</v>
      </c>
      <c r="P376" s="5"/>
      <c r="T376"/>
      <c r="AE376" s="5"/>
      <c r="AF376" s="5"/>
      <c r="AI376"/>
      <c r="AJ376"/>
    </row>
    <row r="377" spans="1:36" hidden="1" x14ac:dyDescent="0.25">
      <c r="A377" t="s">
        <v>606</v>
      </c>
      <c r="B377" t="s">
        <v>152</v>
      </c>
      <c r="C377" t="s">
        <v>77</v>
      </c>
      <c r="D377" s="1">
        <v>42493</v>
      </c>
      <c r="E377" t="s">
        <v>276</v>
      </c>
      <c r="F377" t="s">
        <v>417</v>
      </c>
      <c r="G377" s="5">
        <v>856</v>
      </c>
      <c r="P377" s="5"/>
      <c r="T377"/>
      <c r="AE377" s="5"/>
      <c r="AF377" s="5"/>
      <c r="AI377"/>
      <c r="AJ377"/>
    </row>
    <row r="378" spans="1:36" hidden="1" x14ac:dyDescent="0.25">
      <c r="A378" t="s">
        <v>606</v>
      </c>
      <c r="B378" t="s">
        <v>152</v>
      </c>
      <c r="C378" t="s">
        <v>77</v>
      </c>
      <c r="D378" s="1">
        <v>42493</v>
      </c>
      <c r="E378" t="s">
        <v>276</v>
      </c>
      <c r="F378" t="s">
        <v>607</v>
      </c>
      <c r="G378" s="5">
        <v>51.36</v>
      </c>
      <c r="P378" s="5"/>
      <c r="T378"/>
      <c r="AE378" s="5"/>
      <c r="AF378" s="5"/>
      <c r="AI378"/>
      <c r="AJ378"/>
    </row>
    <row r="379" spans="1:36" hidden="1" x14ac:dyDescent="0.25">
      <c r="A379" t="s">
        <v>606</v>
      </c>
      <c r="B379" t="s">
        <v>152</v>
      </c>
      <c r="C379" t="s">
        <v>77</v>
      </c>
      <c r="D379" s="1">
        <v>42493</v>
      </c>
      <c r="E379" t="s">
        <v>276</v>
      </c>
      <c r="F379" t="s">
        <v>7</v>
      </c>
      <c r="G379" s="5">
        <v>65</v>
      </c>
      <c r="P379" s="5"/>
      <c r="T379"/>
      <c r="AE379" s="5"/>
      <c r="AF379" s="5"/>
      <c r="AI379"/>
      <c r="AJ379"/>
    </row>
    <row r="380" spans="1:36" hidden="1" x14ac:dyDescent="0.25">
      <c r="A380" t="s">
        <v>606</v>
      </c>
      <c r="B380" t="s">
        <v>152</v>
      </c>
      <c r="C380" t="s">
        <v>77</v>
      </c>
      <c r="D380" s="1">
        <v>42493</v>
      </c>
      <c r="E380" t="s">
        <v>276</v>
      </c>
      <c r="F380" t="s">
        <v>1</v>
      </c>
      <c r="G380" s="5">
        <v>342.4</v>
      </c>
      <c r="P380" s="5"/>
      <c r="T380"/>
      <c r="AE380" s="5"/>
      <c r="AF380" s="5"/>
      <c r="AI380"/>
      <c r="AJ380"/>
    </row>
    <row r="381" spans="1:36" hidden="1" x14ac:dyDescent="0.25">
      <c r="A381" t="s">
        <v>606</v>
      </c>
      <c r="B381" t="s">
        <v>152</v>
      </c>
      <c r="C381" t="s">
        <v>77</v>
      </c>
      <c r="D381" s="1">
        <v>42493</v>
      </c>
      <c r="E381" t="s">
        <v>276</v>
      </c>
      <c r="F381" t="s">
        <v>184</v>
      </c>
      <c r="G381" s="5">
        <v>1605</v>
      </c>
      <c r="P381" s="5"/>
      <c r="T381"/>
      <c r="AE381" s="5"/>
      <c r="AF381" s="5"/>
      <c r="AI381"/>
      <c r="AJ381"/>
    </row>
    <row r="382" spans="1:36" hidden="1" x14ac:dyDescent="0.25">
      <c r="A382" t="s">
        <v>606</v>
      </c>
      <c r="B382" t="s">
        <v>304</v>
      </c>
      <c r="C382" t="s">
        <v>405</v>
      </c>
      <c r="D382" s="1">
        <v>44768</v>
      </c>
      <c r="E382" t="s">
        <v>35</v>
      </c>
      <c r="F382" t="s">
        <v>417</v>
      </c>
      <c r="G382" s="5">
        <v>2500</v>
      </c>
      <c r="P382" s="5"/>
      <c r="T382"/>
      <c r="AE382" s="5"/>
      <c r="AF382" s="5"/>
      <c r="AI382"/>
      <c r="AJ382"/>
    </row>
    <row r="383" spans="1:36" hidden="1" x14ac:dyDescent="0.25">
      <c r="A383" t="s">
        <v>606</v>
      </c>
      <c r="B383" t="s">
        <v>304</v>
      </c>
      <c r="C383" t="s">
        <v>405</v>
      </c>
      <c r="D383" s="1">
        <v>44768</v>
      </c>
      <c r="E383" t="s">
        <v>35</v>
      </c>
      <c r="F383" t="s">
        <v>1</v>
      </c>
      <c r="G383" s="5">
        <v>642</v>
      </c>
      <c r="P383" s="5"/>
      <c r="T383"/>
      <c r="AE383" s="5"/>
      <c r="AF383" s="5"/>
      <c r="AI383"/>
      <c r="AJ383"/>
    </row>
    <row r="384" spans="1:36" hidden="1" x14ac:dyDescent="0.25">
      <c r="A384" t="s">
        <v>606</v>
      </c>
      <c r="B384" t="s">
        <v>304</v>
      </c>
      <c r="C384" t="s">
        <v>405</v>
      </c>
      <c r="D384" s="1">
        <v>44768</v>
      </c>
      <c r="E384" t="s">
        <v>35</v>
      </c>
      <c r="F384" t="s">
        <v>184</v>
      </c>
      <c r="G384" s="5">
        <v>2500</v>
      </c>
      <c r="P384" s="5"/>
      <c r="T384"/>
      <c r="AE384" s="5"/>
      <c r="AF384" s="5"/>
      <c r="AI384"/>
      <c r="AJ384"/>
    </row>
    <row r="385" spans="1:36" hidden="1" x14ac:dyDescent="0.25">
      <c r="A385" t="s">
        <v>606</v>
      </c>
      <c r="B385" t="s">
        <v>446</v>
      </c>
      <c r="C385" t="s">
        <v>58</v>
      </c>
      <c r="D385" s="1">
        <v>43175</v>
      </c>
      <c r="E385" t="s">
        <v>35</v>
      </c>
      <c r="F385" t="s">
        <v>417</v>
      </c>
      <c r="G385" s="5">
        <v>1605</v>
      </c>
      <c r="P385" s="5"/>
      <c r="T385"/>
      <c r="AE385" s="5"/>
      <c r="AF385" s="5"/>
      <c r="AI385"/>
      <c r="AJ385"/>
    </row>
    <row r="386" spans="1:36" hidden="1" x14ac:dyDescent="0.25">
      <c r="A386" t="s">
        <v>606</v>
      </c>
      <c r="B386" t="s">
        <v>446</v>
      </c>
      <c r="C386" t="s">
        <v>58</v>
      </c>
      <c r="D386" s="1">
        <v>43175</v>
      </c>
      <c r="E386" t="s">
        <v>35</v>
      </c>
      <c r="F386" t="s">
        <v>607</v>
      </c>
      <c r="G386" s="5">
        <v>96.3</v>
      </c>
      <c r="P386" s="5"/>
      <c r="T386"/>
      <c r="AE386" s="5"/>
      <c r="AF386" s="5"/>
      <c r="AI386"/>
      <c r="AJ386"/>
    </row>
    <row r="387" spans="1:36" hidden="1" x14ac:dyDescent="0.25">
      <c r="A387" t="s">
        <v>606</v>
      </c>
      <c r="B387" t="s">
        <v>446</v>
      </c>
      <c r="C387" t="s">
        <v>58</v>
      </c>
      <c r="D387" s="1">
        <v>43175</v>
      </c>
      <c r="E387" t="s">
        <v>35</v>
      </c>
      <c r="F387" t="s">
        <v>1</v>
      </c>
      <c r="G387" s="5">
        <v>642</v>
      </c>
      <c r="P387" s="5"/>
      <c r="T387"/>
      <c r="AE387" s="5"/>
      <c r="AF387" s="5"/>
      <c r="AI387"/>
      <c r="AJ387"/>
    </row>
    <row r="388" spans="1:36" hidden="1" x14ac:dyDescent="0.25">
      <c r="A388" t="s">
        <v>606</v>
      </c>
      <c r="B388" t="s">
        <v>446</v>
      </c>
      <c r="C388" t="s">
        <v>58</v>
      </c>
      <c r="D388" s="1">
        <v>43175</v>
      </c>
      <c r="E388" t="s">
        <v>35</v>
      </c>
      <c r="F388" t="s">
        <v>184</v>
      </c>
      <c r="G388" s="5">
        <v>1605</v>
      </c>
      <c r="P388" s="5"/>
      <c r="T388"/>
      <c r="AE388" s="5"/>
      <c r="AF388" s="5"/>
      <c r="AI388"/>
      <c r="AJ388"/>
    </row>
    <row r="389" spans="1:36" hidden="1" x14ac:dyDescent="0.25">
      <c r="A389" t="s">
        <v>523</v>
      </c>
      <c r="B389" t="s">
        <v>203</v>
      </c>
      <c r="C389" t="s">
        <v>58</v>
      </c>
      <c r="D389" s="1">
        <v>43432</v>
      </c>
      <c r="E389" t="s">
        <v>35</v>
      </c>
      <c r="F389" t="s">
        <v>417</v>
      </c>
      <c r="G389" s="5">
        <v>1660</v>
      </c>
      <c r="P389" s="5"/>
      <c r="T389"/>
      <c r="AE389" s="5"/>
      <c r="AF389" s="5"/>
      <c r="AI389"/>
      <c r="AJ389"/>
    </row>
    <row r="390" spans="1:36" hidden="1" x14ac:dyDescent="0.25">
      <c r="A390" t="s">
        <v>523</v>
      </c>
      <c r="B390" t="s">
        <v>203</v>
      </c>
      <c r="C390" t="s">
        <v>58</v>
      </c>
      <c r="D390" s="1">
        <v>43432</v>
      </c>
      <c r="E390" t="s">
        <v>35</v>
      </c>
      <c r="F390" t="s">
        <v>19</v>
      </c>
      <c r="G390" s="5">
        <v>166</v>
      </c>
      <c r="P390" s="5"/>
      <c r="T390"/>
      <c r="AE390" s="5"/>
      <c r="AF390" s="5"/>
      <c r="AI390"/>
      <c r="AJ390"/>
    </row>
    <row r="391" spans="1:36" hidden="1" x14ac:dyDescent="0.25">
      <c r="A391" t="s">
        <v>523</v>
      </c>
      <c r="B391" t="s">
        <v>203</v>
      </c>
      <c r="C391" t="s">
        <v>58</v>
      </c>
      <c r="D391" s="1">
        <v>43432</v>
      </c>
      <c r="E391" t="s">
        <v>35</v>
      </c>
      <c r="F391" t="s">
        <v>610</v>
      </c>
      <c r="G391" s="5">
        <v>20</v>
      </c>
      <c r="P391" s="5"/>
      <c r="T391"/>
      <c r="AE391" s="5"/>
      <c r="AF391" s="5"/>
      <c r="AI391"/>
      <c r="AJ391"/>
    </row>
    <row r="392" spans="1:36" hidden="1" x14ac:dyDescent="0.25">
      <c r="A392" t="s">
        <v>523</v>
      </c>
      <c r="B392" t="s">
        <v>203</v>
      </c>
      <c r="C392" t="s">
        <v>58</v>
      </c>
      <c r="D392" s="1">
        <v>43432</v>
      </c>
      <c r="E392" t="s">
        <v>35</v>
      </c>
      <c r="F392" t="s">
        <v>1</v>
      </c>
      <c r="G392" s="5">
        <v>664</v>
      </c>
      <c r="P392" s="5"/>
      <c r="T392"/>
      <c r="AE392" s="5"/>
      <c r="AF392" s="5"/>
      <c r="AI392"/>
      <c r="AJ392"/>
    </row>
    <row r="393" spans="1:36" hidden="1" x14ac:dyDescent="0.25">
      <c r="A393" t="s">
        <v>523</v>
      </c>
      <c r="B393" t="s">
        <v>203</v>
      </c>
      <c r="C393" t="s">
        <v>58</v>
      </c>
      <c r="D393" s="1">
        <v>43432</v>
      </c>
      <c r="E393" t="s">
        <v>35</v>
      </c>
      <c r="F393" t="s">
        <v>184</v>
      </c>
      <c r="G393" s="5">
        <v>1660</v>
      </c>
      <c r="P393" s="5"/>
      <c r="T393"/>
      <c r="AE393" s="5"/>
      <c r="AF393" s="5"/>
      <c r="AI393"/>
      <c r="AJ393"/>
    </row>
    <row r="394" spans="1:36" hidden="1" x14ac:dyDescent="0.25">
      <c r="A394" t="s">
        <v>523</v>
      </c>
      <c r="B394" t="s">
        <v>538</v>
      </c>
      <c r="C394" t="s">
        <v>539</v>
      </c>
      <c r="D394" s="1">
        <v>45458</v>
      </c>
      <c r="E394" t="s">
        <v>35</v>
      </c>
      <c r="F394" t="s">
        <v>417</v>
      </c>
      <c r="G394" s="5">
        <v>3068.7</v>
      </c>
      <c r="P394" s="5"/>
      <c r="T394"/>
      <c r="AE394" s="5"/>
      <c r="AF394" s="5"/>
      <c r="AI394"/>
      <c r="AJ394"/>
    </row>
    <row r="395" spans="1:36" hidden="1" x14ac:dyDescent="0.25">
      <c r="A395" t="s">
        <v>523</v>
      </c>
      <c r="B395" t="s">
        <v>538</v>
      </c>
      <c r="C395" t="s">
        <v>539</v>
      </c>
      <c r="D395" s="1">
        <v>45458</v>
      </c>
      <c r="E395" t="s">
        <v>35</v>
      </c>
      <c r="F395" t="s">
        <v>1</v>
      </c>
      <c r="G395" s="5">
        <v>1227.48</v>
      </c>
      <c r="P395" s="5"/>
      <c r="T395"/>
      <c r="AE395" s="5"/>
      <c r="AF395" s="5"/>
      <c r="AI395"/>
      <c r="AJ395"/>
    </row>
    <row r="396" spans="1:36" hidden="1" x14ac:dyDescent="0.25">
      <c r="A396" t="s">
        <v>523</v>
      </c>
      <c r="B396" t="s">
        <v>538</v>
      </c>
      <c r="C396" t="s">
        <v>539</v>
      </c>
      <c r="D396" s="1">
        <v>45458</v>
      </c>
      <c r="E396" t="s">
        <v>35</v>
      </c>
      <c r="F396" t="s">
        <v>184</v>
      </c>
      <c r="G396" s="5">
        <v>3068.7</v>
      </c>
      <c r="P396" s="5"/>
      <c r="T396"/>
      <c r="AE396" s="5"/>
      <c r="AF396" s="5"/>
      <c r="AI396"/>
      <c r="AJ396"/>
    </row>
    <row r="397" spans="1:36" hidden="1" x14ac:dyDescent="0.25">
      <c r="A397" t="s">
        <v>523</v>
      </c>
      <c r="B397" t="s">
        <v>219</v>
      </c>
      <c r="C397" t="s">
        <v>708</v>
      </c>
      <c r="D397" s="1">
        <v>40546</v>
      </c>
      <c r="E397" t="s">
        <v>35</v>
      </c>
      <c r="F397" t="s">
        <v>417</v>
      </c>
      <c r="G397" s="5">
        <v>1604.67</v>
      </c>
      <c r="P397" s="5"/>
      <c r="T397"/>
      <c r="AE397" s="5"/>
      <c r="AF397" s="5"/>
      <c r="AI397"/>
      <c r="AJ397"/>
    </row>
    <row r="398" spans="1:36" hidden="1" x14ac:dyDescent="0.25">
      <c r="A398" t="s">
        <v>523</v>
      </c>
      <c r="B398" t="s">
        <v>219</v>
      </c>
      <c r="C398" t="s">
        <v>708</v>
      </c>
      <c r="D398" s="1">
        <v>40546</v>
      </c>
      <c r="E398" t="s">
        <v>35</v>
      </c>
      <c r="F398" t="s">
        <v>19</v>
      </c>
      <c r="G398" s="5">
        <v>240.7</v>
      </c>
      <c r="P398" s="5"/>
      <c r="T398"/>
      <c r="AE398" s="5"/>
      <c r="AF398" s="5"/>
      <c r="AI398"/>
      <c r="AJ398"/>
    </row>
    <row r="399" spans="1:36" hidden="1" x14ac:dyDescent="0.25">
      <c r="A399" t="s">
        <v>523</v>
      </c>
      <c r="B399" t="s">
        <v>219</v>
      </c>
      <c r="C399" t="s">
        <v>708</v>
      </c>
      <c r="D399" s="1">
        <v>40546</v>
      </c>
      <c r="E399" t="s">
        <v>35</v>
      </c>
      <c r="F399" t="s">
        <v>7</v>
      </c>
      <c r="G399" s="5">
        <v>62.83</v>
      </c>
      <c r="P399" s="5"/>
      <c r="T399"/>
      <c r="AE399" s="5"/>
      <c r="AF399" s="5"/>
      <c r="AI399"/>
      <c r="AJ399"/>
    </row>
    <row r="400" spans="1:36" hidden="1" x14ac:dyDescent="0.25">
      <c r="A400" t="s">
        <v>523</v>
      </c>
      <c r="B400" t="s">
        <v>219</v>
      </c>
      <c r="C400" t="s">
        <v>708</v>
      </c>
      <c r="D400" s="1">
        <v>40546</v>
      </c>
      <c r="E400" t="s">
        <v>35</v>
      </c>
      <c r="F400" t="s">
        <v>610</v>
      </c>
      <c r="G400" s="5">
        <v>20</v>
      </c>
      <c r="P400" s="5"/>
      <c r="T400"/>
      <c r="AE400" s="5"/>
      <c r="AF400" s="5"/>
      <c r="AI400"/>
      <c r="AJ400"/>
    </row>
    <row r="401" spans="1:36" hidden="1" x14ac:dyDescent="0.25">
      <c r="A401" t="s">
        <v>523</v>
      </c>
      <c r="B401" t="s">
        <v>219</v>
      </c>
      <c r="C401" t="s">
        <v>708</v>
      </c>
      <c r="D401" s="1">
        <v>40546</v>
      </c>
      <c r="E401" t="s">
        <v>35</v>
      </c>
      <c r="F401" t="s">
        <v>1</v>
      </c>
      <c r="G401" s="5">
        <v>664</v>
      </c>
      <c r="P401" s="5"/>
      <c r="T401"/>
      <c r="AE401" s="5"/>
      <c r="AF401" s="5"/>
      <c r="AI401"/>
      <c r="AJ401"/>
    </row>
    <row r="402" spans="1:36" hidden="1" x14ac:dyDescent="0.25">
      <c r="A402" t="s">
        <v>523</v>
      </c>
      <c r="B402" t="s">
        <v>219</v>
      </c>
      <c r="C402" t="s">
        <v>708</v>
      </c>
      <c r="D402" s="1">
        <v>40546</v>
      </c>
      <c r="E402" t="s">
        <v>35</v>
      </c>
      <c r="F402" t="s">
        <v>184</v>
      </c>
      <c r="G402" s="5">
        <v>1660</v>
      </c>
      <c r="P402" s="5"/>
      <c r="T402"/>
      <c r="AE402" s="5"/>
      <c r="AF402" s="5"/>
      <c r="AI402"/>
      <c r="AJ402"/>
    </row>
    <row r="403" spans="1:36" hidden="1" x14ac:dyDescent="0.25">
      <c r="A403" t="s">
        <v>523</v>
      </c>
      <c r="B403" t="s">
        <v>442</v>
      </c>
      <c r="C403" t="s">
        <v>58</v>
      </c>
      <c r="D403" s="1">
        <v>45202</v>
      </c>
      <c r="E403" t="s">
        <v>35</v>
      </c>
      <c r="F403" t="s">
        <v>417</v>
      </c>
      <c r="G403" s="5">
        <v>1660</v>
      </c>
      <c r="P403" s="5"/>
      <c r="T403"/>
      <c r="AE403" s="5"/>
      <c r="AF403" s="5"/>
      <c r="AI403"/>
      <c r="AJ403"/>
    </row>
    <row r="404" spans="1:36" hidden="1" x14ac:dyDescent="0.25">
      <c r="A404" t="s">
        <v>523</v>
      </c>
      <c r="B404" t="s">
        <v>442</v>
      </c>
      <c r="C404" t="s">
        <v>58</v>
      </c>
      <c r="D404" s="1">
        <v>45202</v>
      </c>
      <c r="E404" t="s">
        <v>35</v>
      </c>
      <c r="F404" t="s">
        <v>7</v>
      </c>
      <c r="G404" s="5">
        <v>65</v>
      </c>
      <c r="P404" s="5"/>
      <c r="T404"/>
      <c r="AE404" s="5"/>
      <c r="AF404" s="5"/>
      <c r="AI404"/>
      <c r="AJ404"/>
    </row>
    <row r="405" spans="1:36" hidden="1" x14ac:dyDescent="0.25">
      <c r="A405" t="s">
        <v>523</v>
      </c>
      <c r="B405" t="s">
        <v>442</v>
      </c>
      <c r="C405" t="s">
        <v>58</v>
      </c>
      <c r="D405" s="1">
        <v>45202</v>
      </c>
      <c r="E405" t="s">
        <v>35</v>
      </c>
      <c r="F405" t="s">
        <v>610</v>
      </c>
      <c r="G405" s="5">
        <v>20</v>
      </c>
      <c r="P405" s="5"/>
      <c r="T405"/>
      <c r="AE405" s="5"/>
      <c r="AF405" s="5"/>
      <c r="AI405"/>
      <c r="AJ405"/>
    </row>
    <row r="406" spans="1:36" hidden="1" x14ac:dyDescent="0.25">
      <c r="A406" t="s">
        <v>523</v>
      </c>
      <c r="B406" t="s">
        <v>442</v>
      </c>
      <c r="C406" t="s">
        <v>58</v>
      </c>
      <c r="D406" s="1">
        <v>45202</v>
      </c>
      <c r="E406" t="s">
        <v>35</v>
      </c>
      <c r="F406" t="s">
        <v>1</v>
      </c>
      <c r="G406" s="5">
        <v>664</v>
      </c>
      <c r="P406" s="5"/>
      <c r="T406"/>
      <c r="AE406" s="5"/>
      <c r="AF406" s="5"/>
      <c r="AI406"/>
      <c r="AJ406"/>
    </row>
    <row r="407" spans="1:36" hidden="1" x14ac:dyDescent="0.25">
      <c r="A407" t="s">
        <v>523</v>
      </c>
      <c r="B407" t="s">
        <v>442</v>
      </c>
      <c r="C407" t="s">
        <v>58</v>
      </c>
      <c r="D407" s="1">
        <v>45202</v>
      </c>
      <c r="E407" t="s">
        <v>35</v>
      </c>
      <c r="F407" t="s">
        <v>2</v>
      </c>
      <c r="G407" s="5">
        <v>99.6</v>
      </c>
      <c r="P407" s="5"/>
      <c r="T407"/>
      <c r="AE407" s="5"/>
      <c r="AF407" s="5"/>
      <c r="AI407"/>
      <c r="AJ407"/>
    </row>
    <row r="408" spans="1:36" hidden="1" x14ac:dyDescent="0.25">
      <c r="A408" t="s">
        <v>523</v>
      </c>
      <c r="B408" t="s">
        <v>442</v>
      </c>
      <c r="C408" t="s">
        <v>58</v>
      </c>
      <c r="D408" s="1">
        <v>45202</v>
      </c>
      <c r="E408" t="s">
        <v>35</v>
      </c>
      <c r="F408" t="s">
        <v>184</v>
      </c>
      <c r="G408" s="5">
        <v>1660</v>
      </c>
      <c r="P408" s="5"/>
      <c r="T408"/>
      <c r="AE408" s="5"/>
      <c r="AF408" s="5"/>
      <c r="AI408"/>
      <c r="AJ408"/>
    </row>
    <row r="409" spans="1:36" hidden="1" x14ac:dyDescent="0.25">
      <c r="A409" t="s">
        <v>523</v>
      </c>
      <c r="B409" t="s">
        <v>529</v>
      </c>
      <c r="C409" t="s">
        <v>56</v>
      </c>
      <c r="D409" s="1">
        <v>45444</v>
      </c>
      <c r="E409" t="s">
        <v>35</v>
      </c>
      <c r="F409" t="s">
        <v>417</v>
      </c>
      <c r="G409" s="5">
        <v>1660</v>
      </c>
      <c r="P409" s="5"/>
      <c r="T409"/>
      <c r="AE409" s="5"/>
      <c r="AF409" s="5"/>
      <c r="AI409"/>
      <c r="AJ409"/>
    </row>
    <row r="410" spans="1:36" hidden="1" x14ac:dyDescent="0.25">
      <c r="A410" t="s">
        <v>523</v>
      </c>
      <c r="B410" t="s">
        <v>529</v>
      </c>
      <c r="C410" t="s">
        <v>56</v>
      </c>
      <c r="D410" s="1">
        <v>45444</v>
      </c>
      <c r="E410" t="s">
        <v>35</v>
      </c>
      <c r="F410" t="s">
        <v>3</v>
      </c>
      <c r="G410" s="5">
        <v>83</v>
      </c>
      <c r="P410" s="5"/>
      <c r="T410"/>
      <c r="AE410" s="5"/>
      <c r="AF410" s="5"/>
      <c r="AI410"/>
      <c r="AJ410"/>
    </row>
    <row r="411" spans="1:36" hidden="1" x14ac:dyDescent="0.25">
      <c r="A411" t="s">
        <v>523</v>
      </c>
      <c r="B411" t="s">
        <v>529</v>
      </c>
      <c r="C411" t="s">
        <v>56</v>
      </c>
      <c r="D411" s="1">
        <v>45444</v>
      </c>
      <c r="E411" t="s">
        <v>35</v>
      </c>
      <c r="F411" t="s">
        <v>610</v>
      </c>
      <c r="G411" s="5">
        <v>20</v>
      </c>
      <c r="P411" s="5"/>
      <c r="T411"/>
      <c r="AE411" s="5"/>
      <c r="AF411" s="5"/>
      <c r="AI411"/>
      <c r="AJ411"/>
    </row>
    <row r="412" spans="1:36" hidden="1" x14ac:dyDescent="0.25">
      <c r="A412" t="s">
        <v>523</v>
      </c>
      <c r="B412" t="s">
        <v>529</v>
      </c>
      <c r="C412" t="s">
        <v>56</v>
      </c>
      <c r="D412" s="1">
        <v>45444</v>
      </c>
      <c r="E412" t="s">
        <v>35</v>
      </c>
      <c r="F412" t="s">
        <v>1</v>
      </c>
      <c r="G412" s="5">
        <v>664</v>
      </c>
      <c r="P412" s="5"/>
      <c r="T412"/>
      <c r="AE412" s="5"/>
      <c r="AF412" s="5"/>
      <c r="AI412"/>
      <c r="AJ412"/>
    </row>
    <row r="413" spans="1:36" hidden="1" x14ac:dyDescent="0.25">
      <c r="A413" t="s">
        <v>523</v>
      </c>
      <c r="B413" t="s">
        <v>529</v>
      </c>
      <c r="C413" t="s">
        <v>56</v>
      </c>
      <c r="D413" s="1">
        <v>45444</v>
      </c>
      <c r="E413" t="s">
        <v>35</v>
      </c>
      <c r="F413" t="s">
        <v>184</v>
      </c>
      <c r="G413" s="5">
        <v>1660</v>
      </c>
      <c r="P413" s="5"/>
      <c r="T413"/>
      <c r="AE413" s="5"/>
      <c r="AF413" s="5"/>
      <c r="AI413"/>
      <c r="AJ413"/>
    </row>
    <row r="414" spans="1:36" hidden="1" x14ac:dyDescent="0.25">
      <c r="A414" t="s">
        <v>523</v>
      </c>
      <c r="B414" t="s">
        <v>292</v>
      </c>
      <c r="C414" t="s">
        <v>212</v>
      </c>
      <c r="D414" s="1">
        <v>44866</v>
      </c>
      <c r="E414" t="s">
        <v>35</v>
      </c>
      <c r="F414" t="s">
        <v>417</v>
      </c>
      <c r="G414" s="5">
        <v>1660</v>
      </c>
      <c r="P414" s="5"/>
      <c r="T414"/>
      <c r="AE414" s="5"/>
      <c r="AF414" s="5"/>
      <c r="AI414"/>
      <c r="AJ414"/>
    </row>
    <row r="415" spans="1:36" hidden="1" x14ac:dyDescent="0.25">
      <c r="A415" t="s">
        <v>523</v>
      </c>
      <c r="B415" t="s">
        <v>292</v>
      </c>
      <c r="C415" t="s">
        <v>212</v>
      </c>
      <c r="D415" s="1">
        <v>44866</v>
      </c>
      <c r="E415" t="s">
        <v>35</v>
      </c>
      <c r="F415" t="s">
        <v>610</v>
      </c>
      <c r="G415" s="5">
        <v>20</v>
      </c>
      <c r="P415" s="5"/>
      <c r="T415"/>
      <c r="AE415" s="5"/>
      <c r="AF415" s="5"/>
      <c r="AI415"/>
      <c r="AJ415"/>
    </row>
    <row r="416" spans="1:36" hidden="1" x14ac:dyDescent="0.25">
      <c r="A416" t="s">
        <v>523</v>
      </c>
      <c r="B416" t="s">
        <v>292</v>
      </c>
      <c r="C416" t="s">
        <v>212</v>
      </c>
      <c r="D416" s="1">
        <v>44866</v>
      </c>
      <c r="E416" t="s">
        <v>35</v>
      </c>
      <c r="F416" t="s">
        <v>1</v>
      </c>
      <c r="G416" s="5">
        <v>664</v>
      </c>
      <c r="P416" s="5"/>
      <c r="T416"/>
      <c r="AE416" s="5"/>
      <c r="AF416" s="5"/>
      <c r="AI416"/>
      <c r="AJ416"/>
    </row>
    <row r="417" spans="1:36" hidden="1" x14ac:dyDescent="0.25">
      <c r="A417" t="s">
        <v>523</v>
      </c>
      <c r="B417" t="s">
        <v>292</v>
      </c>
      <c r="C417" t="s">
        <v>212</v>
      </c>
      <c r="D417" s="1">
        <v>44866</v>
      </c>
      <c r="E417" t="s">
        <v>35</v>
      </c>
      <c r="F417" t="s">
        <v>184</v>
      </c>
      <c r="G417" s="5">
        <v>1660</v>
      </c>
      <c r="P417" s="5"/>
      <c r="T417"/>
      <c r="AE417" s="5"/>
      <c r="AF417" s="5"/>
      <c r="AI417"/>
      <c r="AJ417"/>
    </row>
    <row r="418" spans="1:36" hidden="1" x14ac:dyDescent="0.25">
      <c r="A418" t="s">
        <v>523</v>
      </c>
      <c r="B418" t="s">
        <v>205</v>
      </c>
      <c r="C418" t="s">
        <v>39</v>
      </c>
      <c r="D418" s="1">
        <v>43349</v>
      </c>
      <c r="E418" t="s">
        <v>35</v>
      </c>
      <c r="F418" t="s">
        <v>417</v>
      </c>
      <c r="G418" s="5">
        <v>2615.2600000000002</v>
      </c>
      <c r="P418" s="5"/>
      <c r="T418"/>
      <c r="AE418" s="5"/>
      <c r="AF418" s="5"/>
      <c r="AI418"/>
      <c r="AJ418"/>
    </row>
    <row r="419" spans="1:36" hidden="1" x14ac:dyDescent="0.25">
      <c r="A419" t="s">
        <v>523</v>
      </c>
      <c r="B419" t="s">
        <v>205</v>
      </c>
      <c r="C419" t="s">
        <v>39</v>
      </c>
      <c r="D419" s="1">
        <v>43349</v>
      </c>
      <c r="E419" t="s">
        <v>35</v>
      </c>
      <c r="F419" t="s">
        <v>19</v>
      </c>
      <c r="G419" s="5">
        <v>261.52999999999997</v>
      </c>
      <c r="P419" s="5"/>
      <c r="T419"/>
      <c r="AE419" s="5"/>
      <c r="AF419" s="5"/>
      <c r="AI419"/>
      <c r="AJ419"/>
    </row>
    <row r="420" spans="1:36" hidden="1" x14ac:dyDescent="0.25">
      <c r="A420" t="s">
        <v>523</v>
      </c>
      <c r="B420" t="s">
        <v>205</v>
      </c>
      <c r="C420" t="s">
        <v>39</v>
      </c>
      <c r="D420" s="1">
        <v>43349</v>
      </c>
      <c r="E420" t="s">
        <v>35</v>
      </c>
      <c r="F420" t="s">
        <v>610</v>
      </c>
      <c r="G420" s="5">
        <v>20</v>
      </c>
      <c r="P420" s="5"/>
      <c r="T420"/>
      <c r="AE420" s="5"/>
      <c r="AF420" s="5"/>
      <c r="AI420"/>
      <c r="AJ420"/>
    </row>
    <row r="421" spans="1:36" hidden="1" x14ac:dyDescent="0.25">
      <c r="A421" t="s">
        <v>523</v>
      </c>
      <c r="B421" t="s">
        <v>205</v>
      </c>
      <c r="C421" t="s">
        <v>39</v>
      </c>
      <c r="D421" s="1">
        <v>43349</v>
      </c>
      <c r="E421" t="s">
        <v>35</v>
      </c>
      <c r="F421" t="s">
        <v>1</v>
      </c>
      <c r="G421" s="5">
        <v>1046.0999999999999</v>
      </c>
      <c r="P421" s="5"/>
      <c r="T421"/>
      <c r="AE421" s="5"/>
      <c r="AF421" s="5"/>
      <c r="AI421"/>
      <c r="AJ421"/>
    </row>
    <row r="422" spans="1:36" hidden="1" x14ac:dyDescent="0.25">
      <c r="A422" t="s">
        <v>523</v>
      </c>
      <c r="B422" t="s">
        <v>205</v>
      </c>
      <c r="C422" t="s">
        <v>39</v>
      </c>
      <c r="D422" s="1">
        <v>43349</v>
      </c>
      <c r="E422" t="s">
        <v>35</v>
      </c>
      <c r="F422" t="s">
        <v>184</v>
      </c>
      <c r="G422" s="5">
        <v>2615.2600000000002</v>
      </c>
      <c r="P422" s="5"/>
      <c r="T422"/>
      <c r="AE422" s="5"/>
      <c r="AF422" s="5"/>
      <c r="AI422"/>
      <c r="AJ422"/>
    </row>
    <row r="423" spans="1:36" hidden="1" x14ac:dyDescent="0.25">
      <c r="A423" t="s">
        <v>523</v>
      </c>
      <c r="B423" t="s">
        <v>206</v>
      </c>
      <c r="C423" t="s">
        <v>164</v>
      </c>
      <c r="D423" s="1">
        <v>42320</v>
      </c>
      <c r="E423" t="s">
        <v>35</v>
      </c>
      <c r="F423" t="s">
        <v>417</v>
      </c>
      <c r="G423" s="5">
        <v>1660</v>
      </c>
      <c r="P423" s="5"/>
      <c r="T423"/>
      <c r="AE423" s="5"/>
      <c r="AF423" s="5"/>
      <c r="AI423"/>
      <c r="AJ423"/>
    </row>
    <row r="424" spans="1:36" hidden="1" x14ac:dyDescent="0.25">
      <c r="A424" t="s">
        <v>523</v>
      </c>
      <c r="B424" t="s">
        <v>206</v>
      </c>
      <c r="C424" t="s">
        <v>164</v>
      </c>
      <c r="D424" s="1">
        <v>42320</v>
      </c>
      <c r="E424" t="s">
        <v>35</v>
      </c>
      <c r="F424" t="s">
        <v>19</v>
      </c>
      <c r="G424" s="5">
        <v>249</v>
      </c>
      <c r="P424" s="5"/>
      <c r="T424"/>
      <c r="AE424" s="5"/>
      <c r="AF424" s="5"/>
      <c r="AI424"/>
      <c r="AJ424"/>
    </row>
    <row r="425" spans="1:36" hidden="1" x14ac:dyDescent="0.25">
      <c r="A425" t="s">
        <v>523</v>
      </c>
      <c r="B425" t="s">
        <v>206</v>
      </c>
      <c r="C425" t="s">
        <v>164</v>
      </c>
      <c r="D425" s="1">
        <v>42320</v>
      </c>
      <c r="E425" t="s">
        <v>35</v>
      </c>
      <c r="F425" t="s">
        <v>610</v>
      </c>
      <c r="G425" s="5">
        <v>20</v>
      </c>
      <c r="P425" s="5"/>
      <c r="T425"/>
      <c r="AE425" s="5"/>
      <c r="AF425" s="5"/>
      <c r="AI425"/>
      <c r="AJ425"/>
    </row>
    <row r="426" spans="1:36" hidden="1" x14ac:dyDescent="0.25">
      <c r="A426" t="s">
        <v>523</v>
      </c>
      <c r="B426" t="s">
        <v>206</v>
      </c>
      <c r="C426" t="s">
        <v>164</v>
      </c>
      <c r="D426" s="1">
        <v>42320</v>
      </c>
      <c r="E426" t="s">
        <v>35</v>
      </c>
      <c r="F426" t="s">
        <v>1</v>
      </c>
      <c r="G426" s="5">
        <v>664</v>
      </c>
      <c r="P426" s="5"/>
      <c r="T426"/>
      <c r="AE426" s="5"/>
      <c r="AF426" s="5"/>
      <c r="AI426"/>
      <c r="AJ426"/>
    </row>
    <row r="427" spans="1:36" hidden="1" x14ac:dyDescent="0.25">
      <c r="A427" t="s">
        <v>523</v>
      </c>
      <c r="B427" t="s">
        <v>206</v>
      </c>
      <c r="C427" t="s">
        <v>164</v>
      </c>
      <c r="D427" s="1">
        <v>42320</v>
      </c>
      <c r="E427" t="s">
        <v>35</v>
      </c>
      <c r="F427" t="s">
        <v>2</v>
      </c>
      <c r="G427" s="5">
        <v>99.6</v>
      </c>
      <c r="P427" s="5"/>
      <c r="T427"/>
      <c r="AE427" s="5"/>
      <c r="AF427" s="5"/>
      <c r="AI427"/>
      <c r="AJ427"/>
    </row>
    <row r="428" spans="1:36" hidden="1" x14ac:dyDescent="0.25">
      <c r="A428" t="s">
        <v>523</v>
      </c>
      <c r="B428" t="s">
        <v>206</v>
      </c>
      <c r="C428" t="s">
        <v>164</v>
      </c>
      <c r="D428" s="1">
        <v>42320</v>
      </c>
      <c r="E428" t="s">
        <v>35</v>
      </c>
      <c r="F428" t="s">
        <v>184</v>
      </c>
      <c r="G428" s="5">
        <v>1660</v>
      </c>
      <c r="P428" s="5"/>
      <c r="T428"/>
      <c r="AE428" s="5"/>
      <c r="AF428" s="5"/>
      <c r="AI428"/>
      <c r="AJ428"/>
    </row>
    <row r="429" spans="1:36" hidden="1" x14ac:dyDescent="0.25">
      <c r="A429" t="s">
        <v>519</v>
      </c>
      <c r="B429" t="s">
        <v>604</v>
      </c>
      <c r="C429" t="s">
        <v>58</v>
      </c>
      <c r="D429" s="1">
        <v>45633</v>
      </c>
      <c r="E429" t="s">
        <v>35</v>
      </c>
      <c r="F429" t="s">
        <v>417</v>
      </c>
      <c r="G429" s="5">
        <v>1528</v>
      </c>
      <c r="P429" s="5"/>
      <c r="T429"/>
      <c r="AE429" s="5"/>
      <c r="AF429" s="5"/>
      <c r="AI429"/>
      <c r="AJ429"/>
    </row>
    <row r="430" spans="1:36" hidden="1" x14ac:dyDescent="0.25">
      <c r="A430" t="s">
        <v>519</v>
      </c>
      <c r="B430" t="s">
        <v>604</v>
      </c>
      <c r="C430" t="s">
        <v>58</v>
      </c>
      <c r="D430" s="1">
        <v>45633</v>
      </c>
      <c r="E430" t="s">
        <v>35</v>
      </c>
      <c r="F430" t="s">
        <v>9</v>
      </c>
      <c r="G430" s="5">
        <v>50.91</v>
      </c>
      <c r="P430" s="5"/>
      <c r="T430"/>
      <c r="AE430" s="5"/>
      <c r="AF430" s="5"/>
      <c r="AI430"/>
      <c r="AJ430"/>
    </row>
    <row r="431" spans="1:36" hidden="1" x14ac:dyDescent="0.25">
      <c r="A431" t="s">
        <v>519</v>
      </c>
      <c r="B431" t="s">
        <v>604</v>
      </c>
      <c r="C431" t="s">
        <v>58</v>
      </c>
      <c r="D431" s="1">
        <v>45633</v>
      </c>
      <c r="E431" t="s">
        <v>35</v>
      </c>
      <c r="F431" t="s">
        <v>422</v>
      </c>
      <c r="G431" s="5">
        <v>23</v>
      </c>
      <c r="P431" s="5"/>
      <c r="T431"/>
      <c r="AE431" s="5"/>
      <c r="AF431" s="5"/>
      <c r="AI431"/>
      <c r="AJ431"/>
    </row>
    <row r="432" spans="1:36" hidden="1" x14ac:dyDescent="0.25">
      <c r="A432" t="s">
        <v>519</v>
      </c>
      <c r="B432" t="s">
        <v>604</v>
      </c>
      <c r="C432" t="s">
        <v>58</v>
      </c>
      <c r="D432" s="1">
        <v>45633</v>
      </c>
      <c r="E432" t="s">
        <v>35</v>
      </c>
      <c r="F432" t="s">
        <v>1</v>
      </c>
      <c r="G432" s="5">
        <v>611.20000000000005</v>
      </c>
      <c r="P432" s="5"/>
      <c r="T432"/>
      <c r="AE432" s="5"/>
      <c r="AF432" s="5"/>
      <c r="AI432"/>
      <c r="AJ432"/>
    </row>
    <row r="433" spans="1:36" hidden="1" x14ac:dyDescent="0.25">
      <c r="A433" t="s">
        <v>519</v>
      </c>
      <c r="B433" t="s">
        <v>604</v>
      </c>
      <c r="C433" t="s">
        <v>58</v>
      </c>
      <c r="D433" s="1">
        <v>45633</v>
      </c>
      <c r="E433" t="s">
        <v>35</v>
      </c>
      <c r="F433" t="s">
        <v>8</v>
      </c>
      <c r="G433" s="5">
        <v>50.91</v>
      </c>
      <c r="P433" s="5"/>
      <c r="T433"/>
      <c r="AE433" s="5"/>
      <c r="AF433" s="5"/>
      <c r="AI433"/>
      <c r="AJ433"/>
    </row>
    <row r="434" spans="1:36" hidden="1" x14ac:dyDescent="0.25">
      <c r="A434" t="s">
        <v>519</v>
      </c>
      <c r="B434" t="s">
        <v>604</v>
      </c>
      <c r="C434" t="s">
        <v>58</v>
      </c>
      <c r="D434" s="1">
        <v>45633</v>
      </c>
      <c r="E434" t="s">
        <v>35</v>
      </c>
      <c r="F434" t="s">
        <v>184</v>
      </c>
      <c r="G434" s="5">
        <v>1528</v>
      </c>
      <c r="P434" s="5"/>
      <c r="T434"/>
      <c r="AE434" s="5"/>
      <c r="AF434" s="5"/>
      <c r="AI434"/>
      <c r="AJ434"/>
    </row>
    <row r="435" spans="1:36" hidden="1" x14ac:dyDescent="0.25">
      <c r="A435" t="s">
        <v>519</v>
      </c>
      <c r="B435" t="s">
        <v>459</v>
      </c>
      <c r="C435" t="s">
        <v>77</v>
      </c>
      <c r="D435" s="1">
        <v>45252</v>
      </c>
      <c r="E435" t="s">
        <v>35</v>
      </c>
      <c r="F435" t="s">
        <v>417</v>
      </c>
      <c r="G435" s="5">
        <v>1528</v>
      </c>
      <c r="P435" s="5"/>
      <c r="T435"/>
      <c r="AE435" s="5"/>
      <c r="AF435" s="5"/>
      <c r="AI435"/>
      <c r="AJ435"/>
    </row>
    <row r="436" spans="1:36" hidden="1" x14ac:dyDescent="0.25">
      <c r="A436" t="s">
        <v>519</v>
      </c>
      <c r="B436" t="s">
        <v>459</v>
      </c>
      <c r="C436" t="s">
        <v>77</v>
      </c>
      <c r="D436" s="1">
        <v>45252</v>
      </c>
      <c r="E436" t="s">
        <v>35</v>
      </c>
      <c r="F436" t="s">
        <v>9</v>
      </c>
      <c r="G436" s="5">
        <v>50.91</v>
      </c>
      <c r="P436" s="5"/>
      <c r="T436"/>
      <c r="AE436" s="5"/>
      <c r="AF436" s="5"/>
      <c r="AI436"/>
      <c r="AJ436"/>
    </row>
    <row r="437" spans="1:36" hidden="1" x14ac:dyDescent="0.25">
      <c r="A437" t="s">
        <v>519</v>
      </c>
      <c r="B437" t="s">
        <v>459</v>
      </c>
      <c r="C437" t="s">
        <v>77</v>
      </c>
      <c r="D437" s="1">
        <v>45252</v>
      </c>
      <c r="E437" t="s">
        <v>35</v>
      </c>
      <c r="F437" t="s">
        <v>6</v>
      </c>
      <c r="G437" s="5">
        <v>63.55</v>
      </c>
      <c r="P437" s="5"/>
      <c r="T437"/>
      <c r="AE437" s="5"/>
      <c r="AF437" s="5"/>
      <c r="AI437"/>
      <c r="AJ437"/>
    </row>
    <row r="438" spans="1:36" hidden="1" x14ac:dyDescent="0.25">
      <c r="A438" t="s">
        <v>519</v>
      </c>
      <c r="B438" t="s">
        <v>459</v>
      </c>
      <c r="C438" t="s">
        <v>77</v>
      </c>
      <c r="D438" s="1">
        <v>45252</v>
      </c>
      <c r="E438" t="s">
        <v>35</v>
      </c>
      <c r="F438" t="s">
        <v>422</v>
      </c>
      <c r="G438" s="5">
        <v>23</v>
      </c>
      <c r="P438" s="5"/>
      <c r="T438"/>
      <c r="AE438" s="5"/>
      <c r="AF438" s="5"/>
      <c r="AI438"/>
      <c r="AJ438"/>
    </row>
    <row r="439" spans="1:36" hidden="1" x14ac:dyDescent="0.25">
      <c r="A439" t="s">
        <v>519</v>
      </c>
      <c r="B439" t="s">
        <v>459</v>
      </c>
      <c r="C439" t="s">
        <v>77</v>
      </c>
      <c r="D439" s="1">
        <v>45252</v>
      </c>
      <c r="E439" t="s">
        <v>35</v>
      </c>
      <c r="F439" t="s">
        <v>1</v>
      </c>
      <c r="G439" s="5">
        <v>611.20000000000005</v>
      </c>
      <c r="P439" s="5"/>
      <c r="T439"/>
      <c r="AE439" s="5"/>
      <c r="AF439" s="5"/>
      <c r="AI439"/>
      <c r="AJ439"/>
    </row>
    <row r="440" spans="1:36" hidden="1" x14ac:dyDescent="0.25">
      <c r="A440" t="s">
        <v>519</v>
      </c>
      <c r="B440" t="s">
        <v>459</v>
      </c>
      <c r="C440" t="s">
        <v>77</v>
      </c>
      <c r="D440" s="1">
        <v>45252</v>
      </c>
      <c r="E440" t="s">
        <v>35</v>
      </c>
      <c r="F440" t="s">
        <v>8</v>
      </c>
      <c r="G440" s="5">
        <v>50.91</v>
      </c>
      <c r="P440" s="5"/>
      <c r="T440"/>
      <c r="AE440" s="5"/>
      <c r="AF440" s="5"/>
      <c r="AI440"/>
      <c r="AJ440"/>
    </row>
    <row r="441" spans="1:36" hidden="1" x14ac:dyDescent="0.25">
      <c r="A441" t="s">
        <v>519</v>
      </c>
      <c r="B441" t="s">
        <v>459</v>
      </c>
      <c r="C441" t="s">
        <v>77</v>
      </c>
      <c r="D441" s="1">
        <v>45252</v>
      </c>
      <c r="E441" t="s">
        <v>35</v>
      </c>
      <c r="F441" t="s">
        <v>184</v>
      </c>
      <c r="G441" s="5">
        <v>1528</v>
      </c>
      <c r="P441" s="5"/>
      <c r="T441"/>
      <c r="AE441" s="5"/>
      <c r="AF441" s="5"/>
      <c r="AI441"/>
      <c r="AJ441"/>
    </row>
    <row r="442" spans="1:36" hidden="1" x14ac:dyDescent="0.25">
      <c r="A442" t="s">
        <v>519</v>
      </c>
      <c r="B442" t="s">
        <v>169</v>
      </c>
      <c r="C442" t="s">
        <v>58</v>
      </c>
      <c r="D442" s="1">
        <v>42955</v>
      </c>
      <c r="E442" t="s">
        <v>35</v>
      </c>
      <c r="F442" t="s">
        <v>417</v>
      </c>
      <c r="G442" s="5">
        <v>1528</v>
      </c>
      <c r="P442" s="5"/>
      <c r="T442"/>
      <c r="AE442" s="5"/>
      <c r="AF442" s="5"/>
      <c r="AI442"/>
      <c r="AJ442"/>
    </row>
    <row r="443" spans="1:36" hidden="1" x14ac:dyDescent="0.25">
      <c r="A443" t="s">
        <v>519</v>
      </c>
      <c r="B443" t="s">
        <v>169</v>
      </c>
      <c r="C443" t="s">
        <v>58</v>
      </c>
      <c r="D443" s="1">
        <v>42955</v>
      </c>
      <c r="E443" t="s">
        <v>35</v>
      </c>
      <c r="F443" t="s">
        <v>21</v>
      </c>
      <c r="G443" s="5">
        <v>91.68</v>
      </c>
      <c r="P443" s="5"/>
      <c r="T443"/>
      <c r="AE443" s="5"/>
      <c r="AF443" s="5"/>
      <c r="AI443"/>
      <c r="AJ443"/>
    </row>
    <row r="444" spans="1:36" hidden="1" x14ac:dyDescent="0.25">
      <c r="A444" t="s">
        <v>519</v>
      </c>
      <c r="B444" t="s">
        <v>169</v>
      </c>
      <c r="C444" t="s">
        <v>58</v>
      </c>
      <c r="D444" s="1">
        <v>42955</v>
      </c>
      <c r="E444" t="s">
        <v>35</v>
      </c>
      <c r="F444" t="s">
        <v>288</v>
      </c>
      <c r="G444" s="5">
        <v>74.09</v>
      </c>
      <c r="P444" s="5"/>
      <c r="T444"/>
      <c r="AE444" s="5"/>
      <c r="AF444" s="5"/>
      <c r="AI444"/>
      <c r="AJ444"/>
    </row>
    <row r="445" spans="1:36" hidden="1" x14ac:dyDescent="0.25">
      <c r="A445" t="s">
        <v>519</v>
      </c>
      <c r="B445" t="s">
        <v>169</v>
      </c>
      <c r="C445" t="s">
        <v>58</v>
      </c>
      <c r="D445" s="1">
        <v>42955</v>
      </c>
      <c r="E445" t="s">
        <v>35</v>
      </c>
      <c r="F445" t="s">
        <v>422</v>
      </c>
      <c r="G445" s="5">
        <v>23</v>
      </c>
      <c r="P445" s="5"/>
      <c r="T445"/>
      <c r="AE445" s="5"/>
      <c r="AF445" s="5"/>
      <c r="AI445"/>
      <c r="AJ445"/>
    </row>
    <row r="446" spans="1:36" hidden="1" x14ac:dyDescent="0.25">
      <c r="A446" t="s">
        <v>519</v>
      </c>
      <c r="B446" t="s">
        <v>169</v>
      </c>
      <c r="C446" t="s">
        <v>58</v>
      </c>
      <c r="D446" s="1">
        <v>42955</v>
      </c>
      <c r="E446" t="s">
        <v>35</v>
      </c>
      <c r="F446" t="s">
        <v>1</v>
      </c>
      <c r="G446" s="5">
        <v>611.20000000000005</v>
      </c>
      <c r="P446" s="5"/>
      <c r="T446"/>
      <c r="AE446" s="5"/>
      <c r="AF446" s="5"/>
      <c r="AI446"/>
      <c r="AJ446"/>
    </row>
    <row r="447" spans="1:36" hidden="1" x14ac:dyDescent="0.25">
      <c r="A447" t="s">
        <v>519</v>
      </c>
      <c r="B447" t="s">
        <v>169</v>
      </c>
      <c r="C447" t="s">
        <v>58</v>
      </c>
      <c r="D447" s="1">
        <v>42955</v>
      </c>
      <c r="E447" t="s">
        <v>35</v>
      </c>
      <c r="F447" t="s">
        <v>184</v>
      </c>
      <c r="G447" s="5">
        <v>1528</v>
      </c>
      <c r="P447" s="5"/>
      <c r="T447"/>
      <c r="AE447" s="5"/>
      <c r="AF447" s="5"/>
      <c r="AI447"/>
      <c r="AJ447"/>
    </row>
    <row r="448" spans="1:36" hidden="1" x14ac:dyDescent="0.25">
      <c r="A448" t="s">
        <v>519</v>
      </c>
      <c r="B448" t="s">
        <v>601</v>
      </c>
      <c r="C448" t="s">
        <v>58</v>
      </c>
      <c r="D448" s="1">
        <v>45633</v>
      </c>
      <c r="E448" t="s">
        <v>35</v>
      </c>
      <c r="F448" t="s">
        <v>417</v>
      </c>
      <c r="G448" s="5">
        <v>1528</v>
      </c>
      <c r="P448" s="5"/>
      <c r="T448"/>
      <c r="AE448" s="5"/>
      <c r="AF448" s="5"/>
      <c r="AI448"/>
      <c r="AJ448"/>
    </row>
    <row r="449" spans="1:36" hidden="1" x14ac:dyDescent="0.25">
      <c r="A449" t="s">
        <v>519</v>
      </c>
      <c r="B449" t="s">
        <v>601</v>
      </c>
      <c r="C449" t="s">
        <v>58</v>
      </c>
      <c r="D449" s="1">
        <v>45633</v>
      </c>
      <c r="E449" t="s">
        <v>35</v>
      </c>
      <c r="F449" t="s">
        <v>7</v>
      </c>
      <c r="G449" s="5">
        <v>65</v>
      </c>
      <c r="P449" s="5"/>
      <c r="T449"/>
      <c r="AE449" s="5"/>
      <c r="AF449" s="5"/>
      <c r="AI449"/>
      <c r="AJ449"/>
    </row>
    <row r="450" spans="1:36" hidden="1" x14ac:dyDescent="0.25">
      <c r="A450" t="s">
        <v>519</v>
      </c>
      <c r="B450" t="s">
        <v>601</v>
      </c>
      <c r="C450" t="s">
        <v>58</v>
      </c>
      <c r="D450" s="1">
        <v>45633</v>
      </c>
      <c r="E450" t="s">
        <v>35</v>
      </c>
      <c r="F450" t="s">
        <v>422</v>
      </c>
      <c r="G450" s="5">
        <v>23</v>
      </c>
      <c r="P450" s="5"/>
      <c r="T450"/>
      <c r="AE450" s="5"/>
      <c r="AF450" s="5"/>
      <c r="AI450"/>
      <c r="AJ450"/>
    </row>
    <row r="451" spans="1:36" hidden="1" x14ac:dyDescent="0.25">
      <c r="A451" t="s">
        <v>519</v>
      </c>
      <c r="B451" t="s">
        <v>601</v>
      </c>
      <c r="C451" t="s">
        <v>58</v>
      </c>
      <c r="D451" s="1">
        <v>45633</v>
      </c>
      <c r="E451" t="s">
        <v>35</v>
      </c>
      <c r="F451" t="s">
        <v>1</v>
      </c>
      <c r="G451" s="5">
        <v>611.20000000000005</v>
      </c>
      <c r="P451" s="5"/>
      <c r="T451"/>
      <c r="AE451" s="5"/>
      <c r="AF451" s="5"/>
      <c r="AI451"/>
      <c r="AJ451"/>
    </row>
    <row r="452" spans="1:36" hidden="1" x14ac:dyDescent="0.25">
      <c r="A452" t="s">
        <v>519</v>
      </c>
      <c r="B452" t="s">
        <v>601</v>
      </c>
      <c r="C452" t="s">
        <v>58</v>
      </c>
      <c r="D452" s="1">
        <v>45633</v>
      </c>
      <c r="E452" t="s">
        <v>35</v>
      </c>
      <c r="F452" t="s">
        <v>184</v>
      </c>
      <c r="G452" s="5">
        <v>1528</v>
      </c>
      <c r="P452" s="5"/>
      <c r="T452"/>
      <c r="AE452" s="5"/>
      <c r="AF452" s="5"/>
      <c r="AI452"/>
      <c r="AJ452"/>
    </row>
    <row r="453" spans="1:36" hidden="1" x14ac:dyDescent="0.25">
      <c r="A453" t="s">
        <v>519</v>
      </c>
      <c r="B453" t="s">
        <v>603</v>
      </c>
      <c r="C453" t="s">
        <v>56</v>
      </c>
      <c r="D453" s="1">
        <v>45633</v>
      </c>
      <c r="E453" t="s">
        <v>35</v>
      </c>
      <c r="F453" t="s">
        <v>417</v>
      </c>
      <c r="G453" s="5">
        <v>1528</v>
      </c>
      <c r="P453" s="5"/>
      <c r="T453"/>
      <c r="AE453" s="5"/>
      <c r="AF453" s="5"/>
      <c r="AI453"/>
      <c r="AJ453"/>
    </row>
    <row r="454" spans="1:36" hidden="1" x14ac:dyDescent="0.25">
      <c r="A454" t="s">
        <v>519</v>
      </c>
      <c r="B454" t="s">
        <v>603</v>
      </c>
      <c r="C454" t="s">
        <v>56</v>
      </c>
      <c r="D454" s="1">
        <v>45633</v>
      </c>
      <c r="E454" t="s">
        <v>35</v>
      </c>
      <c r="F454" t="s">
        <v>22</v>
      </c>
      <c r="G454" s="5">
        <v>171.14</v>
      </c>
      <c r="P454" s="5"/>
      <c r="T454"/>
      <c r="AE454" s="5"/>
      <c r="AF454" s="5"/>
      <c r="AI454"/>
      <c r="AJ454"/>
    </row>
    <row r="455" spans="1:36" hidden="1" x14ac:dyDescent="0.25">
      <c r="A455" t="s">
        <v>519</v>
      </c>
      <c r="B455" t="s">
        <v>603</v>
      </c>
      <c r="C455" t="s">
        <v>56</v>
      </c>
      <c r="D455" s="1">
        <v>45633</v>
      </c>
      <c r="E455" t="s">
        <v>35</v>
      </c>
      <c r="F455" t="s">
        <v>7</v>
      </c>
      <c r="G455" s="5">
        <v>65</v>
      </c>
      <c r="P455" s="5"/>
      <c r="T455"/>
      <c r="AE455" s="5"/>
      <c r="AF455" s="5"/>
      <c r="AI455"/>
      <c r="AJ455"/>
    </row>
    <row r="456" spans="1:36" hidden="1" x14ac:dyDescent="0.25">
      <c r="A456" t="s">
        <v>519</v>
      </c>
      <c r="B456" t="s">
        <v>603</v>
      </c>
      <c r="C456" t="s">
        <v>56</v>
      </c>
      <c r="D456" s="1">
        <v>45633</v>
      </c>
      <c r="E456" t="s">
        <v>35</v>
      </c>
      <c r="F456" t="s">
        <v>9</v>
      </c>
      <c r="G456" s="5">
        <v>50.91</v>
      </c>
      <c r="P456" s="5"/>
      <c r="T456"/>
      <c r="AE456" s="5"/>
      <c r="AF456" s="5"/>
      <c r="AI456"/>
      <c r="AJ456"/>
    </row>
    <row r="457" spans="1:36" hidden="1" x14ac:dyDescent="0.25">
      <c r="A457" t="s">
        <v>519</v>
      </c>
      <c r="B457" t="s">
        <v>603</v>
      </c>
      <c r="C457" t="s">
        <v>56</v>
      </c>
      <c r="D457" s="1">
        <v>45633</v>
      </c>
      <c r="E457" t="s">
        <v>35</v>
      </c>
      <c r="F457" t="s">
        <v>422</v>
      </c>
      <c r="G457" s="5">
        <v>23</v>
      </c>
      <c r="P457" s="5"/>
      <c r="T457"/>
      <c r="AE457" s="5"/>
      <c r="AF457" s="5"/>
      <c r="AI457"/>
      <c r="AJ457"/>
    </row>
    <row r="458" spans="1:36" hidden="1" x14ac:dyDescent="0.25">
      <c r="A458" t="s">
        <v>519</v>
      </c>
      <c r="B458" t="s">
        <v>603</v>
      </c>
      <c r="C458" t="s">
        <v>56</v>
      </c>
      <c r="D458" s="1">
        <v>45633</v>
      </c>
      <c r="E458" t="s">
        <v>35</v>
      </c>
      <c r="F458" t="s">
        <v>1</v>
      </c>
      <c r="G458" s="5">
        <v>611.20000000000005</v>
      </c>
      <c r="P458" s="5"/>
      <c r="T458"/>
      <c r="AE458" s="5"/>
      <c r="AF458" s="5"/>
      <c r="AI458"/>
      <c r="AJ458"/>
    </row>
    <row r="459" spans="1:36" hidden="1" x14ac:dyDescent="0.25">
      <c r="A459" t="s">
        <v>519</v>
      </c>
      <c r="B459" t="s">
        <v>603</v>
      </c>
      <c r="C459" t="s">
        <v>56</v>
      </c>
      <c r="D459" s="1">
        <v>45633</v>
      </c>
      <c r="E459" t="s">
        <v>35</v>
      </c>
      <c r="F459" t="s">
        <v>8</v>
      </c>
      <c r="G459" s="5">
        <v>50.91</v>
      </c>
      <c r="P459" s="5"/>
      <c r="T459"/>
      <c r="AE459" s="5"/>
      <c r="AF459" s="5"/>
      <c r="AI459"/>
      <c r="AJ459"/>
    </row>
    <row r="460" spans="1:36" hidden="1" x14ac:dyDescent="0.25">
      <c r="A460" t="s">
        <v>519</v>
      </c>
      <c r="B460" t="s">
        <v>603</v>
      </c>
      <c r="C460" t="s">
        <v>56</v>
      </c>
      <c r="D460" s="1">
        <v>45633</v>
      </c>
      <c r="E460" t="s">
        <v>35</v>
      </c>
      <c r="F460" t="s">
        <v>184</v>
      </c>
      <c r="G460" s="5">
        <v>1528</v>
      </c>
      <c r="P460" s="5"/>
      <c r="T460"/>
      <c r="AE460" s="5"/>
      <c r="AF460" s="5"/>
      <c r="AI460"/>
      <c r="AJ460"/>
    </row>
    <row r="461" spans="1:36" hidden="1" x14ac:dyDescent="0.25">
      <c r="A461" t="s">
        <v>519</v>
      </c>
      <c r="B461" t="s">
        <v>61</v>
      </c>
      <c r="C461" t="s">
        <v>39</v>
      </c>
      <c r="D461" s="1">
        <v>45202</v>
      </c>
      <c r="E461" t="s">
        <v>35</v>
      </c>
      <c r="F461" t="s">
        <v>417</v>
      </c>
      <c r="G461" s="5">
        <v>2500</v>
      </c>
      <c r="P461" s="5"/>
      <c r="T461"/>
      <c r="AE461" s="5"/>
      <c r="AF461" s="5"/>
      <c r="AI461"/>
      <c r="AJ461"/>
    </row>
    <row r="462" spans="1:36" hidden="1" x14ac:dyDescent="0.25">
      <c r="A462" t="s">
        <v>519</v>
      </c>
      <c r="B462" t="s">
        <v>61</v>
      </c>
      <c r="C462" t="s">
        <v>39</v>
      </c>
      <c r="D462" s="1">
        <v>45202</v>
      </c>
      <c r="E462" t="s">
        <v>35</v>
      </c>
      <c r="F462" t="s">
        <v>6</v>
      </c>
      <c r="G462" s="5">
        <v>73.63</v>
      </c>
      <c r="P462" s="5"/>
      <c r="T462"/>
      <c r="AE462" s="5"/>
      <c r="AF462" s="5"/>
      <c r="AI462"/>
      <c r="AJ462"/>
    </row>
    <row r="463" spans="1:36" hidden="1" x14ac:dyDescent="0.25">
      <c r="A463" t="s">
        <v>519</v>
      </c>
      <c r="B463" t="s">
        <v>61</v>
      </c>
      <c r="C463" t="s">
        <v>39</v>
      </c>
      <c r="D463" s="1">
        <v>45202</v>
      </c>
      <c r="E463" t="s">
        <v>35</v>
      </c>
      <c r="F463" t="s">
        <v>422</v>
      </c>
      <c r="G463" s="5">
        <v>23</v>
      </c>
      <c r="P463" s="5"/>
      <c r="T463"/>
      <c r="AE463" s="5"/>
      <c r="AF463" s="5"/>
      <c r="AI463"/>
      <c r="AJ463"/>
    </row>
    <row r="464" spans="1:36" hidden="1" x14ac:dyDescent="0.25">
      <c r="A464" t="s">
        <v>519</v>
      </c>
      <c r="B464" t="s">
        <v>61</v>
      </c>
      <c r="C464" t="s">
        <v>39</v>
      </c>
      <c r="D464" s="1">
        <v>45202</v>
      </c>
      <c r="E464" t="s">
        <v>35</v>
      </c>
      <c r="F464" t="s">
        <v>1</v>
      </c>
      <c r="G464" s="5">
        <v>1000</v>
      </c>
      <c r="P464" s="5"/>
      <c r="T464"/>
      <c r="AE464" s="5"/>
      <c r="AF464" s="5"/>
      <c r="AI464"/>
      <c r="AJ464"/>
    </row>
    <row r="465" spans="1:36" hidden="1" x14ac:dyDescent="0.25">
      <c r="A465" t="s">
        <v>519</v>
      </c>
      <c r="B465" t="s">
        <v>61</v>
      </c>
      <c r="C465" t="s">
        <v>39</v>
      </c>
      <c r="D465" s="1">
        <v>45202</v>
      </c>
      <c r="E465" t="s">
        <v>35</v>
      </c>
      <c r="F465" t="s">
        <v>184</v>
      </c>
      <c r="G465" s="5">
        <v>2500</v>
      </c>
      <c r="P465" s="5"/>
      <c r="T465"/>
      <c r="AE465" s="5"/>
      <c r="AF465" s="5"/>
      <c r="AI465"/>
      <c r="AJ465"/>
    </row>
    <row r="466" spans="1:36" hidden="1" x14ac:dyDescent="0.25">
      <c r="A466" t="s">
        <v>517</v>
      </c>
      <c r="B466" t="s">
        <v>161</v>
      </c>
      <c r="C466" t="s">
        <v>39</v>
      </c>
      <c r="D466" s="1">
        <v>43437</v>
      </c>
      <c r="E466" t="s">
        <v>35</v>
      </c>
      <c r="F466" t="s">
        <v>417</v>
      </c>
      <c r="G466" s="5">
        <v>2896.58</v>
      </c>
      <c r="P466" s="5"/>
      <c r="T466"/>
      <c r="AE466" s="5"/>
      <c r="AF466" s="5"/>
      <c r="AI466"/>
      <c r="AJ466"/>
    </row>
    <row r="467" spans="1:36" hidden="1" x14ac:dyDescent="0.25">
      <c r="A467" t="s">
        <v>517</v>
      </c>
      <c r="B467" t="s">
        <v>161</v>
      </c>
      <c r="C467" t="s">
        <v>39</v>
      </c>
      <c r="D467" s="1">
        <v>43437</v>
      </c>
      <c r="E467" t="s">
        <v>35</v>
      </c>
      <c r="F467" t="s">
        <v>5</v>
      </c>
      <c r="G467" s="5">
        <v>173.79</v>
      </c>
      <c r="P467" s="5"/>
      <c r="T467"/>
      <c r="AE467" s="5"/>
      <c r="AF467" s="5"/>
      <c r="AI467"/>
      <c r="AJ467"/>
    </row>
    <row r="468" spans="1:36" hidden="1" x14ac:dyDescent="0.25">
      <c r="A468" t="s">
        <v>517</v>
      </c>
      <c r="B468" t="s">
        <v>161</v>
      </c>
      <c r="C468" t="s">
        <v>39</v>
      </c>
      <c r="D468" s="1">
        <v>43437</v>
      </c>
      <c r="E468" t="s">
        <v>35</v>
      </c>
      <c r="F468" t="s">
        <v>6</v>
      </c>
      <c r="G468" s="5">
        <v>45.15</v>
      </c>
      <c r="P468" s="5"/>
      <c r="T468"/>
      <c r="AE468" s="5"/>
      <c r="AF468" s="5"/>
      <c r="AI468"/>
      <c r="AJ468"/>
    </row>
    <row r="469" spans="1:36" hidden="1" x14ac:dyDescent="0.25">
      <c r="A469" t="s">
        <v>517</v>
      </c>
      <c r="B469" t="s">
        <v>161</v>
      </c>
      <c r="C469" t="s">
        <v>39</v>
      </c>
      <c r="D469" s="1">
        <v>43437</v>
      </c>
      <c r="E469" t="s">
        <v>35</v>
      </c>
      <c r="F469" t="s">
        <v>492</v>
      </c>
      <c r="G469" s="5">
        <v>20</v>
      </c>
      <c r="P469" s="5"/>
      <c r="T469"/>
      <c r="AE469" s="5"/>
      <c r="AF469" s="5"/>
      <c r="AI469"/>
      <c r="AJ469"/>
    </row>
    <row r="470" spans="1:36" hidden="1" x14ac:dyDescent="0.25">
      <c r="A470" t="s">
        <v>517</v>
      </c>
      <c r="B470" t="s">
        <v>161</v>
      </c>
      <c r="C470" t="s">
        <v>39</v>
      </c>
      <c r="D470" s="1">
        <v>43437</v>
      </c>
      <c r="E470" t="s">
        <v>35</v>
      </c>
      <c r="F470" t="s">
        <v>1</v>
      </c>
      <c r="G470" s="5">
        <v>1158.6300000000001</v>
      </c>
      <c r="P470" s="5"/>
      <c r="T470"/>
      <c r="AE470" s="5"/>
      <c r="AF470" s="5"/>
      <c r="AI470"/>
      <c r="AJ470"/>
    </row>
    <row r="471" spans="1:36" hidden="1" x14ac:dyDescent="0.25">
      <c r="A471" t="s">
        <v>517</v>
      </c>
      <c r="B471" t="s">
        <v>161</v>
      </c>
      <c r="C471" t="s">
        <v>39</v>
      </c>
      <c r="D471" s="1">
        <v>43437</v>
      </c>
      <c r="E471" t="s">
        <v>35</v>
      </c>
      <c r="F471" t="s">
        <v>184</v>
      </c>
      <c r="G471" s="5">
        <v>2896.58</v>
      </c>
      <c r="P471" s="5"/>
      <c r="T471"/>
      <c r="AE471" s="5"/>
      <c r="AF471" s="5"/>
      <c r="AI471"/>
      <c r="AJ471"/>
    </row>
    <row r="472" spans="1:36" hidden="1" x14ac:dyDescent="0.25">
      <c r="A472" t="s">
        <v>517</v>
      </c>
      <c r="B472" t="s">
        <v>462</v>
      </c>
      <c r="C472" t="s">
        <v>41</v>
      </c>
      <c r="D472" s="1">
        <v>45252</v>
      </c>
      <c r="E472" t="s">
        <v>35</v>
      </c>
      <c r="F472" t="s">
        <v>417</v>
      </c>
      <c r="G472" s="5">
        <v>1518</v>
      </c>
      <c r="P472" s="5"/>
      <c r="T472"/>
      <c r="AE472" s="5"/>
      <c r="AF472" s="5"/>
      <c r="AI472"/>
      <c r="AJ472"/>
    </row>
    <row r="473" spans="1:36" hidden="1" x14ac:dyDescent="0.25">
      <c r="A473" t="s">
        <v>517</v>
      </c>
      <c r="B473" t="s">
        <v>462</v>
      </c>
      <c r="C473" t="s">
        <v>41</v>
      </c>
      <c r="D473" s="1">
        <v>45252</v>
      </c>
      <c r="E473" t="s">
        <v>35</v>
      </c>
      <c r="F473" t="s">
        <v>492</v>
      </c>
      <c r="G473" s="5">
        <v>20</v>
      </c>
      <c r="P473" s="5"/>
      <c r="T473"/>
      <c r="AE473" s="5"/>
      <c r="AF473" s="5"/>
      <c r="AI473"/>
      <c r="AJ473"/>
    </row>
    <row r="474" spans="1:36" hidden="1" x14ac:dyDescent="0.25">
      <c r="A474" t="s">
        <v>517</v>
      </c>
      <c r="B474" t="s">
        <v>462</v>
      </c>
      <c r="C474" t="s">
        <v>41</v>
      </c>
      <c r="D474" s="1">
        <v>45252</v>
      </c>
      <c r="E474" t="s">
        <v>35</v>
      </c>
      <c r="F474" t="s">
        <v>1</v>
      </c>
      <c r="G474" s="5">
        <v>607.20000000000005</v>
      </c>
      <c r="P474" s="5"/>
      <c r="T474"/>
      <c r="AE474" s="5"/>
      <c r="AF474" s="5"/>
      <c r="AI474"/>
      <c r="AJ474"/>
    </row>
    <row r="475" spans="1:36" hidden="1" x14ac:dyDescent="0.25">
      <c r="A475" t="s">
        <v>517</v>
      </c>
      <c r="B475" t="s">
        <v>462</v>
      </c>
      <c r="C475" t="s">
        <v>41</v>
      </c>
      <c r="D475" s="1">
        <v>45252</v>
      </c>
      <c r="E475" t="s">
        <v>35</v>
      </c>
      <c r="F475" t="s">
        <v>184</v>
      </c>
      <c r="G475" s="5">
        <v>1518</v>
      </c>
      <c r="P475" s="5"/>
      <c r="T475"/>
      <c r="AE475" s="5"/>
      <c r="AF475" s="5"/>
      <c r="AI475"/>
      <c r="AJ475"/>
    </row>
    <row r="476" spans="1:36" hidden="1" x14ac:dyDescent="0.25">
      <c r="A476" t="s">
        <v>517</v>
      </c>
      <c r="B476" t="s">
        <v>265</v>
      </c>
      <c r="C476" t="s">
        <v>46</v>
      </c>
      <c r="D476" s="1">
        <v>44683</v>
      </c>
      <c r="E476" t="s">
        <v>35</v>
      </c>
      <c r="F476" t="s">
        <v>417</v>
      </c>
      <c r="G476" s="5">
        <v>1518</v>
      </c>
      <c r="P476" s="5"/>
      <c r="T476"/>
      <c r="AE476" s="5"/>
      <c r="AF476" s="5"/>
      <c r="AI476"/>
      <c r="AJ476"/>
    </row>
    <row r="477" spans="1:36" hidden="1" x14ac:dyDescent="0.25">
      <c r="A477" t="s">
        <v>517</v>
      </c>
      <c r="B477" t="s">
        <v>265</v>
      </c>
      <c r="C477" t="s">
        <v>46</v>
      </c>
      <c r="D477" s="1">
        <v>44683</v>
      </c>
      <c r="E477" t="s">
        <v>35</v>
      </c>
      <c r="F477" t="s">
        <v>5</v>
      </c>
      <c r="G477" s="5">
        <v>45.54</v>
      </c>
      <c r="P477" s="5"/>
      <c r="T477"/>
      <c r="AE477" s="5"/>
      <c r="AF477" s="5"/>
      <c r="AI477"/>
      <c r="AJ477"/>
    </row>
    <row r="478" spans="1:36" hidden="1" x14ac:dyDescent="0.25">
      <c r="A478" t="s">
        <v>517</v>
      </c>
      <c r="B478" t="s">
        <v>265</v>
      </c>
      <c r="C478" t="s">
        <v>46</v>
      </c>
      <c r="D478" s="1">
        <v>44683</v>
      </c>
      <c r="E478" t="s">
        <v>35</v>
      </c>
      <c r="F478" t="s">
        <v>16</v>
      </c>
      <c r="G478" s="5">
        <v>151.80000000000001</v>
      </c>
      <c r="P478" s="5"/>
      <c r="T478"/>
      <c r="AE478" s="5"/>
      <c r="AF478" s="5"/>
      <c r="AI478"/>
      <c r="AJ478"/>
    </row>
    <row r="479" spans="1:36" hidden="1" x14ac:dyDescent="0.25">
      <c r="A479" t="s">
        <v>517</v>
      </c>
      <c r="B479" t="s">
        <v>265</v>
      </c>
      <c r="C479" t="s">
        <v>46</v>
      </c>
      <c r="D479" s="1">
        <v>44683</v>
      </c>
      <c r="E479" t="s">
        <v>35</v>
      </c>
      <c r="F479" t="s">
        <v>492</v>
      </c>
      <c r="G479" s="5">
        <v>20</v>
      </c>
      <c r="P479" s="5"/>
      <c r="T479"/>
      <c r="AE479" s="5"/>
      <c r="AF479" s="5"/>
      <c r="AI479"/>
      <c r="AJ479"/>
    </row>
    <row r="480" spans="1:36" hidden="1" x14ac:dyDescent="0.25">
      <c r="A480" t="s">
        <v>517</v>
      </c>
      <c r="B480" t="s">
        <v>265</v>
      </c>
      <c r="C480" t="s">
        <v>46</v>
      </c>
      <c r="D480" s="1">
        <v>44683</v>
      </c>
      <c r="E480" t="s">
        <v>35</v>
      </c>
      <c r="F480" t="s">
        <v>1</v>
      </c>
      <c r="G480" s="5">
        <v>607.20000000000005</v>
      </c>
      <c r="P480" s="5"/>
      <c r="T480"/>
      <c r="AE480" s="5"/>
      <c r="AF480" s="5"/>
      <c r="AI480"/>
      <c r="AJ480"/>
    </row>
    <row r="481" spans="1:36" hidden="1" x14ac:dyDescent="0.25">
      <c r="A481" t="s">
        <v>517</v>
      </c>
      <c r="B481" t="s">
        <v>265</v>
      </c>
      <c r="C481" t="s">
        <v>46</v>
      </c>
      <c r="D481" s="1">
        <v>44683</v>
      </c>
      <c r="E481" t="s">
        <v>35</v>
      </c>
      <c r="F481" t="s">
        <v>184</v>
      </c>
      <c r="G481" s="5">
        <v>1518</v>
      </c>
      <c r="P481" s="5"/>
      <c r="T481"/>
      <c r="AE481" s="5"/>
      <c r="AF481" s="5"/>
      <c r="AI481"/>
      <c r="AJ481"/>
    </row>
    <row r="482" spans="1:36" hidden="1" x14ac:dyDescent="0.25">
      <c r="A482" t="s">
        <v>517</v>
      </c>
      <c r="B482" t="s">
        <v>463</v>
      </c>
      <c r="C482" t="s">
        <v>58</v>
      </c>
      <c r="D482" s="1">
        <v>45236</v>
      </c>
      <c r="E482" t="s">
        <v>35</v>
      </c>
      <c r="F482" t="s">
        <v>417</v>
      </c>
      <c r="G482" s="5">
        <v>1518</v>
      </c>
      <c r="P482" s="5"/>
      <c r="T482"/>
      <c r="AE482" s="5"/>
      <c r="AF482" s="5"/>
      <c r="AI482"/>
      <c r="AJ482"/>
    </row>
    <row r="483" spans="1:36" hidden="1" x14ac:dyDescent="0.25">
      <c r="A483" t="s">
        <v>517</v>
      </c>
      <c r="B483" t="s">
        <v>463</v>
      </c>
      <c r="C483" t="s">
        <v>58</v>
      </c>
      <c r="D483" s="1">
        <v>45236</v>
      </c>
      <c r="E483" t="s">
        <v>35</v>
      </c>
      <c r="F483" t="s">
        <v>6</v>
      </c>
      <c r="G483" s="5">
        <v>81.319999999999993</v>
      </c>
      <c r="P483" s="5"/>
      <c r="T483"/>
      <c r="AE483" s="5"/>
      <c r="AF483" s="5"/>
      <c r="AI483"/>
      <c r="AJ483"/>
    </row>
    <row r="484" spans="1:36" hidden="1" x14ac:dyDescent="0.25">
      <c r="A484" t="s">
        <v>517</v>
      </c>
      <c r="B484" t="s">
        <v>463</v>
      </c>
      <c r="C484" t="s">
        <v>58</v>
      </c>
      <c r="D484" s="1">
        <v>45236</v>
      </c>
      <c r="E484" t="s">
        <v>35</v>
      </c>
      <c r="F484" t="s">
        <v>492</v>
      </c>
      <c r="G484" s="5">
        <v>20</v>
      </c>
      <c r="P484" s="5"/>
      <c r="T484"/>
      <c r="AE484" s="5"/>
      <c r="AF484" s="5"/>
      <c r="AI484"/>
      <c r="AJ484"/>
    </row>
    <row r="485" spans="1:36" hidden="1" x14ac:dyDescent="0.25">
      <c r="A485" t="s">
        <v>517</v>
      </c>
      <c r="B485" t="s">
        <v>463</v>
      </c>
      <c r="C485" t="s">
        <v>58</v>
      </c>
      <c r="D485" s="1">
        <v>45236</v>
      </c>
      <c r="E485" t="s">
        <v>35</v>
      </c>
      <c r="F485" t="s">
        <v>1</v>
      </c>
      <c r="G485" s="5">
        <v>607.20000000000005</v>
      </c>
      <c r="P485" s="5"/>
      <c r="T485"/>
      <c r="AE485" s="5"/>
      <c r="AF485" s="5"/>
      <c r="AI485"/>
      <c r="AJ485"/>
    </row>
    <row r="486" spans="1:36" hidden="1" x14ac:dyDescent="0.25">
      <c r="A486" t="s">
        <v>517</v>
      </c>
      <c r="B486" t="s">
        <v>463</v>
      </c>
      <c r="C486" t="s">
        <v>58</v>
      </c>
      <c r="D486" s="1">
        <v>45236</v>
      </c>
      <c r="E486" t="s">
        <v>35</v>
      </c>
      <c r="F486" t="s">
        <v>184</v>
      </c>
      <c r="G486" s="5">
        <v>1518</v>
      </c>
      <c r="P486" s="5"/>
      <c r="T486"/>
      <c r="AE486" s="5"/>
      <c r="AF486" s="5"/>
      <c r="AI486"/>
      <c r="AJ486"/>
    </row>
    <row r="487" spans="1:36" hidden="1" x14ac:dyDescent="0.25">
      <c r="A487" t="s">
        <v>515</v>
      </c>
      <c r="B487" t="s">
        <v>394</v>
      </c>
      <c r="C487" t="s">
        <v>386</v>
      </c>
      <c r="D487" s="1">
        <v>45056</v>
      </c>
      <c r="E487" t="s">
        <v>35</v>
      </c>
      <c r="F487" t="s">
        <v>417</v>
      </c>
      <c r="G487" s="5">
        <v>1607</v>
      </c>
      <c r="P487" s="5"/>
      <c r="T487"/>
      <c r="AE487" s="5"/>
      <c r="AF487" s="5"/>
      <c r="AI487"/>
      <c r="AJ487"/>
    </row>
    <row r="488" spans="1:36" hidden="1" x14ac:dyDescent="0.25">
      <c r="A488" t="s">
        <v>515</v>
      </c>
      <c r="B488" t="s">
        <v>394</v>
      </c>
      <c r="C488" t="s">
        <v>386</v>
      </c>
      <c r="D488" s="1">
        <v>45056</v>
      </c>
      <c r="E488" t="s">
        <v>35</v>
      </c>
      <c r="F488" t="s">
        <v>6</v>
      </c>
      <c r="G488" s="5">
        <v>132.65</v>
      </c>
      <c r="P488" s="5"/>
      <c r="T488"/>
      <c r="AE488" s="5"/>
      <c r="AF488" s="5"/>
      <c r="AI488"/>
      <c r="AJ488"/>
    </row>
    <row r="489" spans="1:36" hidden="1" x14ac:dyDescent="0.25">
      <c r="A489" t="s">
        <v>515</v>
      </c>
      <c r="B489" t="s">
        <v>394</v>
      </c>
      <c r="C489" t="s">
        <v>386</v>
      </c>
      <c r="D489" s="1">
        <v>45056</v>
      </c>
      <c r="E489" t="s">
        <v>35</v>
      </c>
      <c r="F489" t="s">
        <v>1</v>
      </c>
      <c r="G489" s="5">
        <v>642.79999999999995</v>
      </c>
      <c r="P489" s="5"/>
      <c r="T489"/>
      <c r="AE489" s="5"/>
      <c r="AF489" s="5"/>
      <c r="AI489"/>
      <c r="AJ489"/>
    </row>
    <row r="490" spans="1:36" hidden="1" x14ac:dyDescent="0.25">
      <c r="A490" t="s">
        <v>515</v>
      </c>
      <c r="B490" t="s">
        <v>394</v>
      </c>
      <c r="C490" t="s">
        <v>386</v>
      </c>
      <c r="D490" s="1">
        <v>45056</v>
      </c>
      <c r="E490" t="s">
        <v>35</v>
      </c>
      <c r="F490" t="s">
        <v>418</v>
      </c>
      <c r="G490" s="5">
        <v>33.9</v>
      </c>
      <c r="P490" s="5"/>
      <c r="T490"/>
      <c r="AE490" s="5"/>
      <c r="AF490" s="5"/>
      <c r="AI490"/>
      <c r="AJ490"/>
    </row>
    <row r="491" spans="1:36" hidden="1" x14ac:dyDescent="0.25">
      <c r="A491" t="s">
        <v>515</v>
      </c>
      <c r="B491" t="s">
        <v>394</v>
      </c>
      <c r="C491" t="s">
        <v>386</v>
      </c>
      <c r="D491" s="1">
        <v>45056</v>
      </c>
      <c r="E491" t="s">
        <v>35</v>
      </c>
      <c r="F491" t="s">
        <v>184</v>
      </c>
      <c r="G491" s="5">
        <v>1607</v>
      </c>
      <c r="P491" s="5"/>
      <c r="T491"/>
      <c r="AE491" s="5"/>
      <c r="AF491" s="5"/>
      <c r="AI491"/>
      <c r="AJ491"/>
    </row>
    <row r="492" spans="1:36" hidden="1" x14ac:dyDescent="0.25">
      <c r="A492" t="s">
        <v>515</v>
      </c>
      <c r="B492" t="s">
        <v>624</v>
      </c>
      <c r="C492" t="s">
        <v>386</v>
      </c>
      <c r="D492" s="1">
        <v>45721</v>
      </c>
      <c r="E492" t="s">
        <v>35</v>
      </c>
      <c r="F492" t="s">
        <v>417</v>
      </c>
      <c r="G492" s="5">
        <v>1607</v>
      </c>
      <c r="P492" s="5"/>
      <c r="T492"/>
      <c r="AE492" s="5"/>
      <c r="AF492" s="5"/>
      <c r="AI492"/>
      <c r="AJ492"/>
    </row>
    <row r="493" spans="1:36" hidden="1" x14ac:dyDescent="0.25">
      <c r="A493" t="s">
        <v>515</v>
      </c>
      <c r="B493" t="s">
        <v>624</v>
      </c>
      <c r="C493" t="s">
        <v>386</v>
      </c>
      <c r="D493" s="1">
        <v>45721</v>
      </c>
      <c r="E493" t="s">
        <v>35</v>
      </c>
      <c r="F493" t="s">
        <v>1</v>
      </c>
      <c r="G493" s="5">
        <v>642.79999999999995</v>
      </c>
      <c r="P493" s="5"/>
      <c r="T493"/>
      <c r="AE493" s="5"/>
      <c r="AF493" s="5"/>
      <c r="AI493"/>
      <c r="AJ493"/>
    </row>
    <row r="494" spans="1:36" hidden="1" x14ac:dyDescent="0.25">
      <c r="A494" t="s">
        <v>515</v>
      </c>
      <c r="B494" t="s">
        <v>624</v>
      </c>
      <c r="C494" t="s">
        <v>386</v>
      </c>
      <c r="D494" s="1">
        <v>45721</v>
      </c>
      <c r="E494" t="s">
        <v>35</v>
      </c>
      <c r="F494" t="s">
        <v>184</v>
      </c>
      <c r="G494" s="5">
        <v>1607</v>
      </c>
      <c r="P494" s="5"/>
      <c r="T494"/>
      <c r="AE494" s="5"/>
      <c r="AF494" s="5"/>
      <c r="AI494"/>
      <c r="AJ494"/>
    </row>
    <row r="495" spans="1:36" hidden="1" x14ac:dyDescent="0.25">
      <c r="A495" t="s">
        <v>515</v>
      </c>
      <c r="B495" t="s">
        <v>378</v>
      </c>
      <c r="C495" t="s">
        <v>56</v>
      </c>
      <c r="D495" s="1">
        <v>44905</v>
      </c>
      <c r="E495" t="s">
        <v>35</v>
      </c>
      <c r="F495" t="s">
        <v>417</v>
      </c>
      <c r="G495" s="5">
        <v>1607</v>
      </c>
      <c r="P495" s="5"/>
      <c r="T495"/>
      <c r="AE495" s="5"/>
      <c r="AF495" s="5"/>
      <c r="AI495"/>
      <c r="AJ495"/>
    </row>
    <row r="496" spans="1:36" hidden="1" x14ac:dyDescent="0.25">
      <c r="A496" t="s">
        <v>515</v>
      </c>
      <c r="B496" t="s">
        <v>378</v>
      </c>
      <c r="C496" t="s">
        <v>56</v>
      </c>
      <c r="D496" s="1">
        <v>44905</v>
      </c>
      <c r="E496" t="s">
        <v>35</v>
      </c>
      <c r="F496" t="s">
        <v>16</v>
      </c>
      <c r="G496" s="5">
        <v>160.69999999999999</v>
      </c>
      <c r="P496" s="5"/>
      <c r="T496"/>
      <c r="AE496" s="5"/>
      <c r="AF496" s="5"/>
      <c r="AI496"/>
      <c r="AJ496"/>
    </row>
    <row r="497" spans="1:36" hidden="1" x14ac:dyDescent="0.25">
      <c r="A497" t="s">
        <v>515</v>
      </c>
      <c r="B497" t="s">
        <v>378</v>
      </c>
      <c r="C497" t="s">
        <v>56</v>
      </c>
      <c r="D497" s="1">
        <v>44905</v>
      </c>
      <c r="E497" t="s">
        <v>35</v>
      </c>
      <c r="F497" t="s">
        <v>1</v>
      </c>
      <c r="G497" s="5">
        <v>642.79999999999995</v>
      </c>
      <c r="P497" s="5"/>
      <c r="T497"/>
      <c r="AE497" s="5"/>
      <c r="AF497" s="5"/>
      <c r="AI497"/>
      <c r="AJ497"/>
    </row>
    <row r="498" spans="1:36" hidden="1" x14ac:dyDescent="0.25">
      <c r="A498" t="s">
        <v>515</v>
      </c>
      <c r="B498" t="s">
        <v>378</v>
      </c>
      <c r="C498" t="s">
        <v>56</v>
      </c>
      <c r="D498" s="1">
        <v>44905</v>
      </c>
      <c r="E498" t="s">
        <v>35</v>
      </c>
      <c r="F498" t="s">
        <v>184</v>
      </c>
      <c r="G498" s="5">
        <v>1607</v>
      </c>
      <c r="P498" s="5"/>
      <c r="T498"/>
      <c r="AE498" s="5"/>
      <c r="AF498" s="5"/>
      <c r="AI498"/>
      <c r="AJ498"/>
    </row>
    <row r="499" spans="1:36" hidden="1" x14ac:dyDescent="0.25">
      <c r="A499" t="s">
        <v>515</v>
      </c>
      <c r="B499" t="s">
        <v>220</v>
      </c>
      <c r="C499" t="s">
        <v>39</v>
      </c>
      <c r="D499" s="1">
        <v>45627</v>
      </c>
      <c r="E499" t="s">
        <v>35</v>
      </c>
      <c r="F499" t="s">
        <v>417</v>
      </c>
      <c r="G499" s="5">
        <v>2146.59</v>
      </c>
      <c r="P499" s="5"/>
      <c r="T499"/>
      <c r="AE499" s="5"/>
      <c r="AF499" s="5"/>
      <c r="AI499"/>
      <c r="AJ499"/>
    </row>
    <row r="500" spans="1:36" hidden="1" x14ac:dyDescent="0.25">
      <c r="A500" t="s">
        <v>515</v>
      </c>
      <c r="B500" t="s">
        <v>220</v>
      </c>
      <c r="C500" t="s">
        <v>39</v>
      </c>
      <c r="D500" s="1">
        <v>45627</v>
      </c>
      <c r="E500" t="s">
        <v>35</v>
      </c>
      <c r="F500" t="s">
        <v>6</v>
      </c>
      <c r="G500" s="5">
        <v>70.819999999999993</v>
      </c>
      <c r="P500" s="5"/>
      <c r="T500"/>
      <c r="AE500" s="5"/>
      <c r="AF500" s="5"/>
      <c r="AI500"/>
      <c r="AJ500"/>
    </row>
    <row r="501" spans="1:36" hidden="1" x14ac:dyDescent="0.25">
      <c r="A501" t="s">
        <v>515</v>
      </c>
      <c r="B501" t="s">
        <v>220</v>
      </c>
      <c r="C501" t="s">
        <v>39</v>
      </c>
      <c r="D501" s="1">
        <v>45627</v>
      </c>
      <c r="E501" t="s">
        <v>35</v>
      </c>
      <c r="F501" t="s">
        <v>1</v>
      </c>
      <c r="G501" s="5">
        <v>858.64</v>
      </c>
      <c r="P501" s="5"/>
      <c r="T501"/>
      <c r="AE501" s="5"/>
      <c r="AF501" s="5"/>
      <c r="AI501"/>
      <c r="AJ501"/>
    </row>
    <row r="502" spans="1:36" hidden="1" x14ac:dyDescent="0.25">
      <c r="A502" t="s">
        <v>515</v>
      </c>
      <c r="B502" t="s">
        <v>220</v>
      </c>
      <c r="C502" t="s">
        <v>39</v>
      </c>
      <c r="D502" s="1">
        <v>45627</v>
      </c>
      <c r="E502" t="s">
        <v>35</v>
      </c>
      <c r="F502" t="s">
        <v>418</v>
      </c>
      <c r="G502" s="5">
        <v>16.899999999999999</v>
      </c>
      <c r="P502" s="5"/>
      <c r="T502"/>
      <c r="AE502" s="5"/>
      <c r="AF502" s="5"/>
      <c r="AI502"/>
      <c r="AJ502"/>
    </row>
    <row r="503" spans="1:36" hidden="1" x14ac:dyDescent="0.25">
      <c r="A503" t="s">
        <v>515</v>
      </c>
      <c r="B503" t="s">
        <v>220</v>
      </c>
      <c r="C503" t="s">
        <v>39</v>
      </c>
      <c r="D503" s="1">
        <v>45627</v>
      </c>
      <c r="E503" t="s">
        <v>35</v>
      </c>
      <c r="F503" t="s">
        <v>184</v>
      </c>
      <c r="G503" s="5">
        <v>2146.59</v>
      </c>
      <c r="P503" s="5"/>
      <c r="T503"/>
      <c r="AE503" s="5"/>
      <c r="AF503" s="5"/>
      <c r="AI503"/>
      <c r="AJ503"/>
    </row>
    <row r="504" spans="1:36" hidden="1" x14ac:dyDescent="0.25">
      <c r="A504" t="s">
        <v>515</v>
      </c>
      <c r="B504" t="s">
        <v>625</v>
      </c>
      <c r="C504" t="s">
        <v>386</v>
      </c>
      <c r="D504" s="1">
        <v>45717</v>
      </c>
      <c r="E504" t="s">
        <v>67</v>
      </c>
      <c r="F504" t="s">
        <v>23</v>
      </c>
      <c r="G504" s="5">
        <v>1553.43</v>
      </c>
      <c r="P504" s="5"/>
      <c r="T504"/>
      <c r="AE504" s="5"/>
      <c r="AF504" s="5"/>
      <c r="AI504"/>
      <c r="AJ504"/>
    </row>
    <row r="505" spans="1:36" hidden="1" x14ac:dyDescent="0.25">
      <c r="A505" t="s">
        <v>515</v>
      </c>
      <c r="B505" t="s">
        <v>625</v>
      </c>
      <c r="C505" t="s">
        <v>386</v>
      </c>
      <c r="D505" s="1">
        <v>45717</v>
      </c>
      <c r="E505" t="s">
        <v>67</v>
      </c>
      <c r="F505" t="s">
        <v>273</v>
      </c>
      <c r="G505" s="5">
        <v>1700.89</v>
      </c>
      <c r="P505" s="5"/>
      <c r="T505"/>
      <c r="AE505" s="5"/>
      <c r="AF505" s="5"/>
      <c r="AI505"/>
      <c r="AJ505"/>
    </row>
    <row r="506" spans="1:36" hidden="1" x14ac:dyDescent="0.25">
      <c r="A506" t="s">
        <v>515</v>
      </c>
      <c r="B506" t="s">
        <v>625</v>
      </c>
      <c r="C506" t="s">
        <v>386</v>
      </c>
      <c r="D506" s="1">
        <v>45717</v>
      </c>
      <c r="E506" t="s">
        <v>67</v>
      </c>
      <c r="F506" t="s">
        <v>1</v>
      </c>
      <c r="G506" s="5">
        <v>642.79999999999995</v>
      </c>
      <c r="P506" s="5"/>
      <c r="T506"/>
      <c r="AE506" s="5"/>
      <c r="AF506" s="5"/>
      <c r="AI506"/>
      <c r="AJ506"/>
    </row>
    <row r="507" spans="1:36" hidden="1" x14ac:dyDescent="0.25">
      <c r="A507" t="s">
        <v>515</v>
      </c>
      <c r="B507" t="s">
        <v>625</v>
      </c>
      <c r="C507" t="s">
        <v>386</v>
      </c>
      <c r="D507" s="1">
        <v>45717</v>
      </c>
      <c r="E507" t="s">
        <v>67</v>
      </c>
      <c r="F507" t="s">
        <v>184</v>
      </c>
      <c r="G507" s="5">
        <v>1607</v>
      </c>
      <c r="P507" s="5"/>
      <c r="T507"/>
      <c r="AE507" s="5"/>
      <c r="AF507" s="5"/>
      <c r="AI507"/>
      <c r="AJ507"/>
    </row>
    <row r="508" spans="1:36" hidden="1" x14ac:dyDescent="0.25">
      <c r="A508" t="s">
        <v>518</v>
      </c>
      <c r="B508" t="s">
        <v>63</v>
      </c>
      <c r="C508" t="s">
        <v>221</v>
      </c>
      <c r="D508" s="1">
        <v>44334</v>
      </c>
      <c r="E508" t="s">
        <v>35</v>
      </c>
      <c r="F508" t="s">
        <v>417</v>
      </c>
      <c r="G508" s="5">
        <v>1600</v>
      </c>
      <c r="P508" s="5"/>
      <c r="T508"/>
      <c r="AE508" s="5"/>
      <c r="AF508" s="5"/>
      <c r="AI508"/>
      <c r="AJ508"/>
    </row>
    <row r="509" spans="1:36" hidden="1" x14ac:dyDescent="0.25">
      <c r="A509" t="s">
        <v>518</v>
      </c>
      <c r="B509" t="s">
        <v>63</v>
      </c>
      <c r="C509" t="s">
        <v>221</v>
      </c>
      <c r="D509" s="1">
        <v>44334</v>
      </c>
      <c r="E509" t="s">
        <v>35</v>
      </c>
      <c r="F509" t="s">
        <v>423</v>
      </c>
      <c r="G509" s="5">
        <v>64</v>
      </c>
      <c r="P509" s="5"/>
      <c r="T509"/>
      <c r="AE509" s="5"/>
      <c r="AF509" s="5"/>
      <c r="AI509"/>
      <c r="AJ509"/>
    </row>
    <row r="510" spans="1:36" hidden="1" x14ac:dyDescent="0.25">
      <c r="A510" t="s">
        <v>518</v>
      </c>
      <c r="B510" t="s">
        <v>63</v>
      </c>
      <c r="C510" t="s">
        <v>221</v>
      </c>
      <c r="D510" s="1">
        <v>44334</v>
      </c>
      <c r="E510" t="s">
        <v>35</v>
      </c>
      <c r="F510" t="s">
        <v>7</v>
      </c>
      <c r="G510" s="5">
        <v>65</v>
      </c>
      <c r="P510" s="5"/>
      <c r="T510"/>
      <c r="AE510" s="5"/>
      <c r="AF510" s="5"/>
      <c r="AI510"/>
      <c r="AJ510"/>
    </row>
    <row r="511" spans="1:36" hidden="1" x14ac:dyDescent="0.25">
      <c r="A511" t="s">
        <v>518</v>
      </c>
      <c r="B511" t="s">
        <v>63</v>
      </c>
      <c r="C511" t="s">
        <v>221</v>
      </c>
      <c r="D511" s="1">
        <v>44334</v>
      </c>
      <c r="E511" t="s">
        <v>35</v>
      </c>
      <c r="F511" t="s">
        <v>638</v>
      </c>
      <c r="G511" s="5">
        <v>26.66</v>
      </c>
      <c r="P511" s="5"/>
      <c r="T511"/>
      <c r="AE511" s="5"/>
      <c r="AF511" s="5"/>
      <c r="AI511"/>
      <c r="AJ511"/>
    </row>
    <row r="512" spans="1:36" hidden="1" x14ac:dyDescent="0.25">
      <c r="A512" t="s">
        <v>518</v>
      </c>
      <c r="B512" t="s">
        <v>63</v>
      </c>
      <c r="C512" t="s">
        <v>221</v>
      </c>
      <c r="D512" s="1">
        <v>44334</v>
      </c>
      <c r="E512" t="s">
        <v>35</v>
      </c>
      <c r="F512" t="s">
        <v>1</v>
      </c>
      <c r="G512" s="5">
        <v>640</v>
      </c>
      <c r="P512" s="5"/>
      <c r="T512"/>
      <c r="AE512" s="5"/>
      <c r="AF512" s="5"/>
      <c r="AI512"/>
      <c r="AJ512"/>
    </row>
    <row r="513" spans="1:36" hidden="1" x14ac:dyDescent="0.25">
      <c r="A513" t="s">
        <v>518</v>
      </c>
      <c r="B513" t="s">
        <v>63</v>
      </c>
      <c r="C513" t="s">
        <v>221</v>
      </c>
      <c r="D513" s="1">
        <v>44334</v>
      </c>
      <c r="E513" t="s">
        <v>35</v>
      </c>
      <c r="F513" t="s">
        <v>184</v>
      </c>
      <c r="G513" s="5">
        <v>1600</v>
      </c>
      <c r="P513" s="5"/>
      <c r="T513"/>
      <c r="AE513" s="5"/>
      <c r="AF513" s="5"/>
      <c r="AI513"/>
      <c r="AJ513"/>
    </row>
    <row r="514" spans="1:36" hidden="1" x14ac:dyDescent="0.25">
      <c r="A514" t="s">
        <v>518</v>
      </c>
      <c r="B514" t="s">
        <v>64</v>
      </c>
      <c r="C514" t="s">
        <v>221</v>
      </c>
      <c r="D514" s="1">
        <v>44117</v>
      </c>
      <c r="E514" t="s">
        <v>35</v>
      </c>
      <c r="F514" t="s">
        <v>417</v>
      </c>
      <c r="G514" s="5">
        <v>1600</v>
      </c>
      <c r="P514" s="5"/>
      <c r="T514"/>
      <c r="AE514" s="5"/>
      <c r="AF514" s="5"/>
      <c r="AI514"/>
      <c r="AJ514"/>
    </row>
    <row r="515" spans="1:36" hidden="1" x14ac:dyDescent="0.25">
      <c r="A515" t="s">
        <v>518</v>
      </c>
      <c r="B515" t="s">
        <v>64</v>
      </c>
      <c r="C515" t="s">
        <v>221</v>
      </c>
      <c r="D515" s="1">
        <v>44117</v>
      </c>
      <c r="E515" t="s">
        <v>35</v>
      </c>
      <c r="F515" t="s">
        <v>423</v>
      </c>
      <c r="G515" s="5">
        <v>64</v>
      </c>
      <c r="P515" s="5"/>
      <c r="T515"/>
      <c r="AE515" s="5"/>
      <c r="AF515" s="5"/>
      <c r="AI515"/>
      <c r="AJ515"/>
    </row>
    <row r="516" spans="1:36" hidden="1" x14ac:dyDescent="0.25">
      <c r="A516" t="s">
        <v>518</v>
      </c>
      <c r="B516" t="s">
        <v>64</v>
      </c>
      <c r="C516" t="s">
        <v>221</v>
      </c>
      <c r="D516" s="1">
        <v>44117</v>
      </c>
      <c r="E516" t="s">
        <v>35</v>
      </c>
      <c r="F516" t="s">
        <v>638</v>
      </c>
      <c r="G516" s="5">
        <v>26.66</v>
      </c>
      <c r="P516" s="5"/>
      <c r="T516"/>
      <c r="AE516" s="5"/>
      <c r="AF516" s="5"/>
      <c r="AI516"/>
      <c r="AJ516"/>
    </row>
    <row r="517" spans="1:36" hidden="1" x14ac:dyDescent="0.25">
      <c r="A517" t="s">
        <v>518</v>
      </c>
      <c r="B517" t="s">
        <v>64</v>
      </c>
      <c r="C517" t="s">
        <v>221</v>
      </c>
      <c r="D517" s="1">
        <v>44117</v>
      </c>
      <c r="E517" t="s">
        <v>35</v>
      </c>
      <c r="F517" t="s">
        <v>1</v>
      </c>
      <c r="G517" s="5">
        <v>640</v>
      </c>
      <c r="P517" s="5"/>
      <c r="T517"/>
      <c r="AE517" s="5"/>
      <c r="AF517" s="5"/>
      <c r="AI517"/>
      <c r="AJ517"/>
    </row>
    <row r="518" spans="1:36" hidden="1" x14ac:dyDescent="0.25">
      <c r="A518" t="s">
        <v>518</v>
      </c>
      <c r="B518" t="s">
        <v>64</v>
      </c>
      <c r="C518" t="s">
        <v>221</v>
      </c>
      <c r="D518" s="1">
        <v>44117</v>
      </c>
      <c r="E518" t="s">
        <v>35</v>
      </c>
      <c r="F518" t="s">
        <v>184</v>
      </c>
      <c r="G518" s="5">
        <v>1600</v>
      </c>
      <c r="P518" s="5"/>
      <c r="T518"/>
      <c r="AE518" s="5"/>
      <c r="AF518" s="5"/>
      <c r="AI518"/>
      <c r="AJ518"/>
    </row>
    <row r="519" spans="1:36" hidden="1" x14ac:dyDescent="0.25">
      <c r="A519" t="s">
        <v>518</v>
      </c>
      <c r="B519" t="s">
        <v>443</v>
      </c>
      <c r="C519" t="s">
        <v>611</v>
      </c>
      <c r="D519" s="1">
        <v>45180</v>
      </c>
      <c r="E519" t="s">
        <v>35</v>
      </c>
      <c r="F519" t="s">
        <v>417</v>
      </c>
      <c r="G519" s="5">
        <v>1885.86</v>
      </c>
      <c r="P519" s="5"/>
      <c r="T519"/>
      <c r="AE519" s="5"/>
      <c r="AF519" s="5"/>
      <c r="AI519"/>
      <c r="AJ519"/>
    </row>
    <row r="520" spans="1:36" hidden="1" x14ac:dyDescent="0.25">
      <c r="A520" t="s">
        <v>518</v>
      </c>
      <c r="B520" t="s">
        <v>443</v>
      </c>
      <c r="C520" t="s">
        <v>611</v>
      </c>
      <c r="D520" s="1">
        <v>45180</v>
      </c>
      <c r="E520" t="s">
        <v>35</v>
      </c>
      <c r="F520" t="s">
        <v>709</v>
      </c>
      <c r="G520" s="5">
        <v>82</v>
      </c>
      <c r="P520" s="5"/>
      <c r="T520"/>
      <c r="AE520" s="5"/>
      <c r="AF520" s="5"/>
      <c r="AI520"/>
      <c r="AJ520"/>
    </row>
    <row r="521" spans="1:36" hidden="1" x14ac:dyDescent="0.25">
      <c r="A521" t="s">
        <v>518</v>
      </c>
      <c r="B521" t="s">
        <v>443</v>
      </c>
      <c r="C521" t="s">
        <v>611</v>
      </c>
      <c r="D521" s="1">
        <v>45180</v>
      </c>
      <c r="E521" t="s">
        <v>35</v>
      </c>
      <c r="F521" t="s">
        <v>638</v>
      </c>
      <c r="G521" s="5">
        <v>26.66</v>
      </c>
      <c r="P521" s="5"/>
      <c r="T521"/>
      <c r="AE521" s="5"/>
      <c r="AF521" s="5"/>
      <c r="AI521"/>
      <c r="AJ521"/>
    </row>
    <row r="522" spans="1:36" hidden="1" x14ac:dyDescent="0.25">
      <c r="A522" t="s">
        <v>518</v>
      </c>
      <c r="B522" t="s">
        <v>443</v>
      </c>
      <c r="C522" t="s">
        <v>611</v>
      </c>
      <c r="D522" s="1">
        <v>45180</v>
      </c>
      <c r="E522" t="s">
        <v>35</v>
      </c>
      <c r="F522" t="s">
        <v>1</v>
      </c>
      <c r="G522" s="5">
        <v>754.34</v>
      </c>
      <c r="P522" s="5"/>
      <c r="T522"/>
      <c r="AE522" s="5"/>
      <c r="AF522" s="5"/>
      <c r="AI522"/>
      <c r="AJ522"/>
    </row>
    <row r="523" spans="1:36" hidden="1" x14ac:dyDescent="0.25">
      <c r="A523" t="s">
        <v>518</v>
      </c>
      <c r="B523" t="s">
        <v>443</v>
      </c>
      <c r="C523" t="s">
        <v>611</v>
      </c>
      <c r="D523" s="1">
        <v>45180</v>
      </c>
      <c r="E523" t="s">
        <v>35</v>
      </c>
      <c r="F523" t="s">
        <v>184</v>
      </c>
      <c r="G523" s="5">
        <v>1885.86</v>
      </c>
      <c r="P523" s="5"/>
      <c r="T523"/>
      <c r="AE523" s="5"/>
      <c r="AF523" s="5"/>
      <c r="AI523"/>
      <c r="AJ523"/>
    </row>
    <row r="524" spans="1:36" hidden="1" x14ac:dyDescent="0.25">
      <c r="A524" t="s">
        <v>518</v>
      </c>
      <c r="B524" t="s">
        <v>66</v>
      </c>
      <c r="C524" t="s">
        <v>99</v>
      </c>
      <c r="D524" s="1">
        <v>43383</v>
      </c>
      <c r="E524" t="s">
        <v>35</v>
      </c>
      <c r="F524" t="s">
        <v>417</v>
      </c>
      <c r="G524" s="5">
        <v>2667.41</v>
      </c>
      <c r="P524" s="5"/>
      <c r="T524"/>
      <c r="AE524" s="5"/>
      <c r="AF524" s="5"/>
      <c r="AI524"/>
      <c r="AJ524"/>
    </row>
    <row r="525" spans="1:36" hidden="1" x14ac:dyDescent="0.25">
      <c r="A525" t="s">
        <v>518</v>
      </c>
      <c r="B525" t="s">
        <v>66</v>
      </c>
      <c r="C525" t="s">
        <v>99</v>
      </c>
      <c r="D525" s="1">
        <v>43383</v>
      </c>
      <c r="E525" t="s">
        <v>35</v>
      </c>
      <c r="F525" t="s">
        <v>423</v>
      </c>
      <c r="G525" s="5">
        <v>106.7</v>
      </c>
      <c r="P525" s="5"/>
      <c r="T525"/>
      <c r="AE525" s="5"/>
      <c r="AF525" s="5"/>
      <c r="AI525"/>
      <c r="AJ525"/>
    </row>
    <row r="526" spans="1:36" hidden="1" x14ac:dyDescent="0.25">
      <c r="A526" t="s">
        <v>518</v>
      </c>
      <c r="B526" t="s">
        <v>66</v>
      </c>
      <c r="C526" t="s">
        <v>99</v>
      </c>
      <c r="D526" s="1">
        <v>43383</v>
      </c>
      <c r="E526" t="s">
        <v>35</v>
      </c>
      <c r="F526" t="s">
        <v>638</v>
      </c>
      <c r="G526" s="5">
        <v>26.66</v>
      </c>
      <c r="P526" s="5"/>
      <c r="T526"/>
      <c r="AE526" s="5"/>
      <c r="AF526" s="5"/>
      <c r="AI526"/>
      <c r="AJ526"/>
    </row>
    <row r="527" spans="1:36" hidden="1" x14ac:dyDescent="0.25">
      <c r="A527" t="s">
        <v>518</v>
      </c>
      <c r="B527" t="s">
        <v>66</v>
      </c>
      <c r="C527" t="s">
        <v>99</v>
      </c>
      <c r="D527" s="1">
        <v>43383</v>
      </c>
      <c r="E527" t="s">
        <v>35</v>
      </c>
      <c r="F527" t="s">
        <v>1</v>
      </c>
      <c r="G527" s="5">
        <v>1066.96</v>
      </c>
      <c r="P527" s="5"/>
      <c r="T527"/>
      <c r="AE527" s="5"/>
      <c r="AF527" s="5"/>
      <c r="AI527"/>
      <c r="AJ527"/>
    </row>
    <row r="528" spans="1:36" hidden="1" x14ac:dyDescent="0.25">
      <c r="A528" t="s">
        <v>518</v>
      </c>
      <c r="B528" t="s">
        <v>66</v>
      </c>
      <c r="C528" t="s">
        <v>99</v>
      </c>
      <c r="D528" s="1">
        <v>43383</v>
      </c>
      <c r="E528" t="s">
        <v>35</v>
      </c>
      <c r="F528" t="s">
        <v>184</v>
      </c>
      <c r="G528" s="5">
        <v>2667.41</v>
      </c>
      <c r="P528" s="5"/>
      <c r="T528"/>
      <c r="AE528" s="5"/>
      <c r="AF528" s="5"/>
      <c r="AI528"/>
      <c r="AJ528"/>
    </row>
    <row r="529" spans="1:36" hidden="1" x14ac:dyDescent="0.25">
      <c r="A529" t="s">
        <v>518</v>
      </c>
      <c r="B529" t="s">
        <v>464</v>
      </c>
      <c r="C529" t="s">
        <v>385</v>
      </c>
      <c r="D529" s="1">
        <v>45252</v>
      </c>
      <c r="E529" t="s">
        <v>35</v>
      </c>
      <c r="F529" t="s">
        <v>417</v>
      </c>
      <c r="G529" s="5">
        <v>1600</v>
      </c>
      <c r="P529" s="5"/>
      <c r="T529"/>
      <c r="AE529" s="5"/>
      <c r="AF529" s="5"/>
      <c r="AI529"/>
      <c r="AJ529"/>
    </row>
    <row r="530" spans="1:36" hidden="1" x14ac:dyDescent="0.25">
      <c r="A530" t="s">
        <v>518</v>
      </c>
      <c r="B530" t="s">
        <v>464</v>
      </c>
      <c r="C530" t="s">
        <v>385</v>
      </c>
      <c r="D530" s="1">
        <v>45252</v>
      </c>
      <c r="E530" t="s">
        <v>35</v>
      </c>
      <c r="F530" t="s">
        <v>450</v>
      </c>
      <c r="G530" s="5">
        <v>192</v>
      </c>
      <c r="P530" s="5"/>
      <c r="T530"/>
      <c r="AE530" s="5"/>
      <c r="AF530" s="5"/>
      <c r="AI530"/>
      <c r="AJ530"/>
    </row>
    <row r="531" spans="1:36" hidden="1" x14ac:dyDescent="0.25">
      <c r="A531" t="s">
        <v>518</v>
      </c>
      <c r="B531" t="s">
        <v>464</v>
      </c>
      <c r="C531" t="s">
        <v>385</v>
      </c>
      <c r="D531" s="1">
        <v>45252</v>
      </c>
      <c r="E531" t="s">
        <v>35</v>
      </c>
      <c r="F531" t="s">
        <v>7</v>
      </c>
      <c r="G531" s="5">
        <v>65</v>
      </c>
      <c r="P531" s="5"/>
      <c r="T531"/>
      <c r="AE531" s="5"/>
      <c r="AF531" s="5"/>
      <c r="AI531"/>
      <c r="AJ531"/>
    </row>
    <row r="532" spans="1:36" hidden="1" x14ac:dyDescent="0.25">
      <c r="A532" t="s">
        <v>518</v>
      </c>
      <c r="B532" t="s">
        <v>464</v>
      </c>
      <c r="C532" t="s">
        <v>385</v>
      </c>
      <c r="D532" s="1">
        <v>45252</v>
      </c>
      <c r="E532" t="s">
        <v>35</v>
      </c>
      <c r="F532" t="s">
        <v>638</v>
      </c>
      <c r="G532" s="5">
        <v>26.66</v>
      </c>
      <c r="P532" s="5"/>
      <c r="T532"/>
      <c r="AE532" s="5"/>
      <c r="AF532" s="5"/>
      <c r="AI532"/>
      <c r="AJ532"/>
    </row>
    <row r="533" spans="1:36" hidden="1" x14ac:dyDescent="0.25">
      <c r="A533" t="s">
        <v>518</v>
      </c>
      <c r="B533" t="s">
        <v>464</v>
      </c>
      <c r="C533" t="s">
        <v>385</v>
      </c>
      <c r="D533" s="1">
        <v>45252</v>
      </c>
      <c r="E533" t="s">
        <v>35</v>
      </c>
      <c r="F533" t="s">
        <v>1</v>
      </c>
      <c r="G533" s="5">
        <v>640</v>
      </c>
      <c r="P533" s="5"/>
      <c r="T533"/>
      <c r="AE533" s="5"/>
      <c r="AF533" s="5"/>
      <c r="AI533"/>
      <c r="AJ533"/>
    </row>
    <row r="534" spans="1:36" hidden="1" x14ac:dyDescent="0.25">
      <c r="A534" t="s">
        <v>518</v>
      </c>
      <c r="B534" t="s">
        <v>464</v>
      </c>
      <c r="C534" t="s">
        <v>385</v>
      </c>
      <c r="D534" s="1">
        <v>45252</v>
      </c>
      <c r="E534" t="s">
        <v>35</v>
      </c>
      <c r="F534" t="s">
        <v>184</v>
      </c>
      <c r="G534" s="5">
        <v>1600</v>
      </c>
      <c r="P534" s="5"/>
      <c r="T534"/>
      <c r="AE534" s="5"/>
      <c r="AF534" s="5"/>
      <c r="AI534"/>
      <c r="AJ534"/>
    </row>
    <row r="535" spans="1:36" hidden="1" x14ac:dyDescent="0.25">
      <c r="A535" t="s">
        <v>518</v>
      </c>
      <c r="B535" t="s">
        <v>640</v>
      </c>
      <c r="C535" t="s">
        <v>77</v>
      </c>
      <c r="D535" s="1">
        <v>45799</v>
      </c>
      <c r="E535" t="s">
        <v>35</v>
      </c>
      <c r="F535" t="s">
        <v>417</v>
      </c>
      <c r="G535" s="5">
        <v>533.33000000000004</v>
      </c>
      <c r="P535" s="5"/>
      <c r="T535"/>
      <c r="AE535" s="5"/>
      <c r="AF535" s="5"/>
      <c r="AI535"/>
      <c r="AJ535"/>
    </row>
    <row r="536" spans="1:36" hidden="1" x14ac:dyDescent="0.25">
      <c r="A536" t="s">
        <v>518</v>
      </c>
      <c r="B536" t="s">
        <v>640</v>
      </c>
      <c r="C536" t="s">
        <v>77</v>
      </c>
      <c r="D536" s="1">
        <v>45799</v>
      </c>
      <c r="E536" t="s">
        <v>35</v>
      </c>
      <c r="F536" t="s">
        <v>638</v>
      </c>
      <c r="G536" s="5">
        <v>26.66</v>
      </c>
      <c r="P536" s="5"/>
      <c r="T536"/>
      <c r="AE536" s="5"/>
      <c r="AF536" s="5"/>
      <c r="AI536"/>
      <c r="AJ536"/>
    </row>
    <row r="537" spans="1:36" hidden="1" x14ac:dyDescent="0.25">
      <c r="A537" t="s">
        <v>518</v>
      </c>
      <c r="B537" t="s">
        <v>640</v>
      </c>
      <c r="C537" t="s">
        <v>77</v>
      </c>
      <c r="D537" s="1">
        <v>45799</v>
      </c>
      <c r="E537" t="s">
        <v>35</v>
      </c>
      <c r="F537" t="s">
        <v>184</v>
      </c>
      <c r="G537" s="5">
        <v>1600</v>
      </c>
      <c r="P537" s="5"/>
      <c r="T537"/>
      <c r="AE537" s="5"/>
      <c r="AF537" s="5"/>
      <c r="AI537"/>
      <c r="AJ537"/>
    </row>
    <row r="538" spans="1:36" hidden="1" x14ac:dyDescent="0.25">
      <c r="A538" t="s">
        <v>512</v>
      </c>
      <c r="B538" t="s">
        <v>359</v>
      </c>
      <c r="C538" t="s">
        <v>387</v>
      </c>
      <c r="D538" s="1">
        <v>45110</v>
      </c>
      <c r="E538" t="s">
        <v>35</v>
      </c>
      <c r="F538" t="s">
        <v>417</v>
      </c>
      <c r="G538" s="5">
        <v>1518</v>
      </c>
      <c r="P538" s="5"/>
      <c r="T538"/>
      <c r="AE538" s="5"/>
      <c r="AF538" s="5"/>
      <c r="AI538"/>
      <c r="AJ538"/>
    </row>
    <row r="539" spans="1:36" hidden="1" x14ac:dyDescent="0.25">
      <c r="A539" t="s">
        <v>512</v>
      </c>
      <c r="B539" t="s">
        <v>359</v>
      </c>
      <c r="C539" t="s">
        <v>387</v>
      </c>
      <c r="D539" s="1">
        <v>45110</v>
      </c>
      <c r="E539" t="s">
        <v>35</v>
      </c>
      <c r="F539" t="s">
        <v>1</v>
      </c>
      <c r="G539" s="5">
        <v>607.20000000000005</v>
      </c>
      <c r="P539" s="5"/>
      <c r="T539"/>
      <c r="AE539" s="5"/>
      <c r="AF539" s="5"/>
      <c r="AI539"/>
      <c r="AJ539"/>
    </row>
    <row r="540" spans="1:36" hidden="1" x14ac:dyDescent="0.25">
      <c r="A540" t="s">
        <v>512</v>
      </c>
      <c r="B540" t="s">
        <v>359</v>
      </c>
      <c r="C540" t="s">
        <v>387</v>
      </c>
      <c r="D540" s="1">
        <v>45110</v>
      </c>
      <c r="E540" t="s">
        <v>35</v>
      </c>
      <c r="F540" t="s">
        <v>184</v>
      </c>
      <c r="G540" s="5">
        <v>1518</v>
      </c>
      <c r="P540" s="5"/>
      <c r="T540"/>
      <c r="AE540" s="5"/>
      <c r="AF540" s="5"/>
      <c r="AI540"/>
      <c r="AJ540"/>
    </row>
    <row r="541" spans="1:36" hidden="1" x14ac:dyDescent="0.25">
      <c r="A541" t="s">
        <v>512</v>
      </c>
      <c r="B541" t="s">
        <v>239</v>
      </c>
      <c r="C541" t="s">
        <v>311</v>
      </c>
      <c r="D541" s="1">
        <v>44792</v>
      </c>
      <c r="E541" t="s">
        <v>35</v>
      </c>
      <c r="F541" t="s">
        <v>417</v>
      </c>
      <c r="G541" s="5">
        <v>1518</v>
      </c>
      <c r="P541" s="5"/>
      <c r="T541"/>
      <c r="AE541" s="5"/>
      <c r="AF541" s="5"/>
      <c r="AI541"/>
      <c r="AJ541"/>
    </row>
    <row r="542" spans="1:36" hidden="1" x14ac:dyDescent="0.25">
      <c r="A542" t="s">
        <v>512</v>
      </c>
      <c r="B542" t="s">
        <v>239</v>
      </c>
      <c r="C542" t="s">
        <v>311</v>
      </c>
      <c r="D542" s="1">
        <v>44792</v>
      </c>
      <c r="E542" t="s">
        <v>35</v>
      </c>
      <c r="F542" t="s">
        <v>1</v>
      </c>
      <c r="G542" s="5">
        <v>607.20000000000005</v>
      </c>
      <c r="P542" s="5"/>
      <c r="T542"/>
      <c r="AE542" s="5"/>
      <c r="AF542" s="5"/>
      <c r="AI542"/>
      <c r="AJ542"/>
    </row>
    <row r="543" spans="1:36" hidden="1" x14ac:dyDescent="0.25">
      <c r="A543" t="s">
        <v>512</v>
      </c>
      <c r="B543" t="s">
        <v>239</v>
      </c>
      <c r="C543" t="s">
        <v>311</v>
      </c>
      <c r="D543" s="1">
        <v>44792</v>
      </c>
      <c r="E543" t="s">
        <v>35</v>
      </c>
      <c r="F543" t="s">
        <v>184</v>
      </c>
      <c r="G543" s="5">
        <v>1518</v>
      </c>
      <c r="P543" s="5"/>
      <c r="T543"/>
      <c r="AE543" s="5"/>
      <c r="AF543" s="5"/>
      <c r="AI543"/>
      <c r="AJ543"/>
    </row>
    <row r="544" spans="1:36" hidden="1" x14ac:dyDescent="0.25">
      <c r="A544" t="s">
        <v>512</v>
      </c>
      <c r="B544" t="s">
        <v>363</v>
      </c>
      <c r="C544" t="s">
        <v>387</v>
      </c>
      <c r="D544" s="1">
        <v>45110</v>
      </c>
      <c r="E544" t="s">
        <v>35</v>
      </c>
      <c r="F544" t="s">
        <v>417</v>
      </c>
      <c r="G544" s="5">
        <v>1518</v>
      </c>
      <c r="P544" s="5"/>
      <c r="T544"/>
      <c r="AE544" s="5"/>
      <c r="AF544" s="5"/>
      <c r="AI544"/>
      <c r="AJ544"/>
    </row>
    <row r="545" spans="1:36" hidden="1" x14ac:dyDescent="0.25">
      <c r="A545" t="s">
        <v>512</v>
      </c>
      <c r="B545" t="s">
        <v>363</v>
      </c>
      <c r="C545" t="s">
        <v>387</v>
      </c>
      <c r="D545" s="1">
        <v>45110</v>
      </c>
      <c r="E545" t="s">
        <v>35</v>
      </c>
      <c r="F545" t="s">
        <v>9</v>
      </c>
      <c r="G545" s="5">
        <v>34.5</v>
      </c>
      <c r="P545" s="5"/>
      <c r="T545"/>
      <c r="AE545" s="5"/>
      <c r="AF545" s="5"/>
      <c r="AI545"/>
      <c r="AJ545"/>
    </row>
    <row r="546" spans="1:36" hidden="1" x14ac:dyDescent="0.25">
      <c r="A546" t="s">
        <v>512</v>
      </c>
      <c r="B546" t="s">
        <v>363</v>
      </c>
      <c r="C546" t="s">
        <v>387</v>
      </c>
      <c r="D546" s="1">
        <v>45110</v>
      </c>
      <c r="E546" t="s">
        <v>35</v>
      </c>
      <c r="F546" t="s">
        <v>1</v>
      </c>
      <c r="G546" s="5">
        <v>607.20000000000005</v>
      </c>
      <c r="P546" s="5"/>
      <c r="T546"/>
      <c r="AE546" s="5"/>
      <c r="AF546" s="5"/>
      <c r="AI546"/>
      <c r="AJ546"/>
    </row>
    <row r="547" spans="1:36" hidden="1" x14ac:dyDescent="0.25">
      <c r="A547" t="s">
        <v>512</v>
      </c>
      <c r="B547" t="s">
        <v>363</v>
      </c>
      <c r="C547" t="s">
        <v>387</v>
      </c>
      <c r="D547" s="1">
        <v>45110</v>
      </c>
      <c r="E547" t="s">
        <v>35</v>
      </c>
      <c r="F547" t="s">
        <v>559</v>
      </c>
      <c r="G547" s="5">
        <v>34.5</v>
      </c>
      <c r="P547" s="5"/>
      <c r="T547"/>
      <c r="AE547" s="5"/>
      <c r="AF547" s="5"/>
      <c r="AI547"/>
      <c r="AJ547"/>
    </row>
    <row r="548" spans="1:36" hidden="1" x14ac:dyDescent="0.25">
      <c r="A548" t="s">
        <v>512</v>
      </c>
      <c r="B548" t="s">
        <v>363</v>
      </c>
      <c r="C548" t="s">
        <v>387</v>
      </c>
      <c r="D548" s="1">
        <v>45110</v>
      </c>
      <c r="E548" t="s">
        <v>35</v>
      </c>
      <c r="F548" t="s">
        <v>184</v>
      </c>
      <c r="G548" s="5">
        <v>1518</v>
      </c>
      <c r="P548" s="5"/>
      <c r="T548"/>
      <c r="AE548" s="5"/>
      <c r="AF548" s="5"/>
      <c r="AI548"/>
      <c r="AJ548"/>
    </row>
    <row r="549" spans="1:36" hidden="1" x14ac:dyDescent="0.25">
      <c r="A549" t="s">
        <v>512</v>
      </c>
      <c r="B549" t="s">
        <v>313</v>
      </c>
      <c r="C549" t="s">
        <v>251</v>
      </c>
      <c r="D549" s="1">
        <v>44774</v>
      </c>
      <c r="E549" t="s">
        <v>35</v>
      </c>
      <c r="F549" t="s">
        <v>417</v>
      </c>
      <c r="G549" s="5">
        <v>1518</v>
      </c>
      <c r="P549" s="5"/>
      <c r="T549"/>
      <c r="AE549" s="5"/>
      <c r="AF549" s="5"/>
      <c r="AI549"/>
      <c r="AJ549"/>
    </row>
    <row r="550" spans="1:36" hidden="1" x14ac:dyDescent="0.25">
      <c r="A550" t="s">
        <v>512</v>
      </c>
      <c r="B550" t="s">
        <v>313</v>
      </c>
      <c r="C550" t="s">
        <v>251</v>
      </c>
      <c r="D550" s="1">
        <v>44774</v>
      </c>
      <c r="E550" t="s">
        <v>35</v>
      </c>
      <c r="F550" t="s">
        <v>9</v>
      </c>
      <c r="G550" s="5">
        <v>34.5</v>
      </c>
      <c r="P550" s="5"/>
      <c r="T550"/>
      <c r="AE550" s="5"/>
      <c r="AF550" s="5"/>
      <c r="AI550"/>
      <c r="AJ550"/>
    </row>
    <row r="551" spans="1:36" hidden="1" x14ac:dyDescent="0.25">
      <c r="A551" t="s">
        <v>512</v>
      </c>
      <c r="B551" t="s">
        <v>313</v>
      </c>
      <c r="C551" t="s">
        <v>251</v>
      </c>
      <c r="D551" s="1">
        <v>44774</v>
      </c>
      <c r="E551" t="s">
        <v>35</v>
      </c>
      <c r="F551" t="s">
        <v>1</v>
      </c>
      <c r="G551" s="5">
        <v>607.20000000000005</v>
      </c>
      <c r="P551" s="5"/>
      <c r="T551"/>
      <c r="AE551" s="5"/>
      <c r="AF551" s="5"/>
      <c r="AI551"/>
      <c r="AJ551"/>
    </row>
    <row r="552" spans="1:36" hidden="1" x14ac:dyDescent="0.25">
      <c r="A552" t="s">
        <v>512</v>
      </c>
      <c r="B552" t="s">
        <v>313</v>
      </c>
      <c r="C552" t="s">
        <v>251</v>
      </c>
      <c r="D552" s="1">
        <v>44774</v>
      </c>
      <c r="E552" t="s">
        <v>35</v>
      </c>
      <c r="F552" t="s">
        <v>559</v>
      </c>
      <c r="G552" s="5">
        <v>34.5</v>
      </c>
      <c r="P552" s="5"/>
      <c r="T552"/>
      <c r="AE552" s="5"/>
      <c r="AF552" s="5"/>
      <c r="AI552"/>
      <c r="AJ552"/>
    </row>
    <row r="553" spans="1:36" hidden="1" x14ac:dyDescent="0.25">
      <c r="A553" t="s">
        <v>512</v>
      </c>
      <c r="B553" t="s">
        <v>313</v>
      </c>
      <c r="C553" t="s">
        <v>251</v>
      </c>
      <c r="D553" s="1">
        <v>44774</v>
      </c>
      <c r="E553" t="s">
        <v>35</v>
      </c>
      <c r="F553" t="s">
        <v>184</v>
      </c>
      <c r="G553" s="5">
        <v>1518</v>
      </c>
      <c r="P553" s="5"/>
      <c r="T553"/>
      <c r="AE553" s="5"/>
      <c r="AF553" s="5"/>
      <c r="AI553"/>
      <c r="AJ553"/>
    </row>
    <row r="554" spans="1:36" hidden="1" x14ac:dyDescent="0.25">
      <c r="A554" t="s">
        <v>512</v>
      </c>
      <c r="B554" t="s">
        <v>364</v>
      </c>
      <c r="C554" t="s">
        <v>387</v>
      </c>
      <c r="D554" s="1">
        <v>45110</v>
      </c>
      <c r="E554" t="s">
        <v>35</v>
      </c>
      <c r="F554" t="s">
        <v>417</v>
      </c>
      <c r="G554" s="5">
        <v>1518</v>
      </c>
      <c r="P554" s="5"/>
      <c r="T554"/>
      <c r="AE554" s="5"/>
      <c r="AF554" s="5"/>
      <c r="AI554"/>
      <c r="AJ554"/>
    </row>
    <row r="555" spans="1:36" hidden="1" x14ac:dyDescent="0.25">
      <c r="A555" t="s">
        <v>512</v>
      </c>
      <c r="B555" t="s">
        <v>364</v>
      </c>
      <c r="C555" t="s">
        <v>387</v>
      </c>
      <c r="D555" s="1">
        <v>45110</v>
      </c>
      <c r="E555" t="s">
        <v>35</v>
      </c>
      <c r="F555" t="s">
        <v>7</v>
      </c>
      <c r="G555" s="5">
        <v>65</v>
      </c>
      <c r="P555" s="5"/>
      <c r="T555"/>
      <c r="AE555" s="5"/>
      <c r="AF555" s="5"/>
      <c r="AI555"/>
      <c r="AJ555"/>
    </row>
    <row r="556" spans="1:36" hidden="1" x14ac:dyDescent="0.25">
      <c r="A556" t="s">
        <v>512</v>
      </c>
      <c r="B556" t="s">
        <v>364</v>
      </c>
      <c r="C556" t="s">
        <v>387</v>
      </c>
      <c r="D556" s="1">
        <v>45110</v>
      </c>
      <c r="E556" t="s">
        <v>35</v>
      </c>
      <c r="F556" t="s">
        <v>1</v>
      </c>
      <c r="G556" s="5">
        <v>607.20000000000005</v>
      </c>
      <c r="P556" s="5"/>
      <c r="T556"/>
      <c r="AE556" s="5"/>
      <c r="AF556" s="5"/>
      <c r="AI556"/>
      <c r="AJ556"/>
    </row>
    <row r="557" spans="1:36" hidden="1" x14ac:dyDescent="0.25">
      <c r="A557" t="s">
        <v>512</v>
      </c>
      <c r="B557" t="s">
        <v>364</v>
      </c>
      <c r="C557" t="s">
        <v>387</v>
      </c>
      <c r="D557" s="1">
        <v>45110</v>
      </c>
      <c r="E557" t="s">
        <v>35</v>
      </c>
      <c r="F557" t="s">
        <v>184</v>
      </c>
      <c r="G557" s="5">
        <v>1518</v>
      </c>
      <c r="P557" s="5"/>
      <c r="T557"/>
      <c r="AE557" s="5"/>
      <c r="AF557" s="5"/>
      <c r="AI557"/>
      <c r="AJ557"/>
    </row>
    <row r="558" spans="1:36" hidden="1" x14ac:dyDescent="0.25">
      <c r="A558" t="s">
        <v>512</v>
      </c>
      <c r="B558" t="s">
        <v>383</v>
      </c>
      <c r="C558" t="s">
        <v>387</v>
      </c>
      <c r="D558" s="1">
        <v>45110</v>
      </c>
      <c r="E558" t="s">
        <v>67</v>
      </c>
      <c r="F558" t="s">
        <v>23</v>
      </c>
      <c r="G558" s="5">
        <v>1113.2</v>
      </c>
      <c r="P558" s="5"/>
      <c r="T558"/>
      <c r="AE558" s="5"/>
      <c r="AF558" s="5"/>
      <c r="AI558"/>
      <c r="AJ558"/>
    </row>
    <row r="559" spans="1:36" hidden="1" x14ac:dyDescent="0.25">
      <c r="A559" t="s">
        <v>512</v>
      </c>
      <c r="B559" t="s">
        <v>383</v>
      </c>
      <c r="C559" t="s">
        <v>387</v>
      </c>
      <c r="D559" s="1">
        <v>45110</v>
      </c>
      <c r="E559" t="s">
        <v>67</v>
      </c>
      <c r="F559" t="s">
        <v>273</v>
      </c>
      <c r="G559" s="5">
        <v>5931.59</v>
      </c>
      <c r="P559" s="5"/>
      <c r="T559"/>
      <c r="AE559" s="5"/>
      <c r="AF559" s="5"/>
      <c r="AI559"/>
      <c r="AJ559"/>
    </row>
    <row r="560" spans="1:36" hidden="1" x14ac:dyDescent="0.25">
      <c r="A560" t="s">
        <v>512</v>
      </c>
      <c r="B560" t="s">
        <v>383</v>
      </c>
      <c r="C560" t="s">
        <v>387</v>
      </c>
      <c r="D560" s="1">
        <v>45110</v>
      </c>
      <c r="E560" t="s">
        <v>67</v>
      </c>
      <c r="F560" t="s">
        <v>1</v>
      </c>
      <c r="G560" s="5">
        <v>1518</v>
      </c>
      <c r="P560" s="5"/>
      <c r="T560"/>
      <c r="AE560" s="5"/>
      <c r="AF560" s="5"/>
      <c r="AI560"/>
      <c r="AJ560"/>
    </row>
    <row r="561" spans="1:36" hidden="1" x14ac:dyDescent="0.25">
      <c r="A561" t="s">
        <v>512</v>
      </c>
      <c r="B561" t="s">
        <v>383</v>
      </c>
      <c r="C561" t="s">
        <v>387</v>
      </c>
      <c r="D561" s="1">
        <v>45110</v>
      </c>
      <c r="E561" t="s">
        <v>67</v>
      </c>
      <c r="F561" t="s">
        <v>184</v>
      </c>
      <c r="G561" s="5">
        <v>1518</v>
      </c>
      <c r="P561" s="5"/>
      <c r="T561"/>
      <c r="AE561" s="5"/>
      <c r="AF561" s="5"/>
      <c r="AI561"/>
      <c r="AJ561"/>
    </row>
    <row r="562" spans="1:36" hidden="1" x14ac:dyDescent="0.25">
      <c r="A562" t="s">
        <v>512</v>
      </c>
      <c r="B562" t="s">
        <v>534</v>
      </c>
      <c r="C562" t="s">
        <v>251</v>
      </c>
      <c r="D562" s="1">
        <v>45390</v>
      </c>
      <c r="E562" t="s">
        <v>35</v>
      </c>
      <c r="F562" t="s">
        <v>417</v>
      </c>
      <c r="G562" s="5">
        <v>1518</v>
      </c>
      <c r="P562" s="5"/>
      <c r="T562"/>
      <c r="AE562" s="5"/>
      <c r="AF562" s="5"/>
      <c r="AI562"/>
      <c r="AJ562"/>
    </row>
    <row r="563" spans="1:36" hidden="1" x14ac:dyDescent="0.25">
      <c r="A563" t="s">
        <v>512</v>
      </c>
      <c r="B563" t="s">
        <v>534</v>
      </c>
      <c r="C563" t="s">
        <v>251</v>
      </c>
      <c r="D563" s="1">
        <v>45390</v>
      </c>
      <c r="E563" t="s">
        <v>35</v>
      </c>
      <c r="F563" t="s">
        <v>1</v>
      </c>
      <c r="G563" s="5">
        <v>607.20000000000005</v>
      </c>
      <c r="P563" s="5"/>
      <c r="T563"/>
      <c r="AE563" s="5"/>
      <c r="AF563" s="5"/>
      <c r="AI563"/>
      <c r="AJ563"/>
    </row>
    <row r="564" spans="1:36" hidden="1" x14ac:dyDescent="0.25">
      <c r="A564" t="s">
        <v>512</v>
      </c>
      <c r="B564" t="s">
        <v>534</v>
      </c>
      <c r="C564" t="s">
        <v>251</v>
      </c>
      <c r="D564" s="1">
        <v>45390</v>
      </c>
      <c r="E564" t="s">
        <v>35</v>
      </c>
      <c r="F564" t="s">
        <v>184</v>
      </c>
      <c r="G564" s="5">
        <v>1518</v>
      </c>
      <c r="P564" s="5"/>
      <c r="T564"/>
      <c r="AE564" s="5"/>
      <c r="AF564" s="5"/>
      <c r="AI564"/>
      <c r="AJ564"/>
    </row>
    <row r="565" spans="1:36" hidden="1" x14ac:dyDescent="0.25">
      <c r="A565" t="s">
        <v>512</v>
      </c>
      <c r="B565" t="s">
        <v>281</v>
      </c>
      <c r="C565" t="s">
        <v>251</v>
      </c>
      <c r="D565" s="1">
        <v>44774</v>
      </c>
      <c r="E565" t="s">
        <v>35</v>
      </c>
      <c r="F565" t="s">
        <v>417</v>
      </c>
      <c r="G565" s="5">
        <v>1518</v>
      </c>
      <c r="P565" s="5"/>
      <c r="T565"/>
      <c r="AE565" s="5"/>
      <c r="AF565" s="5"/>
      <c r="AI565"/>
      <c r="AJ565"/>
    </row>
    <row r="566" spans="1:36" hidden="1" x14ac:dyDescent="0.25">
      <c r="A566" t="s">
        <v>512</v>
      </c>
      <c r="B566" t="s">
        <v>281</v>
      </c>
      <c r="C566" t="s">
        <v>251</v>
      </c>
      <c r="D566" s="1">
        <v>44774</v>
      </c>
      <c r="E566" t="s">
        <v>35</v>
      </c>
      <c r="F566" t="s">
        <v>7</v>
      </c>
      <c r="G566" s="5">
        <v>65</v>
      </c>
      <c r="P566" s="5"/>
      <c r="T566"/>
      <c r="AE566" s="5"/>
      <c r="AF566" s="5"/>
      <c r="AI566"/>
      <c r="AJ566"/>
    </row>
    <row r="567" spans="1:36" hidden="1" x14ac:dyDescent="0.25">
      <c r="A567" t="s">
        <v>512</v>
      </c>
      <c r="B567" t="s">
        <v>281</v>
      </c>
      <c r="C567" t="s">
        <v>251</v>
      </c>
      <c r="D567" s="1">
        <v>44774</v>
      </c>
      <c r="E567" t="s">
        <v>35</v>
      </c>
      <c r="F567" t="s">
        <v>1</v>
      </c>
      <c r="G567" s="5">
        <v>607.20000000000005</v>
      </c>
      <c r="P567" s="5"/>
      <c r="T567"/>
      <c r="AE567" s="5"/>
      <c r="AF567" s="5"/>
      <c r="AI567"/>
      <c r="AJ567"/>
    </row>
    <row r="568" spans="1:36" hidden="1" x14ac:dyDescent="0.25">
      <c r="A568" t="s">
        <v>512</v>
      </c>
      <c r="B568" t="s">
        <v>281</v>
      </c>
      <c r="C568" t="s">
        <v>251</v>
      </c>
      <c r="D568" s="1">
        <v>44774</v>
      </c>
      <c r="E568" t="s">
        <v>35</v>
      </c>
      <c r="F568" t="s">
        <v>184</v>
      </c>
      <c r="G568" s="5">
        <v>1518</v>
      </c>
      <c r="P568" s="5"/>
      <c r="T568"/>
      <c r="AE568" s="5"/>
      <c r="AF568" s="5"/>
      <c r="AI568"/>
      <c r="AJ568"/>
    </row>
    <row r="569" spans="1:36" hidden="1" x14ac:dyDescent="0.25">
      <c r="A569" t="s">
        <v>512</v>
      </c>
      <c r="B569" t="s">
        <v>244</v>
      </c>
      <c r="C569" t="s">
        <v>310</v>
      </c>
      <c r="D569" s="1">
        <v>44774</v>
      </c>
      <c r="E569" t="s">
        <v>35</v>
      </c>
      <c r="F569" t="s">
        <v>417</v>
      </c>
      <c r="G569" s="5">
        <v>1518</v>
      </c>
      <c r="P569" s="5"/>
      <c r="T569"/>
      <c r="AE569" s="5"/>
      <c r="AF569" s="5"/>
      <c r="AI569"/>
      <c r="AJ569"/>
    </row>
    <row r="570" spans="1:36" hidden="1" x14ac:dyDescent="0.25">
      <c r="A570" t="s">
        <v>512</v>
      </c>
      <c r="B570" t="s">
        <v>244</v>
      </c>
      <c r="C570" t="s">
        <v>310</v>
      </c>
      <c r="D570" s="1">
        <v>44774</v>
      </c>
      <c r="E570" t="s">
        <v>35</v>
      </c>
      <c r="F570" t="s">
        <v>7</v>
      </c>
      <c r="G570" s="5">
        <v>65</v>
      </c>
      <c r="P570" s="5"/>
      <c r="T570"/>
      <c r="AE570" s="5"/>
      <c r="AF570" s="5"/>
      <c r="AI570"/>
      <c r="AJ570"/>
    </row>
    <row r="571" spans="1:36" hidden="1" x14ac:dyDescent="0.25">
      <c r="A571" t="s">
        <v>512</v>
      </c>
      <c r="B571" t="s">
        <v>244</v>
      </c>
      <c r="C571" t="s">
        <v>310</v>
      </c>
      <c r="D571" s="1">
        <v>44774</v>
      </c>
      <c r="E571" t="s">
        <v>35</v>
      </c>
      <c r="F571" t="s">
        <v>1</v>
      </c>
      <c r="G571" s="5">
        <v>607.20000000000005</v>
      </c>
      <c r="P571" s="5"/>
      <c r="T571"/>
      <c r="AE571" s="5"/>
      <c r="AF571" s="5"/>
      <c r="AI571"/>
      <c r="AJ571"/>
    </row>
    <row r="572" spans="1:36" hidden="1" x14ac:dyDescent="0.25">
      <c r="A572" t="s">
        <v>512</v>
      </c>
      <c r="B572" t="s">
        <v>244</v>
      </c>
      <c r="C572" t="s">
        <v>310</v>
      </c>
      <c r="D572" s="1">
        <v>44774</v>
      </c>
      <c r="E572" t="s">
        <v>35</v>
      </c>
      <c r="F572" t="s">
        <v>184</v>
      </c>
      <c r="G572" s="5">
        <v>1518</v>
      </c>
      <c r="P572" s="5"/>
      <c r="T572"/>
      <c r="AE572" s="5"/>
      <c r="AF572" s="5"/>
      <c r="AI572"/>
      <c r="AJ572"/>
    </row>
    <row r="573" spans="1:36" hidden="1" x14ac:dyDescent="0.25">
      <c r="A573" t="s">
        <v>512</v>
      </c>
      <c r="B573" t="s">
        <v>245</v>
      </c>
      <c r="C573" t="s">
        <v>310</v>
      </c>
      <c r="D573" s="1">
        <v>44774</v>
      </c>
      <c r="E573" t="s">
        <v>35</v>
      </c>
      <c r="F573" t="s">
        <v>417</v>
      </c>
      <c r="G573" s="5">
        <v>1518</v>
      </c>
      <c r="P573" s="5"/>
      <c r="T573"/>
      <c r="AE573" s="5"/>
      <c r="AF573" s="5"/>
      <c r="AI573"/>
      <c r="AJ573"/>
    </row>
    <row r="574" spans="1:36" hidden="1" x14ac:dyDescent="0.25">
      <c r="A574" t="s">
        <v>512</v>
      </c>
      <c r="B574" t="s">
        <v>245</v>
      </c>
      <c r="C574" t="s">
        <v>310</v>
      </c>
      <c r="D574" s="1">
        <v>44774</v>
      </c>
      <c r="E574" t="s">
        <v>35</v>
      </c>
      <c r="F574" t="s">
        <v>1</v>
      </c>
      <c r="G574" s="5">
        <v>607.20000000000005</v>
      </c>
      <c r="P574" s="5"/>
      <c r="T574"/>
      <c r="AE574" s="5"/>
      <c r="AF574" s="5"/>
      <c r="AI574"/>
      <c r="AJ574"/>
    </row>
    <row r="575" spans="1:36" hidden="1" x14ac:dyDescent="0.25">
      <c r="A575" t="s">
        <v>512</v>
      </c>
      <c r="B575" t="s">
        <v>245</v>
      </c>
      <c r="C575" t="s">
        <v>310</v>
      </c>
      <c r="D575" s="1">
        <v>44774</v>
      </c>
      <c r="E575" t="s">
        <v>35</v>
      </c>
      <c r="F575" t="s">
        <v>184</v>
      </c>
      <c r="G575" s="5">
        <v>1518</v>
      </c>
      <c r="P575" s="5"/>
      <c r="T575"/>
      <c r="AE575" s="5"/>
      <c r="AF575" s="5"/>
      <c r="AI575"/>
      <c r="AJ575"/>
    </row>
    <row r="576" spans="1:36" hidden="1" x14ac:dyDescent="0.25">
      <c r="A576" t="s">
        <v>512</v>
      </c>
      <c r="B576" t="s">
        <v>314</v>
      </c>
      <c r="C576" t="s">
        <v>251</v>
      </c>
      <c r="D576" s="1">
        <v>44774</v>
      </c>
      <c r="E576" t="s">
        <v>35</v>
      </c>
      <c r="F576" t="s">
        <v>417</v>
      </c>
      <c r="G576" s="5">
        <v>1518</v>
      </c>
      <c r="P576" s="5"/>
      <c r="T576"/>
      <c r="AE576" s="5"/>
      <c r="AF576" s="5"/>
      <c r="AI576"/>
      <c r="AJ576"/>
    </row>
    <row r="577" spans="1:36" hidden="1" x14ac:dyDescent="0.25">
      <c r="A577" t="s">
        <v>512</v>
      </c>
      <c r="B577" t="s">
        <v>314</v>
      </c>
      <c r="C577" t="s">
        <v>251</v>
      </c>
      <c r="D577" s="1">
        <v>44774</v>
      </c>
      <c r="E577" t="s">
        <v>35</v>
      </c>
      <c r="F577" t="s">
        <v>1</v>
      </c>
      <c r="G577" s="5">
        <v>607.20000000000005</v>
      </c>
      <c r="P577" s="5"/>
      <c r="T577"/>
      <c r="AE577" s="5"/>
      <c r="AF577" s="5"/>
      <c r="AI577"/>
      <c r="AJ577"/>
    </row>
    <row r="578" spans="1:36" hidden="1" x14ac:dyDescent="0.25">
      <c r="A578" t="s">
        <v>512</v>
      </c>
      <c r="B578" t="s">
        <v>314</v>
      </c>
      <c r="C578" t="s">
        <v>251</v>
      </c>
      <c r="D578" s="1">
        <v>44774</v>
      </c>
      <c r="E578" t="s">
        <v>35</v>
      </c>
      <c r="F578" t="s">
        <v>184</v>
      </c>
      <c r="G578" s="5">
        <v>1518</v>
      </c>
      <c r="P578" s="5"/>
      <c r="T578"/>
      <c r="AE578" s="5"/>
      <c r="AF578" s="5"/>
      <c r="AI578"/>
      <c r="AJ578"/>
    </row>
    <row r="579" spans="1:36" hidden="1" x14ac:dyDescent="0.25">
      <c r="A579" t="s">
        <v>512</v>
      </c>
      <c r="B579" t="s">
        <v>246</v>
      </c>
      <c r="C579" t="s">
        <v>310</v>
      </c>
      <c r="D579" s="1">
        <v>44774</v>
      </c>
      <c r="E579" t="s">
        <v>35</v>
      </c>
      <c r="F579" t="s">
        <v>417</v>
      </c>
      <c r="G579" s="5">
        <v>1518</v>
      </c>
      <c r="P579" s="5"/>
      <c r="T579"/>
      <c r="AE579" s="5"/>
      <c r="AF579" s="5"/>
      <c r="AI579"/>
      <c r="AJ579"/>
    </row>
    <row r="580" spans="1:36" hidden="1" x14ac:dyDescent="0.25">
      <c r="A580" t="s">
        <v>512</v>
      </c>
      <c r="B580" t="s">
        <v>246</v>
      </c>
      <c r="C580" t="s">
        <v>310</v>
      </c>
      <c r="D580" s="1">
        <v>44774</v>
      </c>
      <c r="E580" t="s">
        <v>35</v>
      </c>
      <c r="F580" t="s">
        <v>7</v>
      </c>
      <c r="G580" s="5">
        <v>130</v>
      </c>
      <c r="P580" s="5"/>
      <c r="T580"/>
      <c r="AE580" s="5"/>
      <c r="AF580" s="5"/>
      <c r="AI580"/>
      <c r="AJ580"/>
    </row>
    <row r="581" spans="1:36" hidden="1" x14ac:dyDescent="0.25">
      <c r="A581" t="s">
        <v>512</v>
      </c>
      <c r="B581" t="s">
        <v>246</v>
      </c>
      <c r="C581" t="s">
        <v>310</v>
      </c>
      <c r="D581" s="1">
        <v>44774</v>
      </c>
      <c r="E581" t="s">
        <v>35</v>
      </c>
      <c r="F581" t="s">
        <v>9</v>
      </c>
      <c r="G581" s="5">
        <v>50.58</v>
      </c>
      <c r="P581" s="5"/>
      <c r="T581"/>
      <c r="AE581" s="5"/>
      <c r="AF581" s="5"/>
      <c r="AI581"/>
      <c r="AJ581"/>
    </row>
    <row r="582" spans="1:36" hidden="1" x14ac:dyDescent="0.25">
      <c r="A582" t="s">
        <v>512</v>
      </c>
      <c r="B582" t="s">
        <v>246</v>
      </c>
      <c r="C582" t="s">
        <v>310</v>
      </c>
      <c r="D582" s="1">
        <v>44774</v>
      </c>
      <c r="E582" t="s">
        <v>35</v>
      </c>
      <c r="F582" t="s">
        <v>1</v>
      </c>
      <c r="G582" s="5">
        <v>607.20000000000005</v>
      </c>
      <c r="P582" s="5"/>
      <c r="T582"/>
      <c r="AE582" s="5"/>
      <c r="AF582" s="5"/>
      <c r="AI582"/>
      <c r="AJ582"/>
    </row>
    <row r="583" spans="1:36" hidden="1" x14ac:dyDescent="0.25">
      <c r="A583" t="s">
        <v>512</v>
      </c>
      <c r="B583" t="s">
        <v>246</v>
      </c>
      <c r="C583" t="s">
        <v>310</v>
      </c>
      <c r="D583" s="1">
        <v>44774</v>
      </c>
      <c r="E583" t="s">
        <v>35</v>
      </c>
      <c r="F583" t="s">
        <v>8</v>
      </c>
      <c r="G583" s="5">
        <v>50.58</v>
      </c>
      <c r="P583" s="5"/>
      <c r="T583"/>
      <c r="AE583" s="5"/>
      <c r="AF583" s="5"/>
      <c r="AI583"/>
      <c r="AJ583"/>
    </row>
    <row r="584" spans="1:36" hidden="1" x14ac:dyDescent="0.25">
      <c r="A584" t="s">
        <v>512</v>
      </c>
      <c r="B584" t="s">
        <v>246</v>
      </c>
      <c r="C584" t="s">
        <v>310</v>
      </c>
      <c r="D584" s="1">
        <v>44774</v>
      </c>
      <c r="E584" t="s">
        <v>35</v>
      </c>
      <c r="F584" t="s">
        <v>184</v>
      </c>
      <c r="G584" s="5">
        <v>1518</v>
      </c>
      <c r="P584" s="5"/>
      <c r="T584"/>
      <c r="AE584" s="5"/>
      <c r="AF584" s="5"/>
      <c r="AI584"/>
      <c r="AJ584"/>
    </row>
    <row r="585" spans="1:36" hidden="1" x14ac:dyDescent="0.25">
      <c r="A585" t="s">
        <v>512</v>
      </c>
      <c r="B585" t="s">
        <v>247</v>
      </c>
      <c r="C585" t="s">
        <v>310</v>
      </c>
      <c r="D585" s="1">
        <v>44774</v>
      </c>
      <c r="E585" t="s">
        <v>35</v>
      </c>
      <c r="F585" t="s">
        <v>417</v>
      </c>
      <c r="G585" s="5">
        <v>1518</v>
      </c>
      <c r="P585" s="5"/>
      <c r="T585"/>
      <c r="AE585" s="5"/>
      <c r="AF585" s="5"/>
      <c r="AI585"/>
      <c r="AJ585"/>
    </row>
    <row r="586" spans="1:36" hidden="1" x14ac:dyDescent="0.25">
      <c r="A586" t="s">
        <v>512</v>
      </c>
      <c r="B586" t="s">
        <v>247</v>
      </c>
      <c r="C586" t="s">
        <v>310</v>
      </c>
      <c r="D586" s="1">
        <v>44774</v>
      </c>
      <c r="E586" t="s">
        <v>35</v>
      </c>
      <c r="F586" t="s">
        <v>1</v>
      </c>
      <c r="G586" s="5">
        <v>607.20000000000005</v>
      </c>
      <c r="P586" s="5"/>
      <c r="T586"/>
      <c r="AE586" s="5"/>
      <c r="AF586" s="5"/>
      <c r="AI586"/>
      <c r="AJ586"/>
    </row>
    <row r="587" spans="1:36" hidden="1" x14ac:dyDescent="0.25">
      <c r="A587" t="s">
        <v>512</v>
      </c>
      <c r="B587" t="s">
        <v>247</v>
      </c>
      <c r="C587" t="s">
        <v>310</v>
      </c>
      <c r="D587" s="1">
        <v>44774</v>
      </c>
      <c r="E587" t="s">
        <v>35</v>
      </c>
      <c r="F587" t="s">
        <v>184</v>
      </c>
      <c r="G587" s="5">
        <v>1518</v>
      </c>
      <c r="P587" s="5"/>
      <c r="T587"/>
      <c r="AE587" s="5"/>
      <c r="AF587" s="5"/>
      <c r="AI587"/>
      <c r="AJ587"/>
    </row>
    <row r="588" spans="1:36" hidden="1" x14ac:dyDescent="0.25">
      <c r="A588" t="s">
        <v>512</v>
      </c>
      <c r="B588" t="s">
        <v>248</v>
      </c>
      <c r="C588" t="s">
        <v>310</v>
      </c>
      <c r="D588" s="1">
        <v>44774</v>
      </c>
      <c r="E588" t="s">
        <v>35</v>
      </c>
      <c r="F588" t="s">
        <v>417</v>
      </c>
      <c r="G588" s="5">
        <v>1518</v>
      </c>
      <c r="P588" s="5"/>
      <c r="T588"/>
      <c r="AE588" s="5"/>
      <c r="AF588" s="5"/>
      <c r="AI588"/>
      <c r="AJ588"/>
    </row>
    <row r="589" spans="1:36" hidden="1" x14ac:dyDescent="0.25">
      <c r="A589" t="s">
        <v>512</v>
      </c>
      <c r="B589" t="s">
        <v>248</v>
      </c>
      <c r="C589" t="s">
        <v>310</v>
      </c>
      <c r="D589" s="1">
        <v>44774</v>
      </c>
      <c r="E589" t="s">
        <v>35</v>
      </c>
      <c r="F589" t="s">
        <v>1</v>
      </c>
      <c r="G589" s="5">
        <v>607.20000000000005</v>
      </c>
      <c r="P589" s="5"/>
      <c r="T589"/>
      <c r="AE589" s="5"/>
      <c r="AF589" s="5"/>
      <c r="AI589"/>
      <c r="AJ589"/>
    </row>
    <row r="590" spans="1:36" hidden="1" x14ac:dyDescent="0.25">
      <c r="A590" t="s">
        <v>512</v>
      </c>
      <c r="B590" t="s">
        <v>248</v>
      </c>
      <c r="C590" t="s">
        <v>310</v>
      </c>
      <c r="D590" s="1">
        <v>44774</v>
      </c>
      <c r="E590" t="s">
        <v>35</v>
      </c>
      <c r="F590" t="s">
        <v>184</v>
      </c>
      <c r="G590" s="5">
        <v>1518</v>
      </c>
      <c r="P590" s="5"/>
      <c r="T590"/>
      <c r="AE590" s="5"/>
      <c r="AF590" s="5"/>
      <c r="AI590"/>
      <c r="AJ590"/>
    </row>
    <row r="591" spans="1:36" hidden="1" x14ac:dyDescent="0.25">
      <c r="A591" t="s">
        <v>512</v>
      </c>
      <c r="B591" t="s">
        <v>537</v>
      </c>
      <c r="C591" t="s">
        <v>387</v>
      </c>
      <c r="D591" s="1">
        <v>45394</v>
      </c>
      <c r="E591" t="s">
        <v>35</v>
      </c>
      <c r="F591" t="s">
        <v>417</v>
      </c>
      <c r="G591" s="5">
        <v>1518</v>
      </c>
      <c r="P591" s="5"/>
      <c r="T591"/>
      <c r="AE591" s="5"/>
      <c r="AF591" s="5"/>
      <c r="AI591"/>
      <c r="AJ591"/>
    </row>
    <row r="592" spans="1:36" hidden="1" x14ac:dyDescent="0.25">
      <c r="A592" t="s">
        <v>512</v>
      </c>
      <c r="B592" t="s">
        <v>537</v>
      </c>
      <c r="C592" t="s">
        <v>387</v>
      </c>
      <c r="D592" s="1">
        <v>45394</v>
      </c>
      <c r="E592" t="s">
        <v>35</v>
      </c>
      <c r="F592" t="s">
        <v>1</v>
      </c>
      <c r="G592" s="5">
        <v>607.20000000000005</v>
      </c>
      <c r="P592" s="5"/>
      <c r="T592"/>
      <c r="AE592" s="5"/>
      <c r="AF592" s="5"/>
      <c r="AI592"/>
      <c r="AJ592"/>
    </row>
    <row r="593" spans="1:36" hidden="1" x14ac:dyDescent="0.25">
      <c r="A593" t="s">
        <v>512</v>
      </c>
      <c r="B593" t="s">
        <v>537</v>
      </c>
      <c r="C593" t="s">
        <v>387</v>
      </c>
      <c r="D593" s="1">
        <v>45394</v>
      </c>
      <c r="E593" t="s">
        <v>35</v>
      </c>
      <c r="F593" t="s">
        <v>184</v>
      </c>
      <c r="G593" s="5">
        <v>1518</v>
      </c>
      <c r="P593" s="5"/>
      <c r="T593"/>
      <c r="AE593" s="5"/>
      <c r="AF593" s="5"/>
      <c r="AI593"/>
      <c r="AJ593"/>
    </row>
    <row r="594" spans="1:36" hidden="1" x14ac:dyDescent="0.25">
      <c r="A594" t="s">
        <v>512</v>
      </c>
      <c r="B594" t="s">
        <v>365</v>
      </c>
      <c r="C594" t="s">
        <v>387</v>
      </c>
      <c r="D594" s="1">
        <v>45110</v>
      </c>
      <c r="E594" t="s">
        <v>35</v>
      </c>
      <c r="F594" t="s">
        <v>417</v>
      </c>
      <c r="G594" s="5">
        <v>1518</v>
      </c>
      <c r="P594" s="5"/>
      <c r="T594"/>
      <c r="AE594" s="5"/>
      <c r="AF594" s="5"/>
      <c r="AI594"/>
      <c r="AJ594"/>
    </row>
    <row r="595" spans="1:36" hidden="1" x14ac:dyDescent="0.25">
      <c r="A595" t="s">
        <v>512</v>
      </c>
      <c r="B595" t="s">
        <v>365</v>
      </c>
      <c r="C595" t="s">
        <v>387</v>
      </c>
      <c r="D595" s="1">
        <v>45110</v>
      </c>
      <c r="E595" t="s">
        <v>35</v>
      </c>
      <c r="F595" t="s">
        <v>1</v>
      </c>
      <c r="G595" s="5">
        <v>607.20000000000005</v>
      </c>
      <c r="P595" s="5"/>
      <c r="T595"/>
      <c r="AE595" s="5"/>
      <c r="AF595" s="5"/>
      <c r="AI595"/>
      <c r="AJ595"/>
    </row>
    <row r="596" spans="1:36" hidden="1" x14ac:dyDescent="0.25">
      <c r="A596" t="s">
        <v>512</v>
      </c>
      <c r="B596" t="s">
        <v>365</v>
      </c>
      <c r="C596" t="s">
        <v>387</v>
      </c>
      <c r="D596" s="1">
        <v>45110</v>
      </c>
      <c r="E596" t="s">
        <v>35</v>
      </c>
      <c r="F596" t="s">
        <v>184</v>
      </c>
      <c r="G596" s="5">
        <v>1518</v>
      </c>
      <c r="P596" s="5"/>
      <c r="T596"/>
      <c r="AE596" s="5"/>
      <c r="AF596" s="5"/>
      <c r="AI596"/>
      <c r="AJ596"/>
    </row>
    <row r="597" spans="1:36" hidden="1" x14ac:dyDescent="0.25">
      <c r="A597" t="s">
        <v>512</v>
      </c>
      <c r="B597" t="s">
        <v>384</v>
      </c>
      <c r="C597" t="s">
        <v>387</v>
      </c>
      <c r="D597" s="1">
        <v>45110</v>
      </c>
      <c r="E597" t="s">
        <v>67</v>
      </c>
      <c r="F597" t="s">
        <v>23</v>
      </c>
      <c r="G597" s="5">
        <v>809.6</v>
      </c>
      <c r="P597" s="5"/>
      <c r="T597"/>
      <c r="AE597" s="5"/>
      <c r="AF597" s="5"/>
      <c r="AI597"/>
      <c r="AJ597"/>
    </row>
    <row r="598" spans="1:36" hidden="1" x14ac:dyDescent="0.25">
      <c r="A598" t="s">
        <v>512</v>
      </c>
      <c r="B598" t="s">
        <v>384</v>
      </c>
      <c r="C598" t="s">
        <v>387</v>
      </c>
      <c r="D598" s="1">
        <v>45110</v>
      </c>
      <c r="E598" t="s">
        <v>67</v>
      </c>
      <c r="F598" t="s">
        <v>273</v>
      </c>
      <c r="G598" s="5">
        <v>5668.76</v>
      </c>
      <c r="P598" s="5"/>
      <c r="T598"/>
      <c r="AE598" s="5"/>
      <c r="AF598" s="5"/>
      <c r="AI598"/>
      <c r="AJ598"/>
    </row>
    <row r="599" spans="1:36" hidden="1" x14ac:dyDescent="0.25">
      <c r="A599" t="s">
        <v>512</v>
      </c>
      <c r="B599" t="s">
        <v>384</v>
      </c>
      <c r="C599" t="s">
        <v>387</v>
      </c>
      <c r="D599" s="1">
        <v>45110</v>
      </c>
      <c r="E599" t="s">
        <v>67</v>
      </c>
      <c r="F599" t="s">
        <v>1</v>
      </c>
      <c r="G599" s="5">
        <v>1500</v>
      </c>
      <c r="P599" s="5"/>
      <c r="T599"/>
      <c r="AE599" s="5"/>
      <c r="AF599" s="5"/>
      <c r="AI599"/>
      <c r="AJ599"/>
    </row>
    <row r="600" spans="1:36" hidden="1" x14ac:dyDescent="0.25">
      <c r="A600" t="s">
        <v>512</v>
      </c>
      <c r="B600" t="s">
        <v>384</v>
      </c>
      <c r="C600" t="s">
        <v>387</v>
      </c>
      <c r="D600" s="1">
        <v>45110</v>
      </c>
      <c r="E600" t="s">
        <v>67</v>
      </c>
      <c r="F600" t="s">
        <v>184</v>
      </c>
      <c r="G600" s="5">
        <v>1518</v>
      </c>
      <c r="P600" s="5"/>
      <c r="T600"/>
      <c r="AE600" s="5"/>
      <c r="AF600" s="5"/>
      <c r="AI600"/>
      <c r="AJ600"/>
    </row>
    <row r="601" spans="1:36" hidden="1" x14ac:dyDescent="0.25">
      <c r="A601" t="s">
        <v>570</v>
      </c>
      <c r="B601" t="s">
        <v>367</v>
      </c>
      <c r="C601" t="s">
        <v>221</v>
      </c>
      <c r="D601" s="1">
        <v>40575</v>
      </c>
      <c r="F601" t="s">
        <v>276</v>
      </c>
      <c r="G601" s="5">
        <v>1604.67</v>
      </c>
      <c r="P601" s="5"/>
      <c r="T601"/>
      <c r="AE601" s="5"/>
      <c r="AF601" s="5"/>
      <c r="AI601"/>
      <c r="AJ601"/>
    </row>
    <row r="602" spans="1:36" hidden="1" x14ac:dyDescent="0.25">
      <c r="A602" t="s">
        <v>570</v>
      </c>
      <c r="B602" t="s">
        <v>367</v>
      </c>
      <c r="C602" t="s">
        <v>221</v>
      </c>
      <c r="D602" s="1">
        <v>40575</v>
      </c>
      <c r="F602" t="s">
        <v>478</v>
      </c>
      <c r="G602" s="5">
        <v>257.3</v>
      </c>
      <c r="P602" s="5"/>
      <c r="T602"/>
      <c r="AE602" s="5"/>
      <c r="AF602" s="5"/>
      <c r="AI602"/>
      <c r="AJ602"/>
    </row>
    <row r="603" spans="1:36" hidden="1" x14ac:dyDescent="0.25">
      <c r="A603" t="s">
        <v>570</v>
      </c>
      <c r="B603" t="s">
        <v>367</v>
      </c>
      <c r="C603" t="s">
        <v>221</v>
      </c>
      <c r="D603" s="1">
        <v>40575</v>
      </c>
      <c r="F603" t="s">
        <v>563</v>
      </c>
      <c r="G603" s="5">
        <v>22.13</v>
      </c>
      <c r="P603" s="5"/>
      <c r="T603"/>
      <c r="AE603" s="5"/>
      <c r="AF603" s="5"/>
      <c r="AI603"/>
      <c r="AJ603"/>
    </row>
    <row r="604" spans="1:36" hidden="1" x14ac:dyDescent="0.25">
      <c r="A604" t="s">
        <v>570</v>
      </c>
      <c r="B604" t="s">
        <v>367</v>
      </c>
      <c r="C604" t="s">
        <v>221</v>
      </c>
      <c r="D604" s="1">
        <v>40575</v>
      </c>
      <c r="F604" t="s">
        <v>567</v>
      </c>
      <c r="G604" s="5">
        <v>615.12</v>
      </c>
      <c r="P604" s="5"/>
      <c r="T604"/>
      <c r="AE604" s="5"/>
      <c r="AF604" s="5"/>
      <c r="AI604"/>
      <c r="AJ604"/>
    </row>
    <row r="605" spans="1:36" hidden="1" x14ac:dyDescent="0.25">
      <c r="A605" t="s">
        <v>570</v>
      </c>
      <c r="B605" t="s">
        <v>367</v>
      </c>
      <c r="C605" t="s">
        <v>221</v>
      </c>
      <c r="D605" s="1">
        <v>40575</v>
      </c>
      <c r="F605" t="s">
        <v>415</v>
      </c>
      <c r="G605" s="5">
        <v>6.64</v>
      </c>
      <c r="P605" s="5"/>
      <c r="T605"/>
      <c r="AE605" s="5"/>
      <c r="AF605" s="5"/>
      <c r="AI605"/>
      <c r="AJ605"/>
    </row>
    <row r="606" spans="1:36" hidden="1" x14ac:dyDescent="0.25">
      <c r="A606" t="s">
        <v>570</v>
      </c>
      <c r="B606" t="s">
        <v>367</v>
      </c>
      <c r="C606" t="s">
        <v>221</v>
      </c>
      <c r="D606" s="1">
        <v>40575</v>
      </c>
      <c r="F606" t="s">
        <v>569</v>
      </c>
      <c r="G606" s="5">
        <v>198.67</v>
      </c>
      <c r="P606" s="5"/>
      <c r="T606"/>
      <c r="AE606" s="5"/>
      <c r="AF606" s="5"/>
      <c r="AI606"/>
      <c r="AJ606"/>
    </row>
    <row r="607" spans="1:36" hidden="1" x14ac:dyDescent="0.25">
      <c r="A607" t="s">
        <v>570</v>
      </c>
      <c r="B607" t="s">
        <v>367</v>
      </c>
      <c r="C607" t="s">
        <v>221</v>
      </c>
      <c r="D607" s="1">
        <v>40575</v>
      </c>
      <c r="F607" t="s">
        <v>564</v>
      </c>
      <c r="G607" s="5">
        <v>1660</v>
      </c>
      <c r="P607" s="5"/>
      <c r="T607"/>
      <c r="AE607" s="5"/>
      <c r="AF607" s="5"/>
      <c r="AI607"/>
      <c r="AJ607"/>
    </row>
    <row r="608" spans="1:36" hidden="1" x14ac:dyDescent="0.25">
      <c r="A608" t="s">
        <v>570</v>
      </c>
      <c r="B608" t="s">
        <v>367</v>
      </c>
      <c r="C608" t="s">
        <v>221</v>
      </c>
      <c r="D608" s="1">
        <v>40575</v>
      </c>
      <c r="F608" t="s">
        <v>412</v>
      </c>
      <c r="G608" s="5">
        <v>110.67</v>
      </c>
      <c r="P608" s="5"/>
      <c r="T608"/>
      <c r="AE608" s="5"/>
      <c r="AF608" s="5"/>
      <c r="AI608"/>
      <c r="AJ608"/>
    </row>
    <row r="609" spans="1:36" hidden="1" x14ac:dyDescent="0.25">
      <c r="A609" t="s">
        <v>570</v>
      </c>
      <c r="B609" t="s">
        <v>207</v>
      </c>
      <c r="C609" t="s">
        <v>99</v>
      </c>
      <c r="D609" s="1">
        <v>39052</v>
      </c>
      <c r="F609" t="s">
        <v>478</v>
      </c>
      <c r="G609" s="5">
        <v>644.51</v>
      </c>
      <c r="P609" s="5"/>
      <c r="T609"/>
      <c r="AE609" s="5"/>
      <c r="AF609" s="5"/>
      <c r="AI609"/>
      <c r="AJ609"/>
    </row>
    <row r="610" spans="1:36" hidden="1" x14ac:dyDescent="0.25">
      <c r="A610" t="s">
        <v>570</v>
      </c>
      <c r="B610" t="s">
        <v>207</v>
      </c>
      <c r="C610" t="s">
        <v>99</v>
      </c>
      <c r="D610" s="1">
        <v>39052</v>
      </c>
      <c r="F610" t="s">
        <v>563</v>
      </c>
      <c r="G610" s="5">
        <v>1718.71</v>
      </c>
      <c r="P610" s="5"/>
      <c r="T610"/>
      <c r="AE610" s="5"/>
      <c r="AF610" s="5"/>
      <c r="AI610"/>
      <c r="AJ610"/>
    </row>
    <row r="611" spans="1:36" hidden="1" x14ac:dyDescent="0.25">
      <c r="A611" t="s">
        <v>570</v>
      </c>
      <c r="B611" t="s">
        <v>207</v>
      </c>
      <c r="C611" t="s">
        <v>99</v>
      </c>
      <c r="D611" s="1">
        <v>39052</v>
      </c>
      <c r="F611" t="s">
        <v>565</v>
      </c>
      <c r="G611" s="5">
        <v>299.68</v>
      </c>
      <c r="P611" s="5"/>
      <c r="T611"/>
      <c r="AE611" s="5"/>
      <c r="AF611" s="5"/>
      <c r="AI611"/>
      <c r="AJ611"/>
    </row>
    <row r="612" spans="1:36" hidden="1" x14ac:dyDescent="0.25">
      <c r="A612" t="s">
        <v>570</v>
      </c>
      <c r="B612" t="s">
        <v>207</v>
      </c>
      <c r="C612" t="s">
        <v>99</v>
      </c>
      <c r="D612" s="1">
        <v>39052</v>
      </c>
      <c r="F612" t="s">
        <v>710</v>
      </c>
      <c r="G612" s="5">
        <v>4296.7700000000004</v>
      </c>
      <c r="P612" s="5"/>
      <c r="T612"/>
      <c r="AE612" s="5"/>
      <c r="AF612" s="5"/>
      <c r="AI612"/>
      <c r="AJ612"/>
    </row>
    <row r="613" spans="1:36" hidden="1" x14ac:dyDescent="0.25">
      <c r="A613" t="s">
        <v>570</v>
      </c>
      <c r="B613" t="s">
        <v>207</v>
      </c>
      <c r="C613" t="s">
        <v>99</v>
      </c>
      <c r="D613" s="1">
        <v>39052</v>
      </c>
      <c r="F613" t="s">
        <v>412</v>
      </c>
      <c r="G613" s="5">
        <v>4296.7700000000004</v>
      </c>
      <c r="P613" s="5"/>
      <c r="T613"/>
      <c r="AE613" s="5"/>
      <c r="AF613" s="5"/>
      <c r="AI613"/>
      <c r="AJ613"/>
    </row>
    <row r="614" spans="1:36" hidden="1" x14ac:dyDescent="0.25">
      <c r="A614" t="s">
        <v>570</v>
      </c>
      <c r="B614" t="s">
        <v>222</v>
      </c>
      <c r="C614" t="s">
        <v>56</v>
      </c>
      <c r="D614" s="1">
        <v>41932</v>
      </c>
      <c r="F614" t="s">
        <v>413</v>
      </c>
      <c r="G614" s="5">
        <v>83</v>
      </c>
      <c r="P614" s="5"/>
      <c r="T614"/>
      <c r="AE614" s="5"/>
      <c r="AF614" s="5"/>
      <c r="AI614"/>
      <c r="AJ614"/>
    </row>
    <row r="615" spans="1:36" hidden="1" x14ac:dyDescent="0.25">
      <c r="A615" t="s">
        <v>570</v>
      </c>
      <c r="B615" t="s">
        <v>222</v>
      </c>
      <c r="C615" t="s">
        <v>56</v>
      </c>
      <c r="D615" s="1">
        <v>41932</v>
      </c>
      <c r="F615" t="s">
        <v>478</v>
      </c>
      <c r="G615" s="5">
        <v>249</v>
      </c>
      <c r="P615" s="5"/>
      <c r="T615"/>
      <c r="AE615" s="5"/>
      <c r="AF615" s="5"/>
      <c r="AI615"/>
      <c r="AJ615"/>
    </row>
    <row r="616" spans="1:36" hidden="1" x14ac:dyDescent="0.25">
      <c r="A616" t="s">
        <v>570</v>
      </c>
      <c r="B616" t="s">
        <v>222</v>
      </c>
      <c r="C616" t="s">
        <v>56</v>
      </c>
      <c r="D616" s="1">
        <v>41932</v>
      </c>
      <c r="F616" t="s">
        <v>563</v>
      </c>
      <c r="G616" s="5">
        <v>664</v>
      </c>
      <c r="P616" s="5"/>
      <c r="T616"/>
      <c r="AE616" s="5"/>
      <c r="AF616" s="5"/>
      <c r="AI616"/>
      <c r="AJ616"/>
    </row>
    <row r="617" spans="1:36" hidden="1" x14ac:dyDescent="0.25">
      <c r="A617" t="s">
        <v>570</v>
      </c>
      <c r="B617" t="s">
        <v>222</v>
      </c>
      <c r="C617" t="s">
        <v>56</v>
      </c>
      <c r="D617" s="1">
        <v>41932</v>
      </c>
      <c r="F617" t="s">
        <v>415</v>
      </c>
      <c r="G617" s="5">
        <v>99.6</v>
      </c>
      <c r="P617" s="5"/>
      <c r="T617"/>
      <c r="AE617" s="5"/>
      <c r="AF617" s="5"/>
      <c r="AI617"/>
      <c r="AJ617"/>
    </row>
    <row r="618" spans="1:36" hidden="1" x14ac:dyDescent="0.25">
      <c r="A618" t="s">
        <v>570</v>
      </c>
      <c r="B618" t="s">
        <v>222</v>
      </c>
      <c r="C618" t="s">
        <v>56</v>
      </c>
      <c r="D618" s="1">
        <v>41932</v>
      </c>
      <c r="F618" t="s">
        <v>711</v>
      </c>
      <c r="G618" s="5">
        <v>1660</v>
      </c>
      <c r="P618" s="5"/>
      <c r="T618"/>
      <c r="AE618" s="5"/>
      <c r="AF618" s="5"/>
      <c r="AI618"/>
      <c r="AJ618"/>
    </row>
    <row r="619" spans="1:36" hidden="1" x14ac:dyDescent="0.25">
      <c r="A619" t="s">
        <v>570</v>
      </c>
      <c r="B619" t="s">
        <v>222</v>
      </c>
      <c r="C619" t="s">
        <v>56</v>
      </c>
      <c r="D619" s="1">
        <v>41932</v>
      </c>
      <c r="F619" t="s">
        <v>412</v>
      </c>
      <c r="G619" s="5">
        <v>1660</v>
      </c>
      <c r="P619" s="5"/>
      <c r="T619"/>
      <c r="AE619" s="5"/>
      <c r="AF619" s="5"/>
      <c r="AI619"/>
      <c r="AJ619"/>
    </row>
    <row r="620" spans="1:36" hidden="1" x14ac:dyDescent="0.25">
      <c r="A620" t="s">
        <v>570</v>
      </c>
      <c r="B620" t="s">
        <v>222</v>
      </c>
      <c r="C620" t="s">
        <v>56</v>
      </c>
      <c r="D620" s="1">
        <v>41932</v>
      </c>
      <c r="F620" t="s">
        <v>564</v>
      </c>
      <c r="G620" s="5">
        <v>1660</v>
      </c>
      <c r="P620" s="5"/>
      <c r="T620"/>
      <c r="AE620" s="5"/>
      <c r="AF620" s="5"/>
      <c r="AI620"/>
      <c r="AJ620"/>
    </row>
    <row r="621" spans="1:36" hidden="1" x14ac:dyDescent="0.25">
      <c r="A621" t="s">
        <v>570</v>
      </c>
      <c r="B621" t="s">
        <v>208</v>
      </c>
      <c r="C621" t="s">
        <v>99</v>
      </c>
      <c r="D621" s="1">
        <v>39601</v>
      </c>
      <c r="F621" t="s">
        <v>478</v>
      </c>
      <c r="G621" s="5">
        <v>540.6</v>
      </c>
      <c r="P621" s="5"/>
      <c r="T621"/>
      <c r="AE621" s="5"/>
      <c r="AF621" s="5"/>
      <c r="AI621"/>
      <c r="AJ621"/>
    </row>
    <row r="622" spans="1:36" hidden="1" x14ac:dyDescent="0.25">
      <c r="A622" t="s">
        <v>570</v>
      </c>
      <c r="B622" t="s">
        <v>208</v>
      </c>
      <c r="C622" t="s">
        <v>99</v>
      </c>
      <c r="D622" s="1">
        <v>39601</v>
      </c>
      <c r="F622" t="s">
        <v>563</v>
      </c>
      <c r="G622" s="5">
        <v>1441.61</v>
      </c>
      <c r="P622" s="5"/>
      <c r="T622"/>
      <c r="AE622" s="5"/>
      <c r="AF622" s="5"/>
      <c r="AI622"/>
      <c r="AJ622"/>
    </row>
    <row r="623" spans="1:36" hidden="1" x14ac:dyDescent="0.25">
      <c r="A623" t="s">
        <v>570</v>
      </c>
      <c r="B623" t="s">
        <v>208</v>
      </c>
      <c r="C623" t="s">
        <v>99</v>
      </c>
      <c r="D623" s="1">
        <v>39601</v>
      </c>
      <c r="F623" t="s">
        <v>568</v>
      </c>
      <c r="G623" s="5">
        <v>113.36</v>
      </c>
      <c r="P623" s="5"/>
      <c r="T623"/>
      <c r="AE623" s="5"/>
      <c r="AF623" s="5"/>
      <c r="AI623"/>
      <c r="AJ623"/>
    </row>
    <row r="624" spans="1:36" hidden="1" x14ac:dyDescent="0.25">
      <c r="A624" t="s">
        <v>570</v>
      </c>
      <c r="B624" t="s">
        <v>208</v>
      </c>
      <c r="C624" t="s">
        <v>99</v>
      </c>
      <c r="D624" s="1">
        <v>39601</v>
      </c>
      <c r="F624" t="s">
        <v>565</v>
      </c>
      <c r="G624" s="5">
        <v>112.04</v>
      </c>
      <c r="P624" s="5"/>
      <c r="T624"/>
      <c r="AE624" s="5"/>
      <c r="AF624" s="5"/>
      <c r="AI624"/>
      <c r="AJ624"/>
    </row>
    <row r="625" spans="1:36" hidden="1" x14ac:dyDescent="0.25">
      <c r="A625" t="s">
        <v>570</v>
      </c>
      <c r="B625" t="s">
        <v>208</v>
      </c>
      <c r="C625" t="s">
        <v>99</v>
      </c>
      <c r="D625" s="1">
        <v>39601</v>
      </c>
      <c r="F625" t="s">
        <v>712</v>
      </c>
      <c r="G625" s="5">
        <v>3604.02</v>
      </c>
      <c r="P625" s="5"/>
      <c r="T625"/>
      <c r="AE625" s="5"/>
      <c r="AF625" s="5"/>
      <c r="AI625"/>
      <c r="AJ625"/>
    </row>
    <row r="626" spans="1:36" hidden="1" x14ac:dyDescent="0.25">
      <c r="A626" t="s">
        <v>570</v>
      </c>
      <c r="B626" t="s">
        <v>208</v>
      </c>
      <c r="C626" t="s">
        <v>99</v>
      </c>
      <c r="D626" s="1">
        <v>39601</v>
      </c>
      <c r="F626" t="s">
        <v>412</v>
      </c>
      <c r="G626" s="5">
        <v>3604.02</v>
      </c>
      <c r="P626" s="5"/>
      <c r="T626"/>
      <c r="AE626" s="5"/>
      <c r="AF626" s="5"/>
      <c r="AI626"/>
      <c r="AJ626"/>
    </row>
    <row r="627" spans="1:36" hidden="1" x14ac:dyDescent="0.25">
      <c r="A627" t="s">
        <v>570</v>
      </c>
      <c r="B627" t="s">
        <v>368</v>
      </c>
      <c r="C627" t="s">
        <v>221</v>
      </c>
      <c r="D627" s="1">
        <v>39326</v>
      </c>
      <c r="F627" t="s">
        <v>478</v>
      </c>
      <c r="G627" s="5">
        <v>249</v>
      </c>
      <c r="P627" s="5"/>
      <c r="T627"/>
      <c r="AE627" s="5"/>
      <c r="AF627" s="5"/>
      <c r="AI627"/>
      <c r="AJ627"/>
    </row>
    <row r="628" spans="1:36" hidden="1" x14ac:dyDescent="0.25">
      <c r="A628" t="s">
        <v>570</v>
      </c>
      <c r="B628" t="s">
        <v>368</v>
      </c>
      <c r="C628" t="s">
        <v>221</v>
      </c>
      <c r="D628" s="1">
        <v>39326</v>
      </c>
      <c r="F628" t="s">
        <v>563</v>
      </c>
      <c r="G628" s="5">
        <v>664</v>
      </c>
      <c r="P628" s="5"/>
      <c r="T628"/>
      <c r="AE628" s="5"/>
      <c r="AF628" s="5"/>
      <c r="AI628"/>
      <c r="AJ628"/>
    </row>
    <row r="629" spans="1:36" hidden="1" x14ac:dyDescent="0.25">
      <c r="A629" t="s">
        <v>570</v>
      </c>
      <c r="B629" t="s">
        <v>368</v>
      </c>
      <c r="C629" t="s">
        <v>221</v>
      </c>
      <c r="D629" s="1">
        <v>39326</v>
      </c>
      <c r="F629" t="s">
        <v>415</v>
      </c>
      <c r="G629" s="5">
        <v>99.6</v>
      </c>
      <c r="P629" s="5"/>
      <c r="T629"/>
      <c r="AE629" s="5"/>
      <c r="AF629" s="5"/>
      <c r="AI629"/>
      <c r="AJ629"/>
    </row>
    <row r="630" spans="1:36" hidden="1" x14ac:dyDescent="0.25">
      <c r="A630" t="s">
        <v>570</v>
      </c>
      <c r="B630" t="s">
        <v>368</v>
      </c>
      <c r="C630" t="s">
        <v>221</v>
      </c>
      <c r="D630" s="1">
        <v>39326</v>
      </c>
      <c r="F630" t="s">
        <v>713</v>
      </c>
      <c r="G630" s="5">
        <v>1660</v>
      </c>
      <c r="P630" s="5"/>
      <c r="T630"/>
      <c r="AE630" s="5"/>
      <c r="AF630" s="5"/>
      <c r="AI630"/>
      <c r="AJ630"/>
    </row>
    <row r="631" spans="1:36" hidden="1" x14ac:dyDescent="0.25">
      <c r="A631" t="s">
        <v>570</v>
      </c>
      <c r="B631" t="s">
        <v>368</v>
      </c>
      <c r="C631" t="s">
        <v>221</v>
      </c>
      <c r="D631" s="1">
        <v>39326</v>
      </c>
      <c r="F631" t="s">
        <v>412</v>
      </c>
      <c r="G631" s="5">
        <v>1660</v>
      </c>
      <c r="P631" s="5"/>
      <c r="T631"/>
      <c r="AE631" s="5"/>
      <c r="AF631" s="5"/>
      <c r="AI631"/>
      <c r="AJ631"/>
    </row>
    <row r="632" spans="1:36" hidden="1" x14ac:dyDescent="0.25">
      <c r="A632" t="s">
        <v>570</v>
      </c>
      <c r="B632" t="s">
        <v>209</v>
      </c>
      <c r="C632" t="s">
        <v>210</v>
      </c>
      <c r="D632" s="1">
        <v>39995</v>
      </c>
      <c r="F632" t="s">
        <v>564</v>
      </c>
      <c r="G632" s="5">
        <v>5808.37</v>
      </c>
      <c r="P632" s="5"/>
      <c r="T632"/>
      <c r="AE632" s="5"/>
      <c r="AF632" s="5"/>
      <c r="AI632"/>
      <c r="AJ632"/>
    </row>
    <row r="633" spans="1:36" hidden="1" x14ac:dyDescent="0.25">
      <c r="A633" t="s">
        <v>570</v>
      </c>
      <c r="B633" t="s">
        <v>209</v>
      </c>
      <c r="C633" t="s">
        <v>210</v>
      </c>
      <c r="D633" s="1">
        <v>39995</v>
      </c>
      <c r="F633" t="s">
        <v>276</v>
      </c>
      <c r="G633" s="5">
        <v>580.84</v>
      </c>
      <c r="P633" s="5"/>
      <c r="T633"/>
      <c r="AE633" s="5"/>
      <c r="AF633" s="5"/>
      <c r="AI633"/>
      <c r="AJ633"/>
    </row>
    <row r="634" spans="1:36" hidden="1" x14ac:dyDescent="0.25">
      <c r="A634" t="s">
        <v>570</v>
      </c>
      <c r="B634" t="s">
        <v>209</v>
      </c>
      <c r="C634" t="s">
        <v>210</v>
      </c>
      <c r="D634" s="1">
        <v>39995</v>
      </c>
      <c r="F634" t="s">
        <v>478</v>
      </c>
      <c r="G634" s="5">
        <v>900.3</v>
      </c>
      <c r="P634" s="5"/>
      <c r="T634"/>
      <c r="AE634" s="5"/>
      <c r="AF634" s="5"/>
      <c r="AI634"/>
      <c r="AJ634"/>
    </row>
    <row r="635" spans="1:36" hidden="1" x14ac:dyDescent="0.25">
      <c r="A635" t="s">
        <v>570</v>
      </c>
      <c r="B635" t="s">
        <v>209</v>
      </c>
      <c r="C635" t="s">
        <v>210</v>
      </c>
      <c r="D635" s="1">
        <v>39995</v>
      </c>
      <c r="F635" t="s">
        <v>563</v>
      </c>
      <c r="G635" s="5">
        <v>2613.77</v>
      </c>
      <c r="P635" s="5"/>
      <c r="T635"/>
      <c r="AE635" s="5"/>
      <c r="AF635" s="5"/>
      <c r="AI635"/>
      <c r="AJ635"/>
    </row>
    <row r="636" spans="1:36" hidden="1" x14ac:dyDescent="0.25">
      <c r="A636" t="s">
        <v>570</v>
      </c>
      <c r="B636" t="s">
        <v>209</v>
      </c>
      <c r="C636" t="s">
        <v>210</v>
      </c>
      <c r="D636" s="1">
        <v>39995</v>
      </c>
      <c r="F636" t="s">
        <v>567</v>
      </c>
      <c r="G636" s="5">
        <v>222.65</v>
      </c>
      <c r="P636" s="5"/>
      <c r="T636"/>
      <c r="AE636" s="5"/>
      <c r="AF636" s="5"/>
      <c r="AI636"/>
      <c r="AJ636"/>
    </row>
    <row r="637" spans="1:36" hidden="1" x14ac:dyDescent="0.25">
      <c r="A637" t="s">
        <v>570</v>
      </c>
      <c r="B637" t="s">
        <v>209</v>
      </c>
      <c r="C637" t="s">
        <v>210</v>
      </c>
      <c r="D637" s="1">
        <v>39995</v>
      </c>
      <c r="F637" t="s">
        <v>569</v>
      </c>
      <c r="G637" s="5">
        <v>66.790000000000006</v>
      </c>
      <c r="P637" s="5"/>
      <c r="T637"/>
      <c r="AE637" s="5"/>
      <c r="AF637" s="5"/>
      <c r="AI637"/>
      <c r="AJ637"/>
    </row>
    <row r="638" spans="1:36" hidden="1" x14ac:dyDescent="0.25">
      <c r="A638" t="s">
        <v>570</v>
      </c>
      <c r="B638" t="s">
        <v>209</v>
      </c>
      <c r="C638" t="s">
        <v>210</v>
      </c>
      <c r="D638" s="1">
        <v>39995</v>
      </c>
      <c r="F638" t="s">
        <v>714</v>
      </c>
      <c r="G638" s="5">
        <v>1265.8599999999999</v>
      </c>
      <c r="P638" s="5"/>
      <c r="T638"/>
      <c r="AE638" s="5"/>
      <c r="AF638" s="5"/>
      <c r="AI638"/>
      <c r="AJ638"/>
    </row>
    <row r="639" spans="1:36" hidden="1" x14ac:dyDescent="0.25">
      <c r="A639" t="s">
        <v>570</v>
      </c>
      <c r="B639" t="s">
        <v>209</v>
      </c>
      <c r="C639" t="s">
        <v>210</v>
      </c>
      <c r="D639" s="1">
        <v>39995</v>
      </c>
      <c r="F639" t="s">
        <v>565</v>
      </c>
      <c r="G639" s="5">
        <v>602.13</v>
      </c>
      <c r="P639" s="5"/>
      <c r="T639"/>
      <c r="AE639" s="5"/>
      <c r="AF639" s="5"/>
      <c r="AI639"/>
      <c r="AJ639"/>
    </row>
    <row r="640" spans="1:36" hidden="1" x14ac:dyDescent="0.25">
      <c r="A640" t="s">
        <v>570</v>
      </c>
      <c r="B640" t="s">
        <v>209</v>
      </c>
      <c r="C640" t="s">
        <v>210</v>
      </c>
      <c r="D640" s="1">
        <v>39995</v>
      </c>
      <c r="F640" t="s">
        <v>715</v>
      </c>
      <c r="G640" s="5">
        <v>5808.37</v>
      </c>
      <c r="P640" s="5"/>
      <c r="T640"/>
      <c r="AE640" s="5"/>
      <c r="AF640" s="5"/>
      <c r="AI640"/>
      <c r="AJ640"/>
    </row>
    <row r="641" spans="1:36" hidden="1" x14ac:dyDescent="0.25">
      <c r="A641" t="s">
        <v>570</v>
      </c>
      <c r="B641" t="s">
        <v>209</v>
      </c>
      <c r="C641" t="s">
        <v>210</v>
      </c>
      <c r="D641" s="1">
        <v>39995</v>
      </c>
      <c r="F641" t="s">
        <v>412</v>
      </c>
      <c r="G641" s="5">
        <v>5421.15</v>
      </c>
      <c r="P641" s="5"/>
      <c r="T641"/>
      <c r="AE641" s="5"/>
      <c r="AF641" s="5"/>
      <c r="AI641"/>
      <c r="AJ641"/>
    </row>
    <row r="642" spans="1:36" hidden="1" x14ac:dyDescent="0.25">
      <c r="A642" t="s">
        <v>570</v>
      </c>
      <c r="B642" t="s">
        <v>479</v>
      </c>
      <c r="C642" t="s">
        <v>583</v>
      </c>
      <c r="D642" s="1">
        <v>45329</v>
      </c>
      <c r="F642" t="s">
        <v>563</v>
      </c>
      <c r="G642" s="5">
        <v>800</v>
      </c>
      <c r="P642" s="5"/>
      <c r="T642"/>
      <c r="AE642" s="5"/>
      <c r="AF642" s="5"/>
      <c r="AI642"/>
      <c r="AJ642"/>
    </row>
    <row r="643" spans="1:36" hidden="1" x14ac:dyDescent="0.25">
      <c r="A643" t="s">
        <v>570</v>
      </c>
      <c r="B643" t="s">
        <v>479</v>
      </c>
      <c r="C643" t="s">
        <v>583</v>
      </c>
      <c r="D643" s="1">
        <v>45329</v>
      </c>
      <c r="F643" t="s">
        <v>415</v>
      </c>
      <c r="G643" s="5">
        <v>120</v>
      </c>
      <c r="P643" s="5"/>
      <c r="T643"/>
      <c r="AE643" s="5"/>
      <c r="AF643" s="5"/>
      <c r="AI643"/>
      <c r="AJ643"/>
    </row>
    <row r="644" spans="1:36" hidden="1" x14ac:dyDescent="0.25">
      <c r="A644" t="s">
        <v>570</v>
      </c>
      <c r="B644" t="s">
        <v>479</v>
      </c>
      <c r="C644" t="s">
        <v>583</v>
      </c>
      <c r="D644" s="1">
        <v>45329</v>
      </c>
      <c r="F644" t="s">
        <v>716</v>
      </c>
      <c r="G644" s="5">
        <v>2000</v>
      </c>
      <c r="P644" s="5"/>
      <c r="T644"/>
      <c r="AE644" s="5"/>
      <c r="AF644" s="5"/>
      <c r="AI644"/>
      <c r="AJ644"/>
    </row>
    <row r="645" spans="1:36" hidden="1" x14ac:dyDescent="0.25">
      <c r="A645" t="s">
        <v>570</v>
      </c>
      <c r="B645" t="s">
        <v>479</v>
      </c>
      <c r="C645" t="s">
        <v>583</v>
      </c>
      <c r="D645" s="1">
        <v>45329</v>
      </c>
      <c r="F645" t="s">
        <v>412</v>
      </c>
      <c r="G645" s="5">
        <v>2000</v>
      </c>
      <c r="P645" s="5"/>
      <c r="T645"/>
      <c r="AE645" s="5"/>
      <c r="AF645" s="5"/>
      <c r="AI645"/>
      <c r="AJ645"/>
    </row>
    <row r="646" spans="1:36" hidden="1" x14ac:dyDescent="0.25">
      <c r="A646" t="s">
        <v>570</v>
      </c>
      <c r="B646" t="s">
        <v>547</v>
      </c>
      <c r="C646" t="s">
        <v>221</v>
      </c>
      <c r="D646" s="1">
        <v>45483</v>
      </c>
      <c r="F646" t="s">
        <v>563</v>
      </c>
      <c r="G646" s="5">
        <v>664</v>
      </c>
      <c r="P646" s="5"/>
      <c r="T646"/>
      <c r="AE646" s="5"/>
      <c r="AF646" s="5"/>
      <c r="AI646"/>
      <c r="AJ646"/>
    </row>
    <row r="647" spans="1:36" hidden="1" x14ac:dyDescent="0.25">
      <c r="A647" t="s">
        <v>570</v>
      </c>
      <c r="B647" t="s">
        <v>547</v>
      </c>
      <c r="C647" t="s">
        <v>221</v>
      </c>
      <c r="D647" s="1">
        <v>45483</v>
      </c>
      <c r="F647" t="s">
        <v>717</v>
      </c>
      <c r="G647" s="5">
        <v>1660</v>
      </c>
      <c r="P647" s="5"/>
      <c r="T647"/>
      <c r="AE647" s="5"/>
      <c r="AF647" s="5"/>
      <c r="AI647"/>
      <c r="AJ647"/>
    </row>
    <row r="648" spans="1:36" hidden="1" x14ac:dyDescent="0.25">
      <c r="A648" t="s">
        <v>570</v>
      </c>
      <c r="B648" t="s">
        <v>547</v>
      </c>
      <c r="C648" t="s">
        <v>221</v>
      </c>
      <c r="D648" s="1">
        <v>45483</v>
      </c>
      <c r="F648" t="s">
        <v>412</v>
      </c>
      <c r="G648" s="5">
        <v>1660</v>
      </c>
      <c r="P648" s="5"/>
      <c r="T648"/>
      <c r="AE648" s="5"/>
      <c r="AF648" s="5"/>
      <c r="AI648"/>
      <c r="AJ648"/>
    </row>
    <row r="649" spans="1:36" hidden="1" x14ac:dyDescent="0.25">
      <c r="A649" t="s">
        <v>570</v>
      </c>
      <c r="B649" t="s">
        <v>547</v>
      </c>
      <c r="C649" t="s">
        <v>221</v>
      </c>
      <c r="D649" s="1">
        <v>45483</v>
      </c>
      <c r="F649" t="s">
        <v>414</v>
      </c>
      <c r="G649" s="5">
        <v>130</v>
      </c>
      <c r="P649" s="5"/>
      <c r="T649"/>
      <c r="AE649" s="5"/>
      <c r="AF649" s="5"/>
      <c r="AI649"/>
      <c r="AJ649"/>
    </row>
    <row r="650" spans="1:36" hidden="1" x14ac:dyDescent="0.25">
      <c r="A650" t="s">
        <v>570</v>
      </c>
      <c r="B650" t="s">
        <v>547</v>
      </c>
      <c r="C650" t="s">
        <v>221</v>
      </c>
      <c r="D650" s="1">
        <v>45483</v>
      </c>
      <c r="F650" t="s">
        <v>718</v>
      </c>
      <c r="G650" s="5">
        <v>1660</v>
      </c>
      <c r="P650" s="5"/>
      <c r="T650"/>
      <c r="AE650" s="5"/>
      <c r="AF650" s="5"/>
      <c r="AI650"/>
      <c r="AJ650"/>
    </row>
    <row r="651" spans="1:36" hidden="1" x14ac:dyDescent="0.25">
      <c r="A651" t="s">
        <v>570</v>
      </c>
      <c r="B651" t="s">
        <v>366</v>
      </c>
      <c r="C651" t="s">
        <v>627</v>
      </c>
      <c r="D651" s="1">
        <v>44928</v>
      </c>
      <c r="F651" t="s">
        <v>413</v>
      </c>
      <c r="G651" s="5">
        <v>83</v>
      </c>
      <c r="P651" s="5"/>
      <c r="T651"/>
      <c r="AE651" s="5"/>
      <c r="AF651" s="5"/>
      <c r="AI651"/>
      <c r="AJ651"/>
    </row>
    <row r="652" spans="1:36" hidden="1" x14ac:dyDescent="0.25">
      <c r="A652" t="s">
        <v>570</v>
      </c>
      <c r="B652" t="s">
        <v>366</v>
      </c>
      <c r="C652" t="s">
        <v>627</v>
      </c>
      <c r="D652" s="1">
        <v>44928</v>
      </c>
      <c r="F652" t="s">
        <v>563</v>
      </c>
      <c r="G652" s="5">
        <v>664</v>
      </c>
      <c r="P652" s="5"/>
      <c r="T652"/>
      <c r="AE652" s="5"/>
      <c r="AF652" s="5"/>
      <c r="AI652"/>
      <c r="AJ652"/>
    </row>
    <row r="653" spans="1:36" hidden="1" x14ac:dyDescent="0.25">
      <c r="A653" t="s">
        <v>570</v>
      </c>
      <c r="B653" t="s">
        <v>366</v>
      </c>
      <c r="C653" t="s">
        <v>627</v>
      </c>
      <c r="D653" s="1">
        <v>44928</v>
      </c>
      <c r="F653" t="s">
        <v>415</v>
      </c>
      <c r="G653" s="5">
        <v>99.6</v>
      </c>
      <c r="P653" s="5"/>
      <c r="T653"/>
      <c r="AE653" s="5"/>
      <c r="AF653" s="5"/>
      <c r="AI653"/>
      <c r="AJ653"/>
    </row>
    <row r="654" spans="1:36" hidden="1" x14ac:dyDescent="0.25">
      <c r="A654" t="s">
        <v>570</v>
      </c>
      <c r="B654" t="s">
        <v>366</v>
      </c>
      <c r="C654" t="s">
        <v>627</v>
      </c>
      <c r="D654" s="1">
        <v>44928</v>
      </c>
      <c r="F654" t="s">
        <v>719</v>
      </c>
      <c r="G654" s="5">
        <v>1660</v>
      </c>
      <c r="P654" s="5"/>
      <c r="T654"/>
      <c r="AE654" s="5"/>
      <c r="AF654" s="5"/>
      <c r="AI654"/>
      <c r="AJ654"/>
    </row>
    <row r="655" spans="1:36" hidden="1" x14ac:dyDescent="0.25">
      <c r="A655" t="s">
        <v>570</v>
      </c>
      <c r="B655" t="s">
        <v>366</v>
      </c>
      <c r="C655" t="s">
        <v>627</v>
      </c>
      <c r="D655" s="1">
        <v>44928</v>
      </c>
      <c r="F655" t="s">
        <v>412</v>
      </c>
      <c r="G655" s="5">
        <v>1660</v>
      </c>
      <c r="P655" s="5"/>
      <c r="T655"/>
      <c r="AE655" s="5"/>
      <c r="AF655" s="5"/>
      <c r="AI655"/>
      <c r="AJ655"/>
    </row>
    <row r="656" spans="1:36" hidden="1" x14ac:dyDescent="0.25">
      <c r="A656" t="s">
        <v>570</v>
      </c>
      <c r="B656" t="s">
        <v>598</v>
      </c>
      <c r="C656" t="s">
        <v>303</v>
      </c>
      <c r="D656" s="1">
        <v>45617</v>
      </c>
      <c r="F656" t="s">
        <v>566</v>
      </c>
      <c r="G656" s="5">
        <v>100</v>
      </c>
      <c r="P656" s="5"/>
      <c r="T656"/>
      <c r="AE656" s="5"/>
      <c r="AF656" s="5"/>
      <c r="AI656"/>
      <c r="AJ656"/>
    </row>
    <row r="657" spans="1:36" hidden="1" x14ac:dyDescent="0.25">
      <c r="A657" t="s">
        <v>570</v>
      </c>
      <c r="B657" t="s">
        <v>598</v>
      </c>
      <c r="C657" t="s">
        <v>303</v>
      </c>
      <c r="D657" s="1">
        <v>45617</v>
      </c>
      <c r="F657" t="s">
        <v>563</v>
      </c>
      <c r="G657" s="5">
        <v>240</v>
      </c>
      <c r="P657" s="5"/>
      <c r="T657"/>
      <c r="AE657" s="5"/>
      <c r="AF657" s="5"/>
      <c r="AI657"/>
      <c r="AJ657"/>
    </row>
    <row r="658" spans="1:36" hidden="1" x14ac:dyDescent="0.25">
      <c r="A658" t="s">
        <v>570</v>
      </c>
      <c r="B658" t="s">
        <v>598</v>
      </c>
      <c r="C658" t="s">
        <v>303</v>
      </c>
      <c r="D658" s="1">
        <v>45617</v>
      </c>
      <c r="F658" t="s">
        <v>720</v>
      </c>
      <c r="G658" s="5">
        <v>600</v>
      </c>
      <c r="P658" s="5"/>
      <c r="T658"/>
      <c r="AE658" s="5"/>
      <c r="AF658" s="5"/>
      <c r="AI658"/>
      <c r="AJ658"/>
    </row>
    <row r="659" spans="1:36" hidden="1" x14ac:dyDescent="0.25">
      <c r="A659" t="s">
        <v>570</v>
      </c>
      <c r="B659" t="s">
        <v>598</v>
      </c>
      <c r="C659" t="s">
        <v>303</v>
      </c>
      <c r="D659" s="1">
        <v>45617</v>
      </c>
      <c r="F659" t="s">
        <v>412</v>
      </c>
      <c r="G659" s="5">
        <v>600</v>
      </c>
      <c r="P659" s="5"/>
      <c r="T659"/>
      <c r="AE659" s="5"/>
      <c r="AF659" s="5"/>
      <c r="AI659"/>
      <c r="AJ659"/>
    </row>
    <row r="660" spans="1:36" hidden="1" x14ac:dyDescent="0.25">
      <c r="A660" t="s">
        <v>570</v>
      </c>
      <c r="B660" t="s">
        <v>696</v>
      </c>
      <c r="C660" t="s">
        <v>583</v>
      </c>
      <c r="D660" s="1">
        <v>45110</v>
      </c>
      <c r="F660" t="s">
        <v>563</v>
      </c>
      <c r="G660" s="5">
        <v>800</v>
      </c>
      <c r="P660" s="5"/>
      <c r="T660"/>
      <c r="AE660" s="5"/>
      <c r="AF660" s="5"/>
      <c r="AI660"/>
      <c r="AJ660"/>
    </row>
    <row r="661" spans="1:36" hidden="1" x14ac:dyDescent="0.25">
      <c r="A661" t="s">
        <v>570</v>
      </c>
      <c r="B661" t="s">
        <v>696</v>
      </c>
      <c r="C661" t="s">
        <v>583</v>
      </c>
      <c r="D661" s="1">
        <v>45110</v>
      </c>
      <c r="F661" t="s">
        <v>415</v>
      </c>
      <c r="G661" s="5">
        <v>120</v>
      </c>
      <c r="P661" s="5"/>
      <c r="T661"/>
      <c r="AE661" s="5"/>
      <c r="AF661" s="5"/>
      <c r="AI661"/>
      <c r="AJ661"/>
    </row>
    <row r="662" spans="1:36" hidden="1" x14ac:dyDescent="0.25">
      <c r="A662" t="s">
        <v>570</v>
      </c>
      <c r="B662" t="s">
        <v>696</v>
      </c>
      <c r="C662" t="s">
        <v>583</v>
      </c>
      <c r="D662" s="1">
        <v>45110</v>
      </c>
      <c r="F662" t="s">
        <v>721</v>
      </c>
      <c r="G662" s="5">
        <v>2000</v>
      </c>
      <c r="P662" s="5"/>
      <c r="T662"/>
      <c r="AE662" s="5"/>
      <c r="AF662" s="5"/>
      <c r="AI662"/>
      <c r="AJ662"/>
    </row>
    <row r="663" spans="1:36" hidden="1" x14ac:dyDescent="0.25">
      <c r="A663" t="s">
        <v>570</v>
      </c>
      <c r="B663" t="s">
        <v>696</v>
      </c>
      <c r="C663" t="s">
        <v>583</v>
      </c>
      <c r="D663" s="1">
        <v>45110</v>
      </c>
      <c r="F663" t="s">
        <v>412</v>
      </c>
      <c r="G663" s="5">
        <v>2000</v>
      </c>
      <c r="P663" s="5"/>
      <c r="T663"/>
      <c r="AE663" s="5"/>
      <c r="AF663" s="5"/>
      <c r="AI663"/>
      <c r="AJ663"/>
    </row>
    <row r="664" spans="1:36" hidden="1" x14ac:dyDescent="0.25">
      <c r="A664" t="s">
        <v>570</v>
      </c>
      <c r="B664" t="s">
        <v>696</v>
      </c>
      <c r="C664" t="s">
        <v>583</v>
      </c>
      <c r="D664" s="1">
        <v>45110</v>
      </c>
      <c r="F664" t="s">
        <v>722</v>
      </c>
      <c r="G664" s="5">
        <v>2000</v>
      </c>
      <c r="P664" s="5"/>
      <c r="T664"/>
      <c r="AE664" s="5"/>
      <c r="AF664" s="5"/>
      <c r="AI664"/>
      <c r="AJ664"/>
    </row>
    <row r="665" spans="1:36" hidden="1" x14ac:dyDescent="0.25">
      <c r="A665" t="s">
        <v>723</v>
      </c>
      <c r="B665" t="s">
        <v>203</v>
      </c>
      <c r="C665" t="s">
        <v>221</v>
      </c>
      <c r="D665" s="1">
        <v>43432</v>
      </c>
      <c r="F665" t="s">
        <v>276</v>
      </c>
      <c r="G665" s="5">
        <v>221.33</v>
      </c>
      <c r="P665" s="5"/>
      <c r="T665"/>
      <c r="AE665" s="5"/>
      <c r="AF665" s="5"/>
      <c r="AI665"/>
      <c r="AJ665"/>
    </row>
    <row r="666" spans="1:36" hidden="1" x14ac:dyDescent="0.25">
      <c r="A666" t="s">
        <v>723</v>
      </c>
      <c r="B666" t="s">
        <v>203</v>
      </c>
      <c r="C666" t="s">
        <v>221</v>
      </c>
      <c r="D666" s="1">
        <v>43432</v>
      </c>
      <c r="F666" t="s">
        <v>478</v>
      </c>
      <c r="G666" s="5">
        <v>149.4</v>
      </c>
      <c r="P666" s="5"/>
      <c r="T666"/>
      <c r="AE666" s="5"/>
      <c r="AF666" s="5"/>
      <c r="AI666"/>
      <c r="AJ666"/>
    </row>
    <row r="667" spans="1:36" hidden="1" x14ac:dyDescent="0.25">
      <c r="A667" t="s">
        <v>723</v>
      </c>
      <c r="B667" t="s">
        <v>203</v>
      </c>
      <c r="C667" t="s">
        <v>221</v>
      </c>
      <c r="D667" s="1">
        <v>43432</v>
      </c>
      <c r="F667" t="s">
        <v>563</v>
      </c>
      <c r="G667" s="5">
        <v>575.47</v>
      </c>
      <c r="P667" s="5"/>
      <c r="T667"/>
      <c r="AE667" s="5"/>
      <c r="AF667" s="5"/>
      <c r="AI667"/>
      <c r="AJ667"/>
    </row>
    <row r="668" spans="1:36" hidden="1" x14ac:dyDescent="0.25">
      <c r="A668" t="s">
        <v>723</v>
      </c>
      <c r="B668" t="s">
        <v>203</v>
      </c>
      <c r="C668" t="s">
        <v>221</v>
      </c>
      <c r="D668" s="1">
        <v>43432</v>
      </c>
      <c r="F668" t="s">
        <v>567</v>
      </c>
      <c r="G668" s="5">
        <v>81.16</v>
      </c>
      <c r="P668" s="5"/>
      <c r="T668"/>
      <c r="AE668" s="5"/>
      <c r="AF668" s="5"/>
      <c r="AI668"/>
      <c r="AJ668"/>
    </row>
    <row r="669" spans="1:36" hidden="1" x14ac:dyDescent="0.25">
      <c r="A669" t="s">
        <v>723</v>
      </c>
      <c r="B669" t="s">
        <v>203</v>
      </c>
      <c r="C669" t="s">
        <v>221</v>
      </c>
      <c r="D669" s="1">
        <v>43432</v>
      </c>
      <c r="F669" t="s">
        <v>569</v>
      </c>
      <c r="G669" s="5">
        <v>24.34</v>
      </c>
      <c r="P669" s="5"/>
      <c r="T669"/>
      <c r="AE669" s="5"/>
      <c r="AF669" s="5"/>
      <c r="AI669"/>
      <c r="AJ669"/>
    </row>
    <row r="670" spans="1:36" hidden="1" x14ac:dyDescent="0.25">
      <c r="A670" t="s">
        <v>723</v>
      </c>
      <c r="B670" t="s">
        <v>203</v>
      </c>
      <c r="C670" t="s">
        <v>221</v>
      </c>
      <c r="D670" s="1">
        <v>43432</v>
      </c>
      <c r="F670" t="s">
        <v>564</v>
      </c>
      <c r="G670" s="5">
        <v>1660</v>
      </c>
      <c r="P670" s="5"/>
      <c r="T670"/>
      <c r="AE670" s="5"/>
      <c r="AF670" s="5"/>
      <c r="AI670"/>
      <c r="AJ670"/>
    </row>
    <row r="671" spans="1:36" hidden="1" x14ac:dyDescent="0.25">
      <c r="A671" t="s">
        <v>723</v>
      </c>
      <c r="B671" t="s">
        <v>203</v>
      </c>
      <c r="C671" t="s">
        <v>221</v>
      </c>
      <c r="D671" s="1">
        <v>43432</v>
      </c>
      <c r="F671" t="s">
        <v>412</v>
      </c>
      <c r="G671" s="5">
        <v>1494</v>
      </c>
      <c r="P671" s="5"/>
      <c r="T671"/>
      <c r="AE671" s="5"/>
      <c r="AF671" s="5"/>
      <c r="AI671"/>
      <c r="AJ671"/>
    </row>
    <row r="672" spans="1:36" hidden="1" x14ac:dyDescent="0.25">
      <c r="A672" t="s">
        <v>723</v>
      </c>
      <c r="B672" t="s">
        <v>218</v>
      </c>
      <c r="C672" t="s">
        <v>56</v>
      </c>
      <c r="D672" s="1">
        <v>43444</v>
      </c>
      <c r="F672" t="s">
        <v>276</v>
      </c>
      <c r="G672" s="5">
        <v>1604.67</v>
      </c>
      <c r="P672" s="5"/>
      <c r="T672"/>
      <c r="AE672" s="5"/>
      <c r="AF672" s="5"/>
      <c r="AI672"/>
      <c r="AJ672"/>
    </row>
    <row r="673" spans="1:36" hidden="1" x14ac:dyDescent="0.25">
      <c r="A673" t="s">
        <v>723</v>
      </c>
      <c r="B673" t="s">
        <v>218</v>
      </c>
      <c r="C673" t="s">
        <v>56</v>
      </c>
      <c r="D673" s="1">
        <v>43444</v>
      </c>
      <c r="F673" t="s">
        <v>724</v>
      </c>
      <c r="G673" s="5">
        <v>80.23</v>
      </c>
      <c r="P673" s="5"/>
      <c r="T673"/>
      <c r="AE673" s="5"/>
      <c r="AF673" s="5"/>
      <c r="AI673"/>
      <c r="AJ673"/>
    </row>
    <row r="674" spans="1:36" hidden="1" x14ac:dyDescent="0.25">
      <c r="A674" t="s">
        <v>723</v>
      </c>
      <c r="B674" t="s">
        <v>218</v>
      </c>
      <c r="C674" t="s">
        <v>56</v>
      </c>
      <c r="D674" s="1">
        <v>43444</v>
      </c>
      <c r="F674" t="s">
        <v>413</v>
      </c>
      <c r="G674" s="5">
        <v>5.53</v>
      </c>
      <c r="P674" s="5"/>
      <c r="T674"/>
      <c r="AE674" s="5"/>
      <c r="AF674" s="5"/>
      <c r="AI674"/>
      <c r="AJ674"/>
    </row>
    <row r="675" spans="1:36" hidden="1" x14ac:dyDescent="0.25">
      <c r="A675" t="s">
        <v>723</v>
      </c>
      <c r="B675" t="s">
        <v>218</v>
      </c>
      <c r="C675" t="s">
        <v>56</v>
      </c>
      <c r="D675" s="1">
        <v>43444</v>
      </c>
      <c r="F675" t="s">
        <v>478</v>
      </c>
      <c r="G675" s="5">
        <v>11.06</v>
      </c>
      <c r="P675" s="5"/>
      <c r="T675"/>
      <c r="AE675" s="5"/>
      <c r="AF675" s="5"/>
      <c r="AI675"/>
      <c r="AJ675"/>
    </row>
    <row r="676" spans="1:36" hidden="1" x14ac:dyDescent="0.25">
      <c r="A676" t="s">
        <v>723</v>
      </c>
      <c r="B676" t="s">
        <v>218</v>
      </c>
      <c r="C676" t="s">
        <v>56</v>
      </c>
      <c r="D676" s="1">
        <v>43444</v>
      </c>
      <c r="F676" t="s">
        <v>563</v>
      </c>
      <c r="G676" s="5">
        <v>22.13</v>
      </c>
      <c r="P676" s="5"/>
      <c r="T676"/>
      <c r="AE676" s="5"/>
      <c r="AF676" s="5"/>
      <c r="AI676"/>
      <c r="AJ676"/>
    </row>
    <row r="677" spans="1:36" hidden="1" x14ac:dyDescent="0.25">
      <c r="A677" t="s">
        <v>723</v>
      </c>
      <c r="B677" t="s">
        <v>218</v>
      </c>
      <c r="C677" t="s">
        <v>56</v>
      </c>
      <c r="D677" s="1">
        <v>43444</v>
      </c>
      <c r="F677" t="s">
        <v>567</v>
      </c>
      <c r="G677" s="5">
        <v>615.12</v>
      </c>
      <c r="P677" s="5"/>
      <c r="T677"/>
      <c r="AE677" s="5"/>
      <c r="AF677" s="5"/>
      <c r="AI677"/>
      <c r="AJ677"/>
    </row>
    <row r="678" spans="1:36" hidden="1" x14ac:dyDescent="0.25">
      <c r="A678" t="s">
        <v>723</v>
      </c>
      <c r="B678" t="s">
        <v>218</v>
      </c>
      <c r="C678" t="s">
        <v>56</v>
      </c>
      <c r="D678" s="1">
        <v>43444</v>
      </c>
      <c r="F678" t="s">
        <v>415</v>
      </c>
      <c r="G678" s="5">
        <v>6.64</v>
      </c>
      <c r="P678" s="5"/>
      <c r="T678"/>
      <c r="AE678" s="5"/>
      <c r="AF678" s="5"/>
      <c r="AI678"/>
      <c r="AJ678"/>
    </row>
    <row r="679" spans="1:36" hidden="1" x14ac:dyDescent="0.25">
      <c r="A679" t="s">
        <v>723</v>
      </c>
      <c r="B679" t="s">
        <v>218</v>
      </c>
      <c r="C679" t="s">
        <v>56</v>
      </c>
      <c r="D679" s="1">
        <v>43444</v>
      </c>
      <c r="F679" t="s">
        <v>569</v>
      </c>
      <c r="G679" s="5">
        <v>198.67</v>
      </c>
      <c r="P679" s="5"/>
      <c r="T679"/>
      <c r="AE679" s="5"/>
      <c r="AF679" s="5"/>
      <c r="AI679"/>
      <c r="AJ679"/>
    </row>
    <row r="680" spans="1:36" hidden="1" x14ac:dyDescent="0.25">
      <c r="A680" t="s">
        <v>723</v>
      </c>
      <c r="B680" t="s">
        <v>218</v>
      </c>
      <c r="C680" t="s">
        <v>56</v>
      </c>
      <c r="D680" s="1">
        <v>43444</v>
      </c>
      <c r="F680" t="s">
        <v>564</v>
      </c>
      <c r="G680" s="5">
        <v>1660</v>
      </c>
      <c r="P680" s="5"/>
      <c r="T680"/>
      <c r="AE680" s="5"/>
      <c r="AF680" s="5"/>
      <c r="AI680"/>
      <c r="AJ680"/>
    </row>
    <row r="681" spans="1:36" hidden="1" x14ac:dyDescent="0.25">
      <c r="A681" t="s">
        <v>723</v>
      </c>
      <c r="B681" t="s">
        <v>218</v>
      </c>
      <c r="C681" t="s">
        <v>56</v>
      </c>
      <c r="D681" s="1">
        <v>43444</v>
      </c>
      <c r="F681" t="s">
        <v>412</v>
      </c>
      <c r="G681" s="5">
        <v>110.67</v>
      </c>
      <c r="P681" s="5"/>
      <c r="T681"/>
      <c r="AE681" s="5"/>
      <c r="AF681" s="5"/>
      <c r="AI681"/>
      <c r="AJ681"/>
    </row>
    <row r="682" spans="1:36" hidden="1" x14ac:dyDescent="0.25">
      <c r="A682" t="s">
        <v>723</v>
      </c>
      <c r="B682" t="s">
        <v>219</v>
      </c>
      <c r="C682" t="s">
        <v>73</v>
      </c>
      <c r="D682" s="1">
        <v>40546</v>
      </c>
      <c r="F682" t="s">
        <v>478</v>
      </c>
      <c r="G682" s="5">
        <v>249</v>
      </c>
      <c r="P682" s="5"/>
      <c r="T682"/>
      <c r="AE682" s="5"/>
      <c r="AF682" s="5"/>
      <c r="AI682"/>
      <c r="AJ682"/>
    </row>
    <row r="683" spans="1:36" hidden="1" x14ac:dyDescent="0.25">
      <c r="A683" t="s">
        <v>723</v>
      </c>
      <c r="B683" t="s">
        <v>219</v>
      </c>
      <c r="C683" t="s">
        <v>73</v>
      </c>
      <c r="D683" s="1">
        <v>40546</v>
      </c>
      <c r="F683" t="s">
        <v>563</v>
      </c>
      <c r="G683" s="5">
        <v>664</v>
      </c>
      <c r="P683" s="5"/>
      <c r="T683"/>
      <c r="AE683" s="5"/>
      <c r="AF683" s="5"/>
      <c r="AI683"/>
      <c r="AJ683"/>
    </row>
    <row r="684" spans="1:36" hidden="1" x14ac:dyDescent="0.25">
      <c r="A684" t="s">
        <v>723</v>
      </c>
      <c r="B684" t="s">
        <v>219</v>
      </c>
      <c r="C684" t="s">
        <v>73</v>
      </c>
      <c r="D684" s="1">
        <v>40546</v>
      </c>
      <c r="F684" t="s">
        <v>564</v>
      </c>
      <c r="G684" s="5">
        <v>1660</v>
      </c>
      <c r="P684" s="5"/>
      <c r="T684"/>
      <c r="AE684" s="5"/>
      <c r="AF684" s="5"/>
      <c r="AI684"/>
      <c r="AJ684"/>
    </row>
    <row r="685" spans="1:36" hidden="1" x14ac:dyDescent="0.25">
      <c r="A685" t="s">
        <v>723</v>
      </c>
      <c r="B685" t="s">
        <v>219</v>
      </c>
      <c r="C685" t="s">
        <v>73</v>
      </c>
      <c r="D685" s="1">
        <v>40546</v>
      </c>
      <c r="F685" t="s">
        <v>412</v>
      </c>
      <c r="G685" s="5">
        <v>1660</v>
      </c>
      <c r="P685" s="5"/>
      <c r="T685"/>
      <c r="AE685" s="5"/>
      <c r="AF685" s="5"/>
      <c r="AI685"/>
      <c r="AJ685"/>
    </row>
    <row r="686" spans="1:36" hidden="1" x14ac:dyDescent="0.25">
      <c r="A686" t="s">
        <v>723</v>
      </c>
      <c r="B686" t="s">
        <v>219</v>
      </c>
      <c r="C686" t="s">
        <v>73</v>
      </c>
      <c r="D686" s="1">
        <v>40546</v>
      </c>
      <c r="F686" t="s">
        <v>564</v>
      </c>
      <c r="G686" s="5">
        <v>1660</v>
      </c>
      <c r="P686" s="5"/>
      <c r="T686"/>
      <c r="AE686" s="5"/>
      <c r="AF686" s="5"/>
      <c r="AI686"/>
      <c r="AJ686"/>
    </row>
    <row r="687" spans="1:36" hidden="1" x14ac:dyDescent="0.25">
      <c r="A687" t="s">
        <v>723</v>
      </c>
      <c r="B687" t="s">
        <v>204</v>
      </c>
      <c r="C687" t="s">
        <v>221</v>
      </c>
      <c r="D687" s="1">
        <v>43238</v>
      </c>
      <c r="F687" t="s">
        <v>478</v>
      </c>
      <c r="G687" s="5">
        <v>166</v>
      </c>
      <c r="P687" s="5"/>
      <c r="T687"/>
      <c r="AE687" s="5"/>
      <c r="AF687" s="5"/>
      <c r="AI687"/>
      <c r="AJ687"/>
    </row>
    <row r="688" spans="1:36" hidden="1" x14ac:dyDescent="0.25">
      <c r="A688" t="s">
        <v>723</v>
      </c>
      <c r="B688" t="s">
        <v>204</v>
      </c>
      <c r="C688" t="s">
        <v>221</v>
      </c>
      <c r="D688" s="1">
        <v>43238</v>
      </c>
      <c r="F688" t="s">
        <v>563</v>
      </c>
      <c r="G688" s="5">
        <v>664</v>
      </c>
      <c r="P688" s="5"/>
      <c r="T688"/>
      <c r="AE688" s="5"/>
      <c r="AF688" s="5"/>
      <c r="AI688"/>
      <c r="AJ688"/>
    </row>
    <row r="689" spans="1:36" hidden="1" x14ac:dyDescent="0.25">
      <c r="A689" t="s">
        <v>723</v>
      </c>
      <c r="B689" t="s">
        <v>204</v>
      </c>
      <c r="C689" t="s">
        <v>221</v>
      </c>
      <c r="D689" s="1">
        <v>43238</v>
      </c>
      <c r="F689" t="s">
        <v>415</v>
      </c>
      <c r="G689" s="5">
        <v>99.6</v>
      </c>
      <c r="P689" s="5"/>
      <c r="T689"/>
      <c r="AE689" s="5"/>
      <c r="AF689" s="5"/>
      <c r="AI689"/>
      <c r="AJ689"/>
    </row>
    <row r="690" spans="1:36" hidden="1" x14ac:dyDescent="0.25">
      <c r="A690" t="s">
        <v>723</v>
      </c>
      <c r="B690" t="s">
        <v>204</v>
      </c>
      <c r="C690" t="s">
        <v>221</v>
      </c>
      <c r="D690" s="1">
        <v>43238</v>
      </c>
      <c r="F690" t="s">
        <v>564</v>
      </c>
      <c r="G690" s="5">
        <v>1660</v>
      </c>
      <c r="P690" s="5"/>
      <c r="T690"/>
      <c r="AE690" s="5"/>
      <c r="AF690" s="5"/>
      <c r="AI690"/>
      <c r="AJ690"/>
    </row>
    <row r="691" spans="1:36" hidden="1" x14ac:dyDescent="0.25">
      <c r="A691" t="s">
        <v>723</v>
      </c>
      <c r="B691" t="s">
        <v>204</v>
      </c>
      <c r="C691" t="s">
        <v>221</v>
      </c>
      <c r="D691" s="1">
        <v>43238</v>
      </c>
      <c r="F691" t="s">
        <v>412</v>
      </c>
      <c r="G691" s="5">
        <v>1660</v>
      </c>
      <c r="P691" s="5"/>
      <c r="T691"/>
      <c r="AE691" s="5"/>
      <c r="AF691" s="5"/>
      <c r="AI691"/>
      <c r="AJ691"/>
    </row>
    <row r="692" spans="1:36" hidden="1" x14ac:dyDescent="0.25">
      <c r="A692" t="s">
        <v>723</v>
      </c>
      <c r="B692" t="s">
        <v>204</v>
      </c>
      <c r="C692" t="s">
        <v>221</v>
      </c>
      <c r="D692" s="1">
        <v>43238</v>
      </c>
      <c r="F692" t="s">
        <v>414</v>
      </c>
      <c r="G692" s="5">
        <v>65</v>
      </c>
      <c r="P692" s="5"/>
      <c r="T692"/>
      <c r="AE692" s="5"/>
      <c r="AF692" s="5"/>
      <c r="AI692"/>
      <c r="AJ692"/>
    </row>
    <row r="693" spans="1:36" hidden="1" x14ac:dyDescent="0.25">
      <c r="A693" t="s">
        <v>723</v>
      </c>
      <c r="B693" t="s">
        <v>123</v>
      </c>
      <c r="C693" t="s">
        <v>560</v>
      </c>
      <c r="D693" s="1">
        <v>41345</v>
      </c>
      <c r="F693" t="s">
        <v>561</v>
      </c>
      <c r="G693" s="5">
        <v>166.98</v>
      </c>
      <c r="P693" s="5"/>
      <c r="T693"/>
      <c r="AE693" s="5"/>
      <c r="AF693" s="5"/>
      <c r="AI693"/>
      <c r="AJ693"/>
    </row>
    <row r="694" spans="1:36" hidden="1" x14ac:dyDescent="0.25">
      <c r="A694" t="s">
        <v>723</v>
      </c>
      <c r="B694" t="s">
        <v>562</v>
      </c>
      <c r="C694" t="s">
        <v>560</v>
      </c>
      <c r="D694" s="1">
        <v>40848</v>
      </c>
      <c r="F694" t="s">
        <v>561</v>
      </c>
      <c r="G694" s="5">
        <v>166.98</v>
      </c>
      <c r="P694" s="5"/>
      <c r="T694"/>
      <c r="AE694" s="5"/>
      <c r="AF694" s="5"/>
      <c r="AI694"/>
      <c r="AJ694"/>
    </row>
    <row r="695" spans="1:36" hidden="1" x14ac:dyDescent="0.25">
      <c r="A695" t="s">
        <v>723</v>
      </c>
      <c r="B695" t="s">
        <v>166</v>
      </c>
      <c r="C695" t="s">
        <v>56</v>
      </c>
      <c r="D695" s="1">
        <v>44663</v>
      </c>
      <c r="F695" t="s">
        <v>276</v>
      </c>
      <c r="G695" s="5">
        <v>1604.67</v>
      </c>
      <c r="P695" s="5"/>
      <c r="T695"/>
      <c r="AE695" s="5"/>
      <c r="AF695" s="5"/>
      <c r="AI695"/>
      <c r="AJ695"/>
    </row>
    <row r="696" spans="1:36" hidden="1" x14ac:dyDescent="0.25">
      <c r="A696" t="s">
        <v>723</v>
      </c>
      <c r="B696" t="s">
        <v>166</v>
      </c>
      <c r="C696" t="s">
        <v>56</v>
      </c>
      <c r="D696" s="1">
        <v>44663</v>
      </c>
      <c r="F696" t="s">
        <v>413</v>
      </c>
      <c r="G696" s="5">
        <v>5.53</v>
      </c>
      <c r="P696" s="5"/>
      <c r="T696"/>
      <c r="AE696" s="5"/>
      <c r="AF696" s="5"/>
      <c r="AI696"/>
      <c r="AJ696"/>
    </row>
    <row r="697" spans="1:36" hidden="1" x14ac:dyDescent="0.25">
      <c r="A697" t="s">
        <v>723</v>
      </c>
      <c r="B697" t="s">
        <v>166</v>
      </c>
      <c r="C697" t="s">
        <v>56</v>
      </c>
      <c r="D697" s="1">
        <v>44663</v>
      </c>
      <c r="F697" t="s">
        <v>724</v>
      </c>
      <c r="G697" s="5">
        <v>80.23</v>
      </c>
      <c r="P697" s="5"/>
      <c r="T697"/>
      <c r="AE697" s="5"/>
      <c r="AF697" s="5"/>
      <c r="AI697"/>
      <c r="AJ697"/>
    </row>
    <row r="698" spans="1:36" hidden="1" x14ac:dyDescent="0.25">
      <c r="A698" t="s">
        <v>723</v>
      </c>
      <c r="B698" t="s">
        <v>166</v>
      </c>
      <c r="C698" t="s">
        <v>56</v>
      </c>
      <c r="D698" s="1">
        <v>44663</v>
      </c>
      <c r="F698" t="s">
        <v>563</v>
      </c>
      <c r="G698" s="5">
        <v>22.13</v>
      </c>
      <c r="P698" s="5"/>
      <c r="T698"/>
      <c r="AE698" s="5"/>
      <c r="AF698" s="5"/>
      <c r="AI698"/>
      <c r="AJ698"/>
    </row>
    <row r="699" spans="1:36" hidden="1" x14ac:dyDescent="0.25">
      <c r="A699" t="s">
        <v>723</v>
      </c>
      <c r="B699" t="s">
        <v>166</v>
      </c>
      <c r="C699" t="s">
        <v>56</v>
      </c>
      <c r="D699" s="1">
        <v>44663</v>
      </c>
      <c r="F699" t="s">
        <v>567</v>
      </c>
      <c r="G699" s="5">
        <v>561.63</v>
      </c>
      <c r="P699" s="5"/>
      <c r="T699"/>
      <c r="AE699" s="5"/>
      <c r="AF699" s="5"/>
      <c r="AI699"/>
      <c r="AJ699"/>
    </row>
    <row r="700" spans="1:36" hidden="1" x14ac:dyDescent="0.25">
      <c r="A700" t="s">
        <v>723</v>
      </c>
      <c r="B700" t="s">
        <v>166</v>
      </c>
      <c r="C700" t="s">
        <v>56</v>
      </c>
      <c r="D700" s="1">
        <v>44663</v>
      </c>
      <c r="F700" t="s">
        <v>569</v>
      </c>
      <c r="G700" s="5">
        <v>179.41</v>
      </c>
      <c r="P700" s="5"/>
      <c r="T700"/>
      <c r="AE700" s="5"/>
      <c r="AF700" s="5"/>
      <c r="AI700"/>
      <c r="AJ700"/>
    </row>
    <row r="701" spans="1:36" hidden="1" x14ac:dyDescent="0.25">
      <c r="A701" t="s">
        <v>723</v>
      </c>
      <c r="B701" t="s">
        <v>166</v>
      </c>
      <c r="C701" t="s">
        <v>56</v>
      </c>
      <c r="D701" s="1">
        <v>44663</v>
      </c>
      <c r="F701" t="s">
        <v>626</v>
      </c>
      <c r="G701" s="5">
        <v>1660</v>
      </c>
      <c r="P701" s="5"/>
      <c r="T701"/>
      <c r="AE701" s="5"/>
      <c r="AF701" s="5"/>
      <c r="AI701"/>
      <c r="AJ701"/>
    </row>
    <row r="702" spans="1:36" hidden="1" x14ac:dyDescent="0.25">
      <c r="A702" t="s">
        <v>723</v>
      </c>
      <c r="B702" t="s">
        <v>166</v>
      </c>
      <c r="C702" t="s">
        <v>56</v>
      </c>
      <c r="D702" s="1">
        <v>44663</v>
      </c>
      <c r="F702" t="s">
        <v>414</v>
      </c>
      <c r="G702" s="5">
        <v>65</v>
      </c>
      <c r="P702" s="5"/>
      <c r="T702"/>
      <c r="AE702" s="5"/>
      <c r="AF702" s="5"/>
      <c r="AI702"/>
      <c r="AJ702"/>
    </row>
    <row r="703" spans="1:36" hidden="1" x14ac:dyDescent="0.25">
      <c r="A703" t="s">
        <v>723</v>
      </c>
      <c r="B703" t="s">
        <v>205</v>
      </c>
      <c r="C703" t="s">
        <v>39</v>
      </c>
      <c r="D703" s="1">
        <v>43349</v>
      </c>
      <c r="F703" t="s">
        <v>478</v>
      </c>
      <c r="G703" s="5">
        <v>261.52999999999997</v>
      </c>
      <c r="P703" s="5"/>
      <c r="T703"/>
      <c r="AE703" s="5"/>
      <c r="AF703" s="5"/>
      <c r="AI703"/>
      <c r="AJ703"/>
    </row>
    <row r="704" spans="1:36" hidden="1" x14ac:dyDescent="0.25">
      <c r="A704" t="s">
        <v>723</v>
      </c>
      <c r="B704" t="s">
        <v>205</v>
      </c>
      <c r="C704" t="s">
        <v>39</v>
      </c>
      <c r="D704" s="1">
        <v>43349</v>
      </c>
      <c r="F704" t="s">
        <v>563</v>
      </c>
      <c r="G704" s="5">
        <v>1046.0999999999999</v>
      </c>
      <c r="P704" s="5"/>
      <c r="T704"/>
      <c r="AE704" s="5"/>
      <c r="AF704" s="5"/>
      <c r="AI704"/>
      <c r="AJ704"/>
    </row>
    <row r="705" spans="1:36" hidden="1" x14ac:dyDescent="0.25">
      <c r="A705" t="s">
        <v>723</v>
      </c>
      <c r="B705" t="s">
        <v>205</v>
      </c>
      <c r="C705" t="s">
        <v>39</v>
      </c>
      <c r="D705" s="1">
        <v>43349</v>
      </c>
      <c r="F705" t="s">
        <v>564</v>
      </c>
      <c r="G705" s="5">
        <v>2615.2600000000002</v>
      </c>
      <c r="P705" s="5"/>
      <c r="T705"/>
      <c r="AE705" s="5"/>
      <c r="AF705" s="5"/>
      <c r="AI705"/>
      <c r="AJ705"/>
    </row>
    <row r="706" spans="1:36" hidden="1" x14ac:dyDescent="0.25">
      <c r="A706" t="s">
        <v>723</v>
      </c>
      <c r="B706" t="s">
        <v>205</v>
      </c>
      <c r="C706" t="s">
        <v>39</v>
      </c>
      <c r="D706" s="1">
        <v>43349</v>
      </c>
      <c r="F706" t="s">
        <v>412</v>
      </c>
      <c r="G706" s="5">
        <v>2615.2600000000002</v>
      </c>
      <c r="P706" s="5"/>
      <c r="T706"/>
      <c r="AE706" s="5"/>
      <c r="AF706" s="5"/>
      <c r="AI706"/>
      <c r="AJ706"/>
    </row>
    <row r="707" spans="1:36" hidden="1" x14ac:dyDescent="0.25">
      <c r="A707" t="s">
        <v>723</v>
      </c>
      <c r="B707" t="s">
        <v>206</v>
      </c>
      <c r="C707" t="s">
        <v>164</v>
      </c>
      <c r="D707" s="1"/>
      <c r="F707" t="s">
        <v>564</v>
      </c>
      <c r="G707" s="5">
        <v>1660</v>
      </c>
      <c r="P707" s="5"/>
      <c r="T707"/>
      <c r="AE707" s="5"/>
      <c r="AF707" s="5"/>
      <c r="AI707"/>
      <c r="AJ707"/>
    </row>
    <row r="708" spans="1:36" x14ac:dyDescent="0.25">
      <c r="G708" s="4">
        <f>SUBTOTAL(109,Folha_Rainha[Valor])</f>
        <v>15450.6</v>
      </c>
      <c r="P708" s="5"/>
      <c r="T708"/>
      <c r="AE708" s="5"/>
      <c r="AF708" s="5"/>
      <c r="AI708"/>
      <c r="AJ708"/>
    </row>
    <row r="709" spans="1:36" x14ac:dyDescent="0.25">
      <c r="P709" s="5"/>
      <c r="T709"/>
      <c r="AE709" s="5"/>
      <c r="AF709" s="5"/>
      <c r="AI709"/>
      <c r="AJ709"/>
    </row>
    <row r="710" spans="1:36" x14ac:dyDescent="0.25">
      <c r="P710" s="5"/>
      <c r="T710"/>
      <c r="AE710" s="5"/>
      <c r="AF710" s="5"/>
      <c r="AI710"/>
      <c r="AJ710"/>
    </row>
    <row r="711" spans="1:36" x14ac:dyDescent="0.25">
      <c r="P711" s="5"/>
      <c r="T711"/>
      <c r="AE711" s="5"/>
      <c r="AF711" s="5"/>
      <c r="AI711"/>
      <c r="AJ711"/>
    </row>
    <row r="712" spans="1:36" x14ac:dyDescent="0.25">
      <c r="P712" s="5"/>
      <c r="T712"/>
      <c r="AE712" s="5"/>
      <c r="AF712" s="5"/>
      <c r="AI712"/>
      <c r="AJ712"/>
    </row>
    <row r="713" spans="1:36" x14ac:dyDescent="0.25">
      <c r="P713" s="5"/>
      <c r="T713"/>
      <c r="AE713" s="5"/>
      <c r="AF713" s="5"/>
      <c r="AI713"/>
      <c r="AJ713"/>
    </row>
    <row r="714" spans="1:36" x14ac:dyDescent="0.25">
      <c r="P714" s="5"/>
      <c r="T714"/>
      <c r="AE714" s="5"/>
      <c r="AF714" s="5"/>
      <c r="AI714"/>
      <c r="AJ714"/>
    </row>
    <row r="715" spans="1:36" x14ac:dyDescent="0.25">
      <c r="P715" s="5"/>
      <c r="T715"/>
      <c r="AE715" s="5"/>
      <c r="AF715" s="5"/>
      <c r="AI715"/>
      <c r="AJ715"/>
    </row>
    <row r="716" spans="1:36" x14ac:dyDescent="0.25">
      <c r="P716" s="5"/>
      <c r="T716"/>
      <c r="AE716" s="5"/>
      <c r="AF716" s="5"/>
      <c r="AI716"/>
      <c r="AJ716"/>
    </row>
    <row r="717" spans="1:36" x14ac:dyDescent="0.25">
      <c r="P717" s="5"/>
      <c r="T717"/>
      <c r="AE717" s="5"/>
      <c r="AF717" s="5"/>
      <c r="AI717"/>
      <c r="AJ717"/>
    </row>
    <row r="718" spans="1:36" x14ac:dyDescent="0.25">
      <c r="P718" s="5"/>
      <c r="T718"/>
      <c r="AE718" s="5"/>
      <c r="AF718" s="5"/>
      <c r="AI718"/>
      <c r="AJ718"/>
    </row>
    <row r="719" spans="1:36" x14ac:dyDescent="0.25">
      <c r="P719" s="5"/>
      <c r="T719"/>
      <c r="AE719" s="5"/>
      <c r="AF719" s="5"/>
      <c r="AI719"/>
      <c r="AJ719"/>
    </row>
    <row r="720" spans="1:36" x14ac:dyDescent="0.25">
      <c r="P720" s="5"/>
      <c r="T720"/>
      <c r="AE720" s="5"/>
      <c r="AF720" s="5"/>
      <c r="AI720"/>
      <c r="AJ720"/>
    </row>
    <row r="721" spans="16:36" x14ac:dyDescent="0.25">
      <c r="P721" s="5"/>
      <c r="T721"/>
      <c r="AE721" s="5"/>
      <c r="AF721" s="5"/>
      <c r="AI721"/>
      <c r="AJ721"/>
    </row>
    <row r="722" spans="16:36" x14ac:dyDescent="0.25">
      <c r="P722" s="5"/>
      <c r="T722"/>
      <c r="AE722" s="5"/>
      <c r="AF722" s="5"/>
      <c r="AI722"/>
      <c r="AJ722"/>
    </row>
    <row r="723" spans="16:36" x14ac:dyDescent="0.25">
      <c r="P723" s="5"/>
      <c r="T723"/>
      <c r="AE723" s="5"/>
      <c r="AF723" s="5"/>
      <c r="AI723"/>
      <c r="AJ723"/>
    </row>
    <row r="724" spans="16:36" x14ac:dyDescent="0.25">
      <c r="P724" s="5"/>
      <c r="T724"/>
      <c r="AE724" s="5"/>
      <c r="AF724" s="5"/>
      <c r="AI724"/>
      <c r="AJ724"/>
    </row>
    <row r="725" spans="16:36" x14ac:dyDescent="0.25">
      <c r="P725" s="5"/>
      <c r="T725"/>
      <c r="AE725" s="5"/>
      <c r="AF725" s="5"/>
      <c r="AI725"/>
      <c r="AJ725"/>
    </row>
    <row r="726" spans="16:36" x14ac:dyDescent="0.25">
      <c r="P726" s="5"/>
      <c r="T726"/>
      <c r="AE726" s="5"/>
      <c r="AF726" s="5"/>
      <c r="AI726"/>
      <c r="AJ726"/>
    </row>
    <row r="727" spans="16:36" x14ac:dyDescent="0.25">
      <c r="P727" s="5"/>
      <c r="T727"/>
      <c r="AE727" s="5"/>
      <c r="AF727" s="5"/>
      <c r="AI727"/>
      <c r="AJ727"/>
    </row>
    <row r="728" spans="16:36" x14ac:dyDescent="0.25">
      <c r="P728" s="5"/>
      <c r="T728"/>
      <c r="AE728" s="5"/>
      <c r="AF728" s="5"/>
      <c r="AI728"/>
      <c r="AJ728"/>
    </row>
    <row r="729" spans="16:36" x14ac:dyDescent="0.25">
      <c r="P729" s="5"/>
      <c r="T729"/>
      <c r="AE729" s="5"/>
      <c r="AF729" s="5"/>
      <c r="AI729"/>
      <c r="AJ729"/>
    </row>
    <row r="730" spans="16:36" x14ac:dyDescent="0.25">
      <c r="P730" s="5"/>
      <c r="T730"/>
      <c r="AE730" s="5"/>
      <c r="AF730" s="5"/>
      <c r="AI730"/>
      <c r="AJ730"/>
    </row>
    <row r="731" spans="16:36" x14ac:dyDescent="0.25">
      <c r="P731" s="5"/>
      <c r="T731"/>
      <c r="AE731" s="5"/>
      <c r="AF731" s="5"/>
      <c r="AI731"/>
      <c r="AJ731"/>
    </row>
    <row r="732" spans="16:36" x14ac:dyDescent="0.25">
      <c r="P732" s="5"/>
      <c r="T732"/>
      <c r="AE732" s="5"/>
      <c r="AF732" s="5"/>
      <c r="AI732"/>
      <c r="AJ732"/>
    </row>
    <row r="733" spans="16:36" x14ac:dyDescent="0.25">
      <c r="P733" s="5"/>
      <c r="T733"/>
      <c r="AE733" s="5"/>
      <c r="AF733" s="5"/>
      <c r="AI733"/>
      <c r="AJ733"/>
    </row>
    <row r="734" spans="16:36" x14ac:dyDescent="0.25">
      <c r="P734" s="5"/>
      <c r="T734"/>
      <c r="AE734" s="5"/>
      <c r="AF734" s="5"/>
      <c r="AI734"/>
      <c r="AJ734"/>
    </row>
    <row r="735" spans="16:36" x14ac:dyDescent="0.25">
      <c r="P735" s="5"/>
      <c r="T735"/>
      <c r="AE735" s="5"/>
      <c r="AF735" s="5"/>
      <c r="AI735"/>
      <c r="AJ735"/>
    </row>
    <row r="736" spans="16:36" x14ac:dyDescent="0.25">
      <c r="P736" s="5"/>
      <c r="T736"/>
      <c r="AE736" s="5"/>
      <c r="AF736" s="5"/>
      <c r="AI736"/>
      <c r="AJ736"/>
    </row>
    <row r="737" spans="16:36" x14ac:dyDescent="0.25">
      <c r="P737" s="5"/>
      <c r="T737"/>
      <c r="AE737" s="5"/>
      <c r="AF737" s="5"/>
      <c r="AI737"/>
      <c r="AJ737"/>
    </row>
    <row r="738" spans="16:36" x14ac:dyDescent="0.25">
      <c r="P738" s="5"/>
      <c r="T738"/>
      <c r="AE738" s="5"/>
      <c r="AF738" s="5"/>
      <c r="AI738"/>
      <c r="AJ738"/>
    </row>
    <row r="739" spans="16:36" x14ac:dyDescent="0.25">
      <c r="P739" s="5"/>
      <c r="T739"/>
      <c r="AE739" s="5"/>
      <c r="AF739" s="5"/>
      <c r="AI739"/>
      <c r="AJ739"/>
    </row>
    <row r="740" spans="16:36" x14ac:dyDescent="0.25">
      <c r="P740" s="5"/>
      <c r="T740"/>
      <c r="AE740" s="5"/>
      <c r="AF740" s="5"/>
      <c r="AI740"/>
      <c r="AJ740"/>
    </row>
    <row r="741" spans="16:36" x14ac:dyDescent="0.25">
      <c r="P741" s="5"/>
      <c r="T741"/>
      <c r="AE741" s="5"/>
      <c r="AF741" s="5"/>
      <c r="AI741"/>
      <c r="AJ741"/>
    </row>
    <row r="742" spans="16:36" x14ac:dyDescent="0.25">
      <c r="P742" s="5"/>
      <c r="T742"/>
      <c r="AE742" s="5"/>
      <c r="AF742" s="5"/>
      <c r="AI742"/>
      <c r="AJ742"/>
    </row>
    <row r="743" spans="16:36" x14ac:dyDescent="0.25">
      <c r="P743" s="5"/>
      <c r="T743"/>
      <c r="AE743" s="5"/>
      <c r="AF743" s="5"/>
      <c r="AI743"/>
      <c r="AJ743"/>
    </row>
    <row r="744" spans="16:36" x14ac:dyDescent="0.25">
      <c r="P744" s="5"/>
      <c r="T744"/>
      <c r="AE744" s="5"/>
      <c r="AF744" s="5"/>
      <c r="AI744"/>
      <c r="AJ744"/>
    </row>
    <row r="745" spans="16:36" x14ac:dyDescent="0.25">
      <c r="P745" s="5"/>
      <c r="T745"/>
      <c r="AE745" s="5"/>
      <c r="AF745" s="5"/>
      <c r="AI745"/>
      <c r="AJ745"/>
    </row>
    <row r="746" spans="16:36" x14ac:dyDescent="0.25">
      <c r="P746" s="5"/>
      <c r="T746"/>
      <c r="AE746" s="5"/>
      <c r="AF746" s="5"/>
      <c r="AI746"/>
      <c r="AJ746"/>
    </row>
    <row r="747" spans="16:36" x14ac:dyDescent="0.25">
      <c r="P747" s="5"/>
      <c r="T747"/>
      <c r="AE747" s="5"/>
      <c r="AF747" s="5"/>
      <c r="AI747"/>
      <c r="AJ747"/>
    </row>
    <row r="748" spans="16:36" x14ac:dyDescent="0.25">
      <c r="P748" s="5"/>
      <c r="T748"/>
      <c r="AE748" s="5"/>
      <c r="AF748" s="5"/>
      <c r="AI748"/>
      <c r="AJ748"/>
    </row>
    <row r="749" spans="16:36" x14ac:dyDescent="0.25">
      <c r="P749" s="5"/>
      <c r="T749"/>
      <c r="AE749" s="5"/>
      <c r="AF749" s="5"/>
      <c r="AI749"/>
      <c r="AJ749"/>
    </row>
    <row r="750" spans="16:36" x14ac:dyDescent="0.25">
      <c r="P750" s="5"/>
      <c r="T750"/>
      <c r="AE750" s="5"/>
      <c r="AF750" s="5"/>
      <c r="AI750"/>
      <c r="AJ750"/>
    </row>
    <row r="751" spans="16:36" x14ac:dyDescent="0.25">
      <c r="P751" s="5"/>
      <c r="T751"/>
      <c r="AE751" s="5"/>
      <c r="AF751" s="5"/>
      <c r="AI751"/>
      <c r="AJ751"/>
    </row>
    <row r="752" spans="16:36" x14ac:dyDescent="0.25">
      <c r="P752" s="5"/>
      <c r="T752"/>
      <c r="AE752" s="5"/>
      <c r="AF752" s="5"/>
      <c r="AI752"/>
      <c r="AJ752"/>
    </row>
    <row r="753" spans="16:36" x14ac:dyDescent="0.25">
      <c r="P753" s="5"/>
      <c r="T753"/>
      <c r="AE753" s="5"/>
      <c r="AF753" s="5"/>
      <c r="AI753"/>
      <c r="AJ753"/>
    </row>
    <row r="754" spans="16:36" x14ac:dyDescent="0.25">
      <c r="P754" s="5"/>
      <c r="T754"/>
      <c r="AE754" s="5"/>
      <c r="AF754" s="5"/>
      <c r="AI754"/>
      <c r="AJ754"/>
    </row>
    <row r="755" spans="16:36" x14ac:dyDescent="0.25">
      <c r="P755" s="5"/>
      <c r="T755"/>
      <c r="AE755" s="5"/>
      <c r="AF755" s="5"/>
      <c r="AI755"/>
      <c r="AJ755"/>
    </row>
    <row r="756" spans="16:36" x14ac:dyDescent="0.25">
      <c r="P756" s="5"/>
      <c r="T756"/>
      <c r="AE756" s="5"/>
      <c r="AF756" s="5"/>
      <c r="AI756"/>
      <c r="AJ756"/>
    </row>
    <row r="757" spans="16:36" x14ac:dyDescent="0.25">
      <c r="P757" s="5"/>
      <c r="T757"/>
      <c r="AE757" s="5"/>
      <c r="AF757" s="5"/>
      <c r="AI757"/>
      <c r="AJ757"/>
    </row>
    <row r="758" spans="16:36" x14ac:dyDescent="0.25">
      <c r="P758" s="5"/>
      <c r="T758"/>
      <c r="AE758" s="5"/>
      <c r="AF758" s="5"/>
      <c r="AI758"/>
      <c r="AJ758"/>
    </row>
    <row r="759" spans="16:36" x14ac:dyDescent="0.25">
      <c r="P759" s="5"/>
      <c r="T759"/>
      <c r="AE759" s="5"/>
      <c r="AF759" s="5"/>
      <c r="AI759"/>
      <c r="AJ759"/>
    </row>
    <row r="760" spans="16:36" x14ac:dyDescent="0.25">
      <c r="P760" s="5"/>
      <c r="T760"/>
      <c r="AE760" s="5"/>
      <c r="AF760" s="5"/>
      <c r="AI760"/>
      <c r="AJ760"/>
    </row>
    <row r="761" spans="16:36" x14ac:dyDescent="0.25">
      <c r="P761" s="5"/>
      <c r="T761"/>
      <c r="AE761" s="5"/>
      <c r="AF761" s="5"/>
      <c r="AI761"/>
      <c r="AJ761"/>
    </row>
    <row r="762" spans="16:36" x14ac:dyDescent="0.25">
      <c r="P762" s="5"/>
      <c r="T762"/>
      <c r="AE762" s="5"/>
      <c r="AF762" s="5"/>
      <c r="AI762"/>
      <c r="AJ762"/>
    </row>
    <row r="763" spans="16:36" x14ac:dyDescent="0.25">
      <c r="P763" s="5"/>
      <c r="T763"/>
      <c r="AE763" s="5"/>
      <c r="AF763" s="5"/>
      <c r="AI763"/>
      <c r="AJ763"/>
    </row>
    <row r="764" spans="16:36" x14ac:dyDescent="0.25">
      <c r="P764" s="5"/>
      <c r="T764"/>
      <c r="AE764" s="5"/>
      <c r="AF764" s="5"/>
      <c r="AI764"/>
      <c r="AJ764"/>
    </row>
    <row r="765" spans="16:36" x14ac:dyDescent="0.25">
      <c r="P765" s="5"/>
      <c r="T765"/>
      <c r="AE765" s="5"/>
      <c r="AF765" s="5"/>
      <c r="AI765"/>
      <c r="AJ765"/>
    </row>
    <row r="766" spans="16:36" x14ac:dyDescent="0.25">
      <c r="P766" s="5"/>
      <c r="T766"/>
      <c r="AE766" s="5"/>
      <c r="AF766" s="5"/>
      <c r="AI766"/>
      <c r="AJ766"/>
    </row>
    <row r="767" spans="16:36" x14ac:dyDescent="0.25">
      <c r="P767" s="5"/>
      <c r="T767"/>
      <c r="AE767" s="5"/>
      <c r="AF767" s="5"/>
      <c r="AI767"/>
      <c r="AJ767"/>
    </row>
    <row r="768" spans="16:36" x14ac:dyDescent="0.25">
      <c r="P768" s="5"/>
      <c r="T768"/>
      <c r="AE768" s="5"/>
      <c r="AF768" s="5"/>
      <c r="AI768"/>
      <c r="AJ768"/>
    </row>
    <row r="769" spans="16:36" x14ac:dyDescent="0.25">
      <c r="P769" s="5"/>
      <c r="T769"/>
      <c r="AE769" s="5"/>
      <c r="AF769" s="5"/>
      <c r="AI769"/>
      <c r="AJ769"/>
    </row>
    <row r="770" spans="16:36" x14ac:dyDescent="0.25">
      <c r="P770" s="5"/>
      <c r="T770"/>
      <c r="AE770" s="5"/>
      <c r="AF770" s="5"/>
      <c r="AI770"/>
      <c r="AJ770"/>
    </row>
    <row r="771" spans="16:36" x14ac:dyDescent="0.25">
      <c r="P771" s="5"/>
      <c r="T771"/>
      <c r="AE771" s="5"/>
      <c r="AF771" s="5"/>
      <c r="AI771"/>
      <c r="AJ771"/>
    </row>
    <row r="772" spans="16:36" x14ac:dyDescent="0.25">
      <c r="P772" s="5"/>
      <c r="T772"/>
      <c r="AE772" s="5"/>
      <c r="AF772" s="5"/>
      <c r="AI772"/>
      <c r="AJ772"/>
    </row>
    <row r="773" spans="16:36" x14ac:dyDescent="0.25">
      <c r="P773" s="5"/>
      <c r="T773"/>
      <c r="AE773" s="5"/>
      <c r="AF773" s="5"/>
      <c r="AI773"/>
      <c r="AJ773"/>
    </row>
    <row r="774" spans="16:36" x14ac:dyDescent="0.25">
      <c r="P774" s="5"/>
      <c r="T774"/>
      <c r="AE774" s="5"/>
      <c r="AF774" s="5"/>
      <c r="AI774"/>
      <c r="AJ774"/>
    </row>
    <row r="775" spans="16:36" x14ac:dyDescent="0.25">
      <c r="P775" s="5"/>
      <c r="T775"/>
      <c r="AE775" s="5"/>
      <c r="AF775" s="5"/>
      <c r="AI775"/>
      <c r="AJ775"/>
    </row>
    <row r="776" spans="16:36" x14ac:dyDescent="0.25">
      <c r="P776" s="5"/>
      <c r="T776"/>
      <c r="AE776" s="5"/>
      <c r="AF776" s="5"/>
      <c r="AI776"/>
      <c r="AJ776"/>
    </row>
    <row r="777" spans="16:36" x14ac:dyDescent="0.25">
      <c r="P777" s="5"/>
      <c r="T777"/>
      <c r="AE777" s="5"/>
      <c r="AF777" s="5"/>
      <c r="AI777"/>
      <c r="AJ777"/>
    </row>
    <row r="778" spans="16:36" x14ac:dyDescent="0.25">
      <c r="P778" s="5"/>
      <c r="T778"/>
      <c r="AE778" s="5"/>
      <c r="AF778" s="5"/>
      <c r="AI778"/>
      <c r="AJ778"/>
    </row>
    <row r="779" spans="16:36" x14ac:dyDescent="0.25">
      <c r="P779" s="5"/>
      <c r="T779"/>
      <c r="AE779" s="5"/>
      <c r="AF779" s="5"/>
      <c r="AI779"/>
      <c r="AJ779"/>
    </row>
    <row r="780" spans="16:36" x14ac:dyDescent="0.25">
      <c r="P780" s="5"/>
      <c r="T780"/>
      <c r="AE780" s="5"/>
      <c r="AF780" s="5"/>
      <c r="AI780"/>
      <c r="AJ780"/>
    </row>
    <row r="781" spans="16:36" x14ac:dyDescent="0.25">
      <c r="P781" s="5"/>
      <c r="T781"/>
      <c r="AE781" s="5"/>
      <c r="AF781" s="5"/>
      <c r="AI781"/>
      <c r="AJ781"/>
    </row>
    <row r="782" spans="16:36" x14ac:dyDescent="0.25">
      <c r="P782" s="5"/>
      <c r="T782"/>
      <c r="AE782" s="5"/>
      <c r="AF782" s="5"/>
      <c r="AI782"/>
      <c r="AJ782"/>
    </row>
    <row r="783" spans="16:36" x14ac:dyDescent="0.25">
      <c r="P783" s="5"/>
      <c r="T783"/>
      <c r="AE783" s="5"/>
      <c r="AF783" s="5"/>
      <c r="AI783"/>
      <c r="AJ783"/>
    </row>
    <row r="784" spans="16:36" x14ac:dyDescent="0.25">
      <c r="P784" s="5"/>
      <c r="T784"/>
      <c r="AE784" s="5"/>
      <c r="AF784" s="5"/>
      <c r="AI784"/>
      <c r="AJ784"/>
    </row>
    <row r="785" spans="16:36" x14ac:dyDescent="0.25">
      <c r="P785" s="5"/>
      <c r="T785"/>
      <c r="AE785" s="5"/>
      <c r="AF785" s="5"/>
      <c r="AI785"/>
      <c r="AJ785"/>
    </row>
    <row r="786" spans="16:36" x14ac:dyDescent="0.25">
      <c r="P786" s="5"/>
      <c r="T786"/>
      <c r="AE786" s="5"/>
      <c r="AF786" s="5"/>
      <c r="AI786"/>
      <c r="AJ786"/>
    </row>
    <row r="787" spans="16:36" x14ac:dyDescent="0.25">
      <c r="P787" s="5"/>
      <c r="T787"/>
      <c r="AE787" s="5"/>
      <c r="AF787" s="5"/>
      <c r="AI787"/>
      <c r="AJ787"/>
    </row>
    <row r="788" spans="16:36" x14ac:dyDescent="0.25">
      <c r="P788" s="5"/>
      <c r="T788"/>
      <c r="AE788" s="5"/>
      <c r="AF788" s="5"/>
      <c r="AI788"/>
      <c r="AJ788"/>
    </row>
    <row r="789" spans="16:36" x14ac:dyDescent="0.25">
      <c r="P789" s="5"/>
      <c r="T789"/>
      <c r="AE789" s="5"/>
      <c r="AF789" s="5"/>
      <c r="AI789"/>
      <c r="AJ789"/>
    </row>
    <row r="790" spans="16:36" x14ac:dyDescent="0.25">
      <c r="P790" s="5"/>
      <c r="T790"/>
      <c r="AE790" s="5"/>
      <c r="AF790" s="5"/>
      <c r="AI790"/>
      <c r="AJ790"/>
    </row>
    <row r="791" spans="16:36" x14ac:dyDescent="0.25">
      <c r="P791" s="5"/>
      <c r="T791"/>
      <c r="AE791" s="5"/>
      <c r="AF791" s="5"/>
      <c r="AI791"/>
      <c r="AJ791"/>
    </row>
    <row r="792" spans="16:36" x14ac:dyDescent="0.25">
      <c r="P792" s="5"/>
      <c r="T792"/>
      <c r="AE792" s="5"/>
      <c r="AF792" s="5"/>
      <c r="AI792"/>
      <c r="AJ792"/>
    </row>
    <row r="793" spans="16:36" x14ac:dyDescent="0.25">
      <c r="P793" s="5"/>
      <c r="T793"/>
      <c r="AE793" s="5"/>
      <c r="AF793" s="5"/>
      <c r="AI793"/>
      <c r="AJ793"/>
    </row>
    <row r="794" spans="16:36" x14ac:dyDescent="0.25">
      <c r="P794" s="5"/>
      <c r="T794"/>
      <c r="AE794" s="5"/>
      <c r="AF794" s="5"/>
      <c r="AI794"/>
      <c r="AJ794"/>
    </row>
    <row r="795" spans="16:36" x14ac:dyDescent="0.25">
      <c r="P795" s="5"/>
      <c r="T795"/>
      <c r="AE795" s="5"/>
      <c r="AF795" s="5"/>
      <c r="AI795"/>
      <c r="AJ795"/>
    </row>
    <row r="796" spans="16:36" x14ac:dyDescent="0.25">
      <c r="P796" s="5"/>
      <c r="T796"/>
      <c r="AE796" s="5"/>
      <c r="AF796" s="5"/>
      <c r="AI796"/>
      <c r="AJ796"/>
    </row>
    <row r="797" spans="16:36" x14ac:dyDescent="0.25">
      <c r="P797" s="5"/>
      <c r="T797"/>
      <c r="AE797" s="5"/>
      <c r="AF797" s="5"/>
      <c r="AI797"/>
      <c r="AJ797"/>
    </row>
    <row r="798" spans="16:36" x14ac:dyDescent="0.25">
      <c r="P798" s="5"/>
      <c r="T798"/>
      <c r="AE798" s="5"/>
      <c r="AF798" s="5"/>
      <c r="AI798"/>
      <c r="AJ798"/>
    </row>
    <row r="799" spans="16:36" x14ac:dyDescent="0.25">
      <c r="P799" s="5"/>
      <c r="T799"/>
      <c r="AE799" s="5"/>
      <c r="AF799" s="5"/>
      <c r="AI799"/>
      <c r="AJ799"/>
    </row>
    <row r="800" spans="16:36" x14ac:dyDescent="0.25">
      <c r="P800" s="5"/>
      <c r="T800"/>
      <c r="AE800" s="5"/>
      <c r="AF800" s="5"/>
      <c r="AI800"/>
      <c r="AJ800"/>
    </row>
    <row r="801" spans="16:36" x14ac:dyDescent="0.25">
      <c r="P801" s="5"/>
      <c r="T801"/>
      <c r="AE801" s="5"/>
      <c r="AF801" s="5"/>
      <c r="AI801"/>
      <c r="AJ801"/>
    </row>
    <row r="802" spans="16:36" x14ac:dyDescent="0.25">
      <c r="P802" s="5"/>
      <c r="T802"/>
      <c r="AE802" s="5"/>
      <c r="AF802" s="5"/>
      <c r="AI802"/>
      <c r="AJ802"/>
    </row>
    <row r="803" spans="16:36" x14ac:dyDescent="0.25">
      <c r="P803" s="5"/>
      <c r="T803"/>
      <c r="AE803" s="5"/>
      <c r="AF803" s="5"/>
      <c r="AI803"/>
      <c r="AJ803"/>
    </row>
    <row r="804" spans="16:36" x14ac:dyDescent="0.25">
      <c r="P804" s="5"/>
      <c r="T804"/>
      <c r="AE804" s="5"/>
      <c r="AF804" s="5"/>
      <c r="AI804"/>
      <c r="AJ804"/>
    </row>
    <row r="805" spans="16:36" x14ac:dyDescent="0.25">
      <c r="P805" s="5"/>
      <c r="T805"/>
      <c r="AE805" s="5"/>
      <c r="AF805" s="5"/>
      <c r="AI805"/>
      <c r="AJ805"/>
    </row>
    <row r="806" spans="16:36" x14ac:dyDescent="0.25">
      <c r="P806" s="5"/>
      <c r="T806"/>
      <c r="AE806" s="5"/>
      <c r="AF806" s="5"/>
      <c r="AI806"/>
      <c r="AJ806"/>
    </row>
    <row r="807" spans="16:36" x14ac:dyDescent="0.25">
      <c r="P807" s="5"/>
      <c r="T807"/>
      <c r="AE807" s="5"/>
      <c r="AF807" s="5"/>
      <c r="AI807"/>
      <c r="AJ807"/>
    </row>
    <row r="808" spans="16:36" x14ac:dyDescent="0.25">
      <c r="P808" s="5"/>
      <c r="T808"/>
      <c r="AE808" s="5"/>
      <c r="AF808" s="5"/>
      <c r="AI808"/>
      <c r="AJ808"/>
    </row>
    <row r="809" spans="16:36" x14ac:dyDescent="0.25">
      <c r="P809" s="5"/>
      <c r="T809"/>
      <c r="AE809" s="5"/>
      <c r="AF809" s="5"/>
      <c r="AI809"/>
      <c r="AJ809"/>
    </row>
    <row r="810" spans="16:36" x14ac:dyDescent="0.25">
      <c r="P810" s="5"/>
      <c r="T810"/>
      <c r="AE810" s="5"/>
      <c r="AF810" s="5"/>
      <c r="AI810"/>
      <c r="AJ810"/>
    </row>
    <row r="811" spans="16:36" x14ac:dyDescent="0.25">
      <c r="P811" s="5"/>
      <c r="T811"/>
      <c r="AE811" s="5"/>
      <c r="AF811" s="5"/>
      <c r="AI811"/>
      <c r="AJ811"/>
    </row>
    <row r="812" spans="16:36" x14ac:dyDescent="0.25">
      <c r="P812" s="5"/>
      <c r="T812"/>
      <c r="AE812" s="5"/>
      <c r="AF812" s="5"/>
      <c r="AI812"/>
      <c r="AJ812"/>
    </row>
    <row r="813" spans="16:36" x14ac:dyDescent="0.25">
      <c r="P813" s="5"/>
      <c r="T813"/>
      <c r="AE813" s="5"/>
      <c r="AF813" s="5"/>
      <c r="AI813"/>
      <c r="AJ813"/>
    </row>
    <row r="814" spans="16:36" x14ac:dyDescent="0.25">
      <c r="P814" s="5"/>
      <c r="T814"/>
      <c r="AE814" s="5"/>
      <c r="AF814" s="5"/>
      <c r="AI814"/>
      <c r="AJ814"/>
    </row>
    <row r="815" spans="16:36" x14ac:dyDescent="0.25">
      <c r="P815" s="5"/>
      <c r="T815"/>
      <c r="AE815" s="5"/>
      <c r="AF815" s="5"/>
      <c r="AI815"/>
      <c r="AJ815"/>
    </row>
    <row r="816" spans="16:36" x14ac:dyDescent="0.25">
      <c r="P816" s="5"/>
      <c r="T816"/>
      <c r="AE816" s="5"/>
      <c r="AF816" s="5"/>
      <c r="AI816"/>
      <c r="AJ816"/>
    </row>
    <row r="817" spans="16:36" x14ac:dyDescent="0.25">
      <c r="P817" s="5"/>
      <c r="T817"/>
      <c r="AE817" s="5"/>
      <c r="AF817" s="5"/>
      <c r="AI817"/>
      <c r="AJ817"/>
    </row>
    <row r="818" spans="16:36" x14ac:dyDescent="0.25">
      <c r="P818" s="5"/>
      <c r="T818"/>
      <c r="AE818" s="5"/>
      <c r="AF818" s="5"/>
      <c r="AI818"/>
      <c r="AJ818"/>
    </row>
    <row r="819" spans="16:36" x14ac:dyDescent="0.25">
      <c r="P819" s="5"/>
      <c r="T819"/>
      <c r="AE819" s="5"/>
      <c r="AF819" s="5"/>
      <c r="AI819"/>
      <c r="AJ819"/>
    </row>
    <row r="820" spans="16:36" x14ac:dyDescent="0.25">
      <c r="P820" s="5"/>
      <c r="T820"/>
      <c r="AE820" s="5"/>
      <c r="AF820" s="5"/>
      <c r="AI820"/>
      <c r="AJ820"/>
    </row>
    <row r="821" spans="16:36" x14ac:dyDescent="0.25">
      <c r="P821" s="5"/>
      <c r="T821"/>
      <c r="AE821" s="5"/>
      <c r="AF821" s="5"/>
      <c r="AI821"/>
      <c r="AJ821"/>
    </row>
    <row r="822" spans="16:36" x14ac:dyDescent="0.25">
      <c r="P822" s="5"/>
      <c r="T822"/>
      <c r="AE822" s="5"/>
      <c r="AF822" s="5"/>
      <c r="AI822"/>
      <c r="AJ822"/>
    </row>
    <row r="823" spans="16:36" x14ac:dyDescent="0.25">
      <c r="P823" s="5"/>
      <c r="T823"/>
      <c r="AE823" s="5"/>
      <c r="AF823" s="5"/>
      <c r="AI823"/>
      <c r="AJ823"/>
    </row>
    <row r="824" spans="16:36" x14ac:dyDescent="0.25">
      <c r="P824" s="5"/>
      <c r="T824"/>
      <c r="AE824" s="5"/>
      <c r="AF824" s="5"/>
      <c r="AI824"/>
      <c r="AJ824"/>
    </row>
    <row r="825" spans="16:36" x14ac:dyDescent="0.25">
      <c r="P825" s="5"/>
      <c r="T825"/>
      <c r="AE825" s="5"/>
      <c r="AF825" s="5"/>
      <c r="AI825"/>
      <c r="AJ825"/>
    </row>
    <row r="826" spans="16:36" x14ac:dyDescent="0.25">
      <c r="P826" s="5"/>
      <c r="T826"/>
      <c r="AE826" s="5"/>
      <c r="AF826" s="5"/>
      <c r="AI826"/>
      <c r="AJ826"/>
    </row>
    <row r="827" spans="16:36" x14ac:dyDescent="0.25">
      <c r="P827" s="5"/>
      <c r="T827"/>
      <c r="AE827" s="5"/>
      <c r="AF827" s="5"/>
      <c r="AI827"/>
      <c r="AJ827"/>
    </row>
    <row r="828" spans="16:36" x14ac:dyDescent="0.25">
      <c r="P828" s="5"/>
      <c r="T828"/>
      <c r="AE828" s="5"/>
      <c r="AF828" s="5"/>
      <c r="AI828"/>
      <c r="AJ828"/>
    </row>
    <row r="829" spans="16:36" x14ac:dyDescent="0.25">
      <c r="P829" s="5"/>
      <c r="T829"/>
      <c r="AE829" s="5"/>
      <c r="AF829" s="5"/>
      <c r="AI829"/>
      <c r="AJ829"/>
    </row>
    <row r="830" spans="16:36" x14ac:dyDescent="0.25">
      <c r="P830" s="5"/>
      <c r="T830"/>
      <c r="AE830" s="5"/>
      <c r="AF830" s="5"/>
      <c r="AI830"/>
      <c r="AJ830"/>
    </row>
    <row r="831" spans="16:36" x14ac:dyDescent="0.25">
      <c r="P831" s="5"/>
      <c r="T831"/>
      <c r="AE831" s="5"/>
      <c r="AF831" s="5"/>
      <c r="AI831"/>
      <c r="AJ831"/>
    </row>
    <row r="832" spans="16:36" x14ac:dyDescent="0.25">
      <c r="P832" s="5"/>
      <c r="T832"/>
      <c r="AE832" s="5"/>
      <c r="AF832" s="5"/>
      <c r="AI832"/>
      <c r="AJ832"/>
    </row>
    <row r="833" spans="16:36" x14ac:dyDescent="0.25">
      <c r="P833" s="5"/>
      <c r="T833"/>
      <c r="AE833" s="5"/>
      <c r="AF833" s="5"/>
      <c r="AI833"/>
      <c r="AJ833"/>
    </row>
    <row r="834" spans="16:36" x14ac:dyDescent="0.25">
      <c r="P834" s="5"/>
      <c r="T834"/>
      <c r="AE834" s="5"/>
      <c r="AF834" s="5"/>
      <c r="AI834"/>
      <c r="AJ834"/>
    </row>
    <row r="835" spans="16:36" x14ac:dyDescent="0.25">
      <c r="P835" s="5"/>
      <c r="T835"/>
      <c r="AE835" s="5"/>
      <c r="AF835" s="5"/>
      <c r="AI835"/>
      <c r="AJ835"/>
    </row>
    <row r="836" spans="16:36" x14ac:dyDescent="0.25">
      <c r="P836" s="5"/>
      <c r="T836"/>
      <c r="AE836" s="5"/>
      <c r="AF836" s="5"/>
      <c r="AI836"/>
      <c r="AJ836"/>
    </row>
    <row r="837" spans="16:36" x14ac:dyDescent="0.25">
      <c r="P837" s="5"/>
      <c r="T837"/>
      <c r="AE837" s="5"/>
      <c r="AF837" s="5"/>
      <c r="AI837"/>
      <c r="AJ837"/>
    </row>
    <row r="838" spans="16:36" x14ac:dyDescent="0.25">
      <c r="P838" s="5"/>
      <c r="T838"/>
      <c r="AE838" s="5"/>
      <c r="AF838" s="5"/>
      <c r="AI838"/>
      <c r="AJ838"/>
    </row>
    <row r="839" spans="16:36" x14ac:dyDescent="0.25">
      <c r="P839" s="5"/>
      <c r="T839"/>
      <c r="AE839" s="5"/>
      <c r="AF839" s="5"/>
      <c r="AI839"/>
      <c r="AJ839"/>
    </row>
    <row r="840" spans="16:36" x14ac:dyDescent="0.25">
      <c r="P840" s="5"/>
      <c r="T840"/>
      <c r="AE840" s="5"/>
      <c r="AF840" s="5"/>
      <c r="AI840"/>
      <c r="AJ840"/>
    </row>
    <row r="841" spans="16:36" x14ac:dyDescent="0.25">
      <c r="P841" s="5"/>
      <c r="T841"/>
      <c r="AE841" s="5"/>
      <c r="AF841" s="5"/>
      <c r="AI841"/>
      <c r="AJ841"/>
    </row>
    <row r="842" spans="16:36" x14ac:dyDescent="0.25">
      <c r="P842" s="5"/>
      <c r="T842"/>
      <c r="AE842" s="5"/>
      <c r="AF842" s="5"/>
      <c r="AI842"/>
      <c r="AJ842"/>
    </row>
    <row r="843" spans="16:36" x14ac:dyDescent="0.25">
      <c r="P843" s="5"/>
      <c r="T843"/>
      <c r="AE843" s="5"/>
      <c r="AF843" s="5"/>
      <c r="AI843"/>
      <c r="AJ843"/>
    </row>
    <row r="844" spans="16:36" x14ac:dyDescent="0.25">
      <c r="P844" s="5"/>
      <c r="T844"/>
      <c r="AE844" s="5"/>
      <c r="AF844" s="5"/>
      <c r="AI844"/>
      <c r="AJ844"/>
    </row>
    <row r="845" spans="16:36" x14ac:dyDescent="0.25">
      <c r="P845" s="5"/>
      <c r="T845"/>
      <c r="AE845" s="5"/>
      <c r="AF845" s="5"/>
      <c r="AI845"/>
      <c r="AJ845"/>
    </row>
    <row r="846" spans="16:36" x14ac:dyDescent="0.25">
      <c r="P846" s="5"/>
      <c r="T846"/>
      <c r="AE846" s="5"/>
      <c r="AF846" s="5"/>
      <c r="AI846"/>
      <c r="AJ846"/>
    </row>
    <row r="847" spans="16:36" x14ac:dyDescent="0.25">
      <c r="P847" s="5"/>
      <c r="T847"/>
      <c r="AE847" s="5"/>
      <c r="AF847" s="5"/>
      <c r="AI847"/>
      <c r="AJ847"/>
    </row>
    <row r="848" spans="16:36" x14ac:dyDescent="0.25">
      <c r="P848" s="5"/>
      <c r="T848"/>
      <c r="AE848" s="5"/>
      <c r="AF848" s="5"/>
      <c r="AI848"/>
      <c r="AJ848"/>
    </row>
    <row r="849" spans="16:36" x14ac:dyDescent="0.25">
      <c r="P849" s="5"/>
      <c r="T849"/>
      <c r="AE849" s="5"/>
      <c r="AF849" s="5"/>
      <c r="AI849"/>
      <c r="AJ849"/>
    </row>
    <row r="850" spans="16:36" x14ac:dyDescent="0.25">
      <c r="P850" s="5"/>
      <c r="T850"/>
      <c r="AE850" s="5"/>
      <c r="AF850" s="5"/>
      <c r="AI850"/>
      <c r="AJ850"/>
    </row>
    <row r="851" spans="16:36" x14ac:dyDescent="0.25">
      <c r="P851" s="5"/>
      <c r="T851"/>
      <c r="AE851" s="5"/>
      <c r="AF851" s="5"/>
      <c r="AI851"/>
      <c r="AJ851"/>
    </row>
    <row r="852" spans="16:36" x14ac:dyDescent="0.25">
      <c r="P852" s="5"/>
      <c r="T852"/>
      <c r="AE852" s="5"/>
      <c r="AF852" s="5"/>
      <c r="AI852"/>
      <c r="AJ852"/>
    </row>
    <row r="853" spans="16:36" x14ac:dyDescent="0.25">
      <c r="P853" s="5"/>
      <c r="T853"/>
      <c r="AE853" s="5"/>
      <c r="AF853" s="5"/>
      <c r="AI853"/>
      <c r="AJ853"/>
    </row>
    <row r="854" spans="16:36" x14ac:dyDescent="0.25">
      <c r="P854" s="5"/>
      <c r="T854"/>
      <c r="AE854" s="5"/>
      <c r="AF854" s="5"/>
      <c r="AI854"/>
      <c r="AJ854"/>
    </row>
    <row r="855" spans="16:36" x14ac:dyDescent="0.25">
      <c r="P855" s="5"/>
      <c r="T855"/>
      <c r="AE855" s="5"/>
      <c r="AF855" s="5"/>
      <c r="AI855"/>
      <c r="AJ855"/>
    </row>
    <row r="856" spans="16:36" x14ac:dyDescent="0.25">
      <c r="P856" s="5"/>
      <c r="T856"/>
      <c r="AE856" s="5"/>
      <c r="AF856" s="5"/>
      <c r="AI856"/>
      <c r="AJ856"/>
    </row>
    <row r="857" spans="16:36" x14ac:dyDescent="0.25">
      <c r="P857" s="5"/>
      <c r="T857"/>
      <c r="AE857" s="5"/>
      <c r="AF857" s="5"/>
      <c r="AI857"/>
      <c r="AJ857"/>
    </row>
    <row r="858" spans="16:36" x14ac:dyDescent="0.25">
      <c r="P858" s="5"/>
      <c r="T858"/>
      <c r="AE858" s="5"/>
      <c r="AF858" s="5"/>
      <c r="AI858"/>
      <c r="AJ858"/>
    </row>
    <row r="859" spans="16:36" x14ac:dyDescent="0.25">
      <c r="P859" s="5"/>
      <c r="T859"/>
      <c r="AE859" s="5"/>
      <c r="AF859" s="5"/>
      <c r="AI859"/>
      <c r="AJ859"/>
    </row>
    <row r="860" spans="16:36" x14ac:dyDescent="0.25">
      <c r="P860" s="5"/>
      <c r="T860"/>
      <c r="AE860" s="5"/>
      <c r="AF860" s="5"/>
      <c r="AI860"/>
      <c r="AJ860"/>
    </row>
    <row r="861" spans="16:36" x14ac:dyDescent="0.25">
      <c r="P861" s="5"/>
      <c r="T861"/>
      <c r="AE861" s="5"/>
      <c r="AF861" s="5"/>
      <c r="AI861"/>
      <c r="AJ861"/>
    </row>
    <row r="862" spans="16:36" x14ac:dyDescent="0.25">
      <c r="P862" s="5"/>
      <c r="T862"/>
      <c r="AE862" s="5"/>
      <c r="AF862" s="5"/>
      <c r="AI862"/>
      <c r="AJ862"/>
    </row>
    <row r="863" spans="16:36" x14ac:dyDescent="0.25">
      <c r="P863" s="5"/>
      <c r="T863"/>
      <c r="AE863" s="5"/>
      <c r="AF863" s="5"/>
      <c r="AI863"/>
      <c r="AJ863"/>
    </row>
    <row r="864" spans="16:36" x14ac:dyDescent="0.25">
      <c r="P864" s="5"/>
      <c r="T864"/>
      <c r="AE864" s="5"/>
      <c r="AF864" s="5"/>
      <c r="AI864"/>
      <c r="AJ864"/>
    </row>
    <row r="865" spans="16:36" x14ac:dyDescent="0.25">
      <c r="P865" s="5"/>
      <c r="T865"/>
      <c r="AE865" s="5"/>
      <c r="AF865" s="5"/>
      <c r="AI865"/>
      <c r="AJ865"/>
    </row>
    <row r="866" spans="16:36" x14ac:dyDescent="0.25">
      <c r="P866" s="5"/>
      <c r="T866"/>
      <c r="AE866" s="5"/>
      <c r="AF866" s="5"/>
      <c r="AI866"/>
      <c r="AJ866"/>
    </row>
    <row r="867" spans="16:36" x14ac:dyDescent="0.25">
      <c r="P867" s="5"/>
      <c r="T867"/>
      <c r="AE867" s="5"/>
      <c r="AF867" s="5"/>
      <c r="AI867"/>
      <c r="AJ867"/>
    </row>
    <row r="868" spans="16:36" x14ac:dyDescent="0.25">
      <c r="P868" s="5"/>
      <c r="T868"/>
      <c r="AE868" s="5"/>
      <c r="AF868" s="5"/>
      <c r="AI868"/>
      <c r="AJ868"/>
    </row>
    <row r="869" spans="16:36" x14ac:dyDescent="0.25">
      <c r="P869" s="5"/>
      <c r="T869"/>
      <c r="AE869" s="5"/>
      <c r="AF869" s="5"/>
      <c r="AI869"/>
      <c r="AJ869"/>
    </row>
    <row r="870" spans="16:36" x14ac:dyDescent="0.25">
      <c r="P870" s="5"/>
      <c r="T870"/>
      <c r="AE870" s="5"/>
      <c r="AF870" s="5"/>
      <c r="AI870"/>
      <c r="AJ870"/>
    </row>
    <row r="871" spans="16:36" x14ac:dyDescent="0.25">
      <c r="P871" s="5"/>
      <c r="T871"/>
      <c r="AE871" s="5"/>
      <c r="AF871" s="5"/>
      <c r="AI871"/>
      <c r="AJ871"/>
    </row>
    <row r="872" spans="16:36" x14ac:dyDescent="0.25">
      <c r="P872" s="5"/>
      <c r="T872"/>
      <c r="AE872" s="5"/>
      <c r="AF872" s="5"/>
      <c r="AI872"/>
      <c r="AJ872"/>
    </row>
    <row r="873" spans="16:36" x14ac:dyDescent="0.25">
      <c r="P873" s="5"/>
      <c r="T873"/>
      <c r="AE873" s="5"/>
      <c r="AF873" s="5"/>
      <c r="AI873"/>
      <c r="AJ873"/>
    </row>
    <row r="874" spans="16:36" x14ac:dyDescent="0.25">
      <c r="P874" s="5"/>
      <c r="T874"/>
      <c r="AE874" s="5"/>
      <c r="AF874" s="5"/>
      <c r="AI874"/>
      <c r="AJ874"/>
    </row>
    <row r="875" spans="16:36" x14ac:dyDescent="0.25">
      <c r="P875" s="5"/>
      <c r="T875"/>
      <c r="AE875" s="5"/>
      <c r="AF875" s="5"/>
      <c r="AI875"/>
      <c r="AJ875"/>
    </row>
    <row r="876" spans="16:36" x14ac:dyDescent="0.25">
      <c r="P876" s="5"/>
      <c r="T876"/>
      <c r="AE876" s="5"/>
      <c r="AF876" s="5"/>
      <c r="AI876"/>
      <c r="AJ876"/>
    </row>
    <row r="877" spans="16:36" x14ac:dyDescent="0.25">
      <c r="P877" s="5"/>
      <c r="T877"/>
      <c r="AE877" s="5"/>
      <c r="AF877" s="5"/>
      <c r="AI877"/>
      <c r="AJ877"/>
    </row>
    <row r="878" spans="16:36" x14ac:dyDescent="0.25">
      <c r="P878" s="5"/>
      <c r="T878"/>
      <c r="AE878" s="5"/>
      <c r="AF878" s="5"/>
      <c r="AI878"/>
      <c r="AJ878"/>
    </row>
    <row r="879" spans="16:36" x14ac:dyDescent="0.25">
      <c r="P879" s="5"/>
      <c r="T879"/>
      <c r="AE879" s="5"/>
      <c r="AF879" s="5"/>
      <c r="AI879"/>
      <c r="AJ879"/>
    </row>
    <row r="880" spans="16:36" x14ac:dyDescent="0.25">
      <c r="P880" s="5"/>
      <c r="T880"/>
      <c r="AE880" s="5"/>
      <c r="AF880" s="5"/>
      <c r="AI880"/>
      <c r="AJ880"/>
    </row>
    <row r="881" spans="16:36" x14ac:dyDescent="0.25">
      <c r="P881" s="5"/>
      <c r="T881"/>
      <c r="AE881" s="5"/>
      <c r="AF881" s="5"/>
      <c r="AI881"/>
      <c r="AJ881"/>
    </row>
    <row r="882" spans="16:36" x14ac:dyDescent="0.25">
      <c r="P882" s="5"/>
      <c r="T882"/>
      <c r="AE882" s="5"/>
      <c r="AF882" s="5"/>
      <c r="AI882"/>
      <c r="AJ882"/>
    </row>
    <row r="883" spans="16:36" x14ac:dyDescent="0.25">
      <c r="P883" s="5"/>
      <c r="T883"/>
      <c r="AE883" s="5"/>
      <c r="AF883" s="5"/>
      <c r="AI883"/>
      <c r="AJ883"/>
    </row>
    <row r="884" spans="16:36" x14ac:dyDescent="0.25">
      <c r="P884" s="5"/>
      <c r="T884"/>
      <c r="AE884" s="5"/>
      <c r="AF884" s="5"/>
      <c r="AI884"/>
      <c r="AJ884"/>
    </row>
    <row r="885" spans="16:36" x14ac:dyDescent="0.25">
      <c r="P885" s="5"/>
      <c r="T885"/>
      <c r="AE885" s="5"/>
      <c r="AF885" s="5"/>
      <c r="AI885"/>
      <c r="AJ885"/>
    </row>
    <row r="886" spans="16:36" x14ac:dyDescent="0.25">
      <c r="P886" s="5"/>
      <c r="T886"/>
      <c r="AE886" s="5"/>
      <c r="AF886" s="5"/>
      <c r="AI886"/>
      <c r="AJ886"/>
    </row>
    <row r="887" spans="16:36" x14ac:dyDescent="0.25">
      <c r="P887" s="5"/>
      <c r="T887"/>
      <c r="AE887" s="5"/>
      <c r="AF887" s="5"/>
      <c r="AI887"/>
      <c r="AJ887"/>
    </row>
    <row r="888" spans="16:36" x14ac:dyDescent="0.25">
      <c r="P888" s="5"/>
      <c r="T888"/>
      <c r="AE888" s="5"/>
      <c r="AF888" s="5"/>
      <c r="AI888"/>
      <c r="AJ888"/>
    </row>
    <row r="889" spans="16:36" x14ac:dyDescent="0.25">
      <c r="P889" s="5"/>
      <c r="T889"/>
      <c r="AE889" s="5"/>
      <c r="AF889" s="5"/>
      <c r="AI889"/>
      <c r="AJ889"/>
    </row>
    <row r="890" spans="16:36" x14ac:dyDescent="0.25">
      <c r="P890" s="5"/>
      <c r="T890"/>
      <c r="AE890" s="5"/>
      <c r="AF890" s="5"/>
      <c r="AI890"/>
      <c r="AJ890"/>
    </row>
    <row r="891" spans="16:36" x14ac:dyDescent="0.25">
      <c r="P891" s="5"/>
      <c r="T891"/>
      <c r="AE891" s="5"/>
      <c r="AF891" s="5"/>
      <c r="AI891"/>
      <c r="AJ891"/>
    </row>
    <row r="892" spans="16:36" x14ac:dyDescent="0.25">
      <c r="P892" s="5"/>
      <c r="T892"/>
      <c r="AE892" s="5"/>
      <c r="AF892" s="5"/>
      <c r="AI892"/>
      <c r="AJ892"/>
    </row>
    <row r="893" spans="16:36" x14ac:dyDescent="0.25">
      <c r="P893" s="5"/>
      <c r="T893"/>
      <c r="AE893" s="5"/>
      <c r="AF893" s="5"/>
      <c r="AI893"/>
      <c r="AJ893"/>
    </row>
    <row r="894" spans="16:36" x14ac:dyDescent="0.25">
      <c r="P894" s="5"/>
      <c r="T894"/>
      <c r="AE894" s="5"/>
      <c r="AF894" s="5"/>
      <c r="AI894"/>
      <c r="AJ894"/>
    </row>
    <row r="895" spans="16:36" x14ac:dyDescent="0.25">
      <c r="P895" s="5"/>
      <c r="T895"/>
      <c r="AE895" s="5"/>
      <c r="AF895" s="5"/>
      <c r="AI895"/>
      <c r="AJ895"/>
    </row>
    <row r="896" spans="16:36" x14ac:dyDescent="0.25">
      <c r="P896" s="5"/>
      <c r="T896"/>
      <c r="AE896" s="5"/>
      <c r="AF896" s="5"/>
      <c r="AI896"/>
      <c r="AJ896"/>
    </row>
    <row r="897" spans="16:36" x14ac:dyDescent="0.25">
      <c r="P897" s="5"/>
      <c r="T897"/>
      <c r="AE897" s="5"/>
      <c r="AF897" s="5"/>
      <c r="AI897"/>
      <c r="AJ897"/>
    </row>
    <row r="898" spans="16:36" x14ac:dyDescent="0.25">
      <c r="P898" s="5"/>
      <c r="T898"/>
      <c r="AE898" s="5"/>
      <c r="AF898" s="5"/>
      <c r="AI898"/>
      <c r="AJ898"/>
    </row>
    <row r="899" spans="16:36" x14ac:dyDescent="0.25">
      <c r="P899" s="5"/>
      <c r="T899"/>
      <c r="AE899" s="5"/>
      <c r="AF899" s="5"/>
      <c r="AI899"/>
      <c r="AJ899"/>
    </row>
    <row r="900" spans="16:36" x14ac:dyDescent="0.25">
      <c r="P900" s="5"/>
      <c r="T900"/>
      <c r="AE900" s="5"/>
      <c r="AF900" s="5"/>
      <c r="AI900"/>
      <c r="AJ900"/>
    </row>
    <row r="901" spans="16:36" x14ac:dyDescent="0.25">
      <c r="P901" s="5"/>
      <c r="T901"/>
      <c r="AE901" s="5"/>
      <c r="AF901" s="5"/>
      <c r="AI901"/>
      <c r="AJ901"/>
    </row>
    <row r="902" spans="16:36" x14ac:dyDescent="0.25">
      <c r="P902" s="5"/>
      <c r="T902"/>
      <c r="AE902" s="5"/>
      <c r="AF902" s="5"/>
      <c r="AI902"/>
      <c r="AJ902"/>
    </row>
    <row r="903" spans="16:36" x14ac:dyDescent="0.25">
      <c r="P903" s="5"/>
      <c r="T903"/>
      <c r="AE903" s="5"/>
      <c r="AF903" s="5"/>
      <c r="AI903"/>
      <c r="AJ903"/>
    </row>
    <row r="904" spans="16:36" x14ac:dyDescent="0.25">
      <c r="P904" s="5"/>
      <c r="T904"/>
      <c r="AE904" s="5"/>
      <c r="AF904" s="5"/>
      <c r="AI904"/>
      <c r="AJ904"/>
    </row>
    <row r="905" spans="16:36" x14ac:dyDescent="0.25">
      <c r="P905" s="5"/>
      <c r="T905"/>
      <c r="AE905" s="5"/>
      <c r="AF905" s="5"/>
      <c r="AI905"/>
      <c r="AJ905"/>
    </row>
    <row r="906" spans="16:36" x14ac:dyDescent="0.25">
      <c r="P906" s="5"/>
      <c r="T906"/>
      <c r="AE906" s="5"/>
      <c r="AF906" s="5"/>
      <c r="AI906"/>
      <c r="AJ906"/>
    </row>
    <row r="907" spans="16:36" x14ac:dyDescent="0.25">
      <c r="P907" s="5"/>
      <c r="T907"/>
      <c r="AE907" s="5"/>
      <c r="AF907" s="5"/>
      <c r="AI907"/>
      <c r="AJ907"/>
    </row>
    <row r="908" spans="16:36" x14ac:dyDescent="0.25">
      <c r="P908" s="5"/>
      <c r="T908"/>
      <c r="AE908" s="5"/>
      <c r="AF908" s="5"/>
      <c r="AI908"/>
      <c r="AJ908"/>
    </row>
    <row r="909" spans="16:36" x14ac:dyDescent="0.25">
      <c r="P909" s="5"/>
      <c r="T909"/>
      <c r="AE909" s="5"/>
      <c r="AF909" s="5"/>
      <c r="AI909"/>
      <c r="AJ909"/>
    </row>
    <row r="910" spans="16:36" x14ac:dyDescent="0.25">
      <c r="P910" s="5"/>
      <c r="T910"/>
      <c r="AE910" s="5"/>
      <c r="AF910" s="5"/>
      <c r="AI910"/>
      <c r="AJ910"/>
    </row>
    <row r="911" spans="16:36" x14ac:dyDescent="0.25">
      <c r="P911" s="5"/>
      <c r="T911"/>
      <c r="AE911" s="5"/>
      <c r="AF911" s="5"/>
      <c r="AI911"/>
      <c r="AJ911"/>
    </row>
    <row r="912" spans="16:36" x14ac:dyDescent="0.25">
      <c r="P912" s="5"/>
      <c r="T912"/>
      <c r="AE912" s="5"/>
      <c r="AF912" s="5"/>
      <c r="AI912"/>
      <c r="AJ912"/>
    </row>
    <row r="913" spans="16:36" x14ac:dyDescent="0.25">
      <c r="P913" s="5"/>
      <c r="T913"/>
      <c r="AE913" s="5"/>
      <c r="AF913" s="5"/>
      <c r="AI913"/>
      <c r="AJ913"/>
    </row>
    <row r="914" spans="16:36" x14ac:dyDescent="0.25">
      <c r="P914" s="5"/>
      <c r="T914"/>
      <c r="AE914" s="5"/>
      <c r="AF914" s="5"/>
      <c r="AI914"/>
      <c r="AJ914"/>
    </row>
    <row r="915" spans="16:36" x14ac:dyDescent="0.25">
      <c r="P915" s="5"/>
      <c r="T915"/>
      <c r="AE915" s="5"/>
      <c r="AF915" s="5"/>
      <c r="AI915"/>
      <c r="AJ915"/>
    </row>
    <row r="916" spans="16:36" x14ac:dyDescent="0.25">
      <c r="P916" s="5"/>
      <c r="T916"/>
      <c r="AE916" s="5"/>
      <c r="AF916" s="5"/>
      <c r="AI916"/>
      <c r="AJ916"/>
    </row>
    <row r="917" spans="16:36" x14ac:dyDescent="0.25">
      <c r="P917" s="5"/>
      <c r="T917"/>
      <c r="AE917" s="5"/>
      <c r="AF917" s="5"/>
      <c r="AI917"/>
      <c r="AJ917"/>
    </row>
    <row r="918" spans="16:36" x14ac:dyDescent="0.25">
      <c r="P918" s="5"/>
      <c r="T918"/>
      <c r="AE918" s="5"/>
      <c r="AF918" s="5"/>
      <c r="AI918"/>
      <c r="AJ918"/>
    </row>
    <row r="919" spans="16:36" x14ac:dyDescent="0.25">
      <c r="P919" s="5"/>
      <c r="T919"/>
      <c r="AE919" s="5"/>
      <c r="AF919" s="5"/>
      <c r="AI919"/>
      <c r="AJ919"/>
    </row>
    <row r="920" spans="16:36" x14ac:dyDescent="0.25">
      <c r="P920" s="5"/>
      <c r="T920"/>
      <c r="AE920" s="5"/>
      <c r="AF920" s="5"/>
      <c r="AI920"/>
      <c r="AJ920"/>
    </row>
    <row r="921" spans="16:36" x14ac:dyDescent="0.25">
      <c r="P921" s="5"/>
      <c r="T921"/>
      <c r="AE921" s="5"/>
      <c r="AF921" s="5"/>
      <c r="AI921"/>
      <c r="AJ921"/>
    </row>
    <row r="922" spans="16:36" x14ac:dyDescent="0.25">
      <c r="P922" s="5"/>
      <c r="T922"/>
      <c r="AE922" s="5"/>
      <c r="AF922" s="5"/>
      <c r="AI922"/>
      <c r="AJ922"/>
    </row>
    <row r="923" spans="16:36" x14ac:dyDescent="0.25">
      <c r="P923" s="5"/>
      <c r="T923"/>
      <c r="AE923" s="5"/>
      <c r="AF923" s="5"/>
      <c r="AI923"/>
      <c r="AJ923"/>
    </row>
    <row r="924" spans="16:36" x14ac:dyDescent="0.25">
      <c r="P924" s="5"/>
      <c r="T924"/>
      <c r="AE924" s="5"/>
      <c r="AF924" s="5"/>
      <c r="AI924"/>
      <c r="AJ924"/>
    </row>
    <row r="925" spans="16:36" x14ac:dyDescent="0.25">
      <c r="P925" s="5"/>
      <c r="T925"/>
      <c r="AE925" s="5"/>
      <c r="AF925" s="5"/>
      <c r="AI925"/>
      <c r="AJ925"/>
    </row>
    <row r="926" spans="16:36" x14ac:dyDescent="0.25">
      <c r="P926" s="5"/>
      <c r="T926"/>
      <c r="AE926" s="5"/>
      <c r="AF926" s="5"/>
      <c r="AI926"/>
      <c r="AJ926"/>
    </row>
    <row r="927" spans="16:36" x14ac:dyDescent="0.25">
      <c r="P927" s="5"/>
      <c r="T927"/>
      <c r="AE927" s="5"/>
      <c r="AF927" s="5"/>
      <c r="AI927"/>
      <c r="AJ927"/>
    </row>
    <row r="928" spans="16:36" x14ac:dyDescent="0.25">
      <c r="P928" s="5"/>
      <c r="T928"/>
      <c r="AE928" s="5"/>
      <c r="AF928" s="5"/>
      <c r="AI928"/>
      <c r="AJ928"/>
    </row>
    <row r="929" spans="16:36" x14ac:dyDescent="0.25">
      <c r="P929" s="5"/>
      <c r="T929"/>
      <c r="AE929" s="5"/>
      <c r="AF929" s="5"/>
      <c r="AI929"/>
      <c r="AJ929"/>
    </row>
    <row r="930" spans="16:36" x14ac:dyDescent="0.25">
      <c r="P930" s="5"/>
      <c r="T930"/>
      <c r="AE930" s="5"/>
      <c r="AF930" s="5"/>
      <c r="AI930"/>
      <c r="AJ930"/>
    </row>
    <row r="931" spans="16:36" x14ac:dyDescent="0.25">
      <c r="P931" s="5"/>
      <c r="T931"/>
      <c r="AE931" s="5"/>
      <c r="AF931" s="5"/>
      <c r="AI931"/>
      <c r="AJ931"/>
    </row>
    <row r="932" spans="16:36" x14ac:dyDescent="0.25">
      <c r="P932" s="5"/>
      <c r="T932"/>
      <c r="AE932" s="5"/>
      <c r="AF932" s="5"/>
      <c r="AI932"/>
      <c r="AJ932"/>
    </row>
    <row r="933" spans="16:36" x14ac:dyDescent="0.25">
      <c r="P933" s="5"/>
      <c r="T933"/>
      <c r="AE933" s="5"/>
      <c r="AF933" s="5"/>
      <c r="AI933"/>
      <c r="AJ933"/>
    </row>
    <row r="934" spans="16:36" x14ac:dyDescent="0.25">
      <c r="P934" s="5"/>
      <c r="T934"/>
      <c r="AE934" s="5"/>
      <c r="AF934" s="5"/>
      <c r="AI934"/>
      <c r="AJ934"/>
    </row>
    <row r="935" spans="16:36" x14ac:dyDescent="0.25">
      <c r="P935" s="5"/>
      <c r="T935"/>
      <c r="AE935" s="5"/>
      <c r="AF935" s="5"/>
      <c r="AI935"/>
      <c r="AJ935"/>
    </row>
    <row r="936" spans="16:36" x14ac:dyDescent="0.25">
      <c r="P936" s="5"/>
      <c r="T936"/>
      <c r="AE936" s="5"/>
      <c r="AF936" s="5"/>
      <c r="AI936"/>
      <c r="AJ936"/>
    </row>
    <row r="937" spans="16:36" x14ac:dyDescent="0.25">
      <c r="P937" s="5"/>
      <c r="T937"/>
      <c r="AE937" s="5"/>
      <c r="AF937" s="5"/>
      <c r="AI937"/>
      <c r="AJ937"/>
    </row>
    <row r="938" spans="16:36" x14ac:dyDescent="0.25">
      <c r="P938" s="5"/>
      <c r="T938"/>
      <c r="AE938" s="5"/>
      <c r="AF938" s="5"/>
      <c r="AI938"/>
      <c r="AJ938"/>
    </row>
    <row r="939" spans="16:36" x14ac:dyDescent="0.25">
      <c r="P939" s="5"/>
      <c r="T939"/>
      <c r="AE939" s="5"/>
      <c r="AF939" s="5"/>
      <c r="AI939"/>
      <c r="AJ939"/>
    </row>
    <row r="940" spans="16:36" x14ac:dyDescent="0.25">
      <c r="P940" s="5"/>
      <c r="T940"/>
      <c r="AE940" s="5"/>
      <c r="AF940" s="5"/>
      <c r="AI940"/>
      <c r="AJ940"/>
    </row>
    <row r="941" spans="16:36" x14ac:dyDescent="0.25">
      <c r="P941" s="5"/>
      <c r="T941"/>
      <c r="AE941" s="5"/>
      <c r="AF941" s="5"/>
      <c r="AI941"/>
      <c r="AJ941"/>
    </row>
    <row r="942" spans="16:36" x14ac:dyDescent="0.25">
      <c r="P942" s="5"/>
      <c r="T942"/>
      <c r="AE942" s="5"/>
      <c r="AF942" s="5"/>
      <c r="AI942"/>
      <c r="AJ942"/>
    </row>
    <row r="943" spans="16:36" x14ac:dyDescent="0.25">
      <c r="P943" s="5"/>
      <c r="T943"/>
      <c r="AE943" s="5"/>
      <c r="AF943" s="5"/>
      <c r="AI943"/>
      <c r="AJ943"/>
    </row>
    <row r="944" spans="16:36" x14ac:dyDescent="0.25">
      <c r="P944" s="5"/>
      <c r="T944"/>
      <c r="AE944" s="5"/>
      <c r="AF944" s="5"/>
      <c r="AI944"/>
      <c r="AJ944"/>
    </row>
    <row r="945" spans="16:36" x14ac:dyDescent="0.25">
      <c r="P945" s="5"/>
      <c r="T945"/>
      <c r="AE945" s="5"/>
      <c r="AF945" s="5"/>
      <c r="AI945"/>
      <c r="AJ945"/>
    </row>
    <row r="946" spans="16:36" x14ac:dyDescent="0.25">
      <c r="P946" s="5"/>
      <c r="T946"/>
      <c r="AE946" s="5"/>
      <c r="AF946" s="5"/>
      <c r="AI946"/>
      <c r="AJ946"/>
    </row>
    <row r="947" spans="16:36" x14ac:dyDescent="0.25">
      <c r="P947" s="5"/>
      <c r="T947"/>
      <c r="AE947" s="5"/>
      <c r="AF947" s="5"/>
      <c r="AI947"/>
      <c r="AJ947"/>
    </row>
    <row r="948" spans="16:36" x14ac:dyDescent="0.25">
      <c r="P948" s="5"/>
      <c r="T948"/>
      <c r="AE948" s="5"/>
      <c r="AF948" s="5"/>
      <c r="AI948"/>
      <c r="AJ948"/>
    </row>
    <row r="949" spans="16:36" x14ac:dyDescent="0.25">
      <c r="P949" s="5"/>
      <c r="T949"/>
      <c r="AE949" s="5"/>
      <c r="AF949" s="5"/>
      <c r="AI949"/>
      <c r="AJ949"/>
    </row>
    <row r="950" spans="16:36" x14ac:dyDescent="0.25">
      <c r="P950" s="5"/>
      <c r="T950"/>
      <c r="AE950" s="5"/>
      <c r="AF950" s="5"/>
      <c r="AI950"/>
      <c r="AJ950"/>
    </row>
    <row r="951" spans="16:36" x14ac:dyDescent="0.25">
      <c r="P951" s="5"/>
      <c r="T951"/>
      <c r="AE951" s="5"/>
      <c r="AF951" s="5"/>
      <c r="AI951"/>
      <c r="AJ951"/>
    </row>
    <row r="952" spans="16:36" x14ac:dyDescent="0.25">
      <c r="P952" s="5"/>
      <c r="T952"/>
      <c r="AE952" s="5"/>
      <c r="AF952" s="5"/>
      <c r="AI952"/>
      <c r="AJ952"/>
    </row>
    <row r="953" spans="16:36" x14ac:dyDescent="0.25">
      <c r="P953" s="5"/>
      <c r="T953"/>
      <c r="AE953" s="5"/>
      <c r="AF953" s="5"/>
      <c r="AI953"/>
      <c r="AJ953"/>
    </row>
    <row r="954" spans="16:36" x14ac:dyDescent="0.25">
      <c r="P954" s="5"/>
      <c r="T954"/>
      <c r="AE954" s="5"/>
      <c r="AF954" s="5"/>
      <c r="AI954"/>
      <c r="AJ954"/>
    </row>
    <row r="955" spans="16:36" x14ac:dyDescent="0.25">
      <c r="P955" s="5"/>
      <c r="T955"/>
      <c r="AE955" s="5"/>
      <c r="AF955" s="5"/>
      <c r="AI955"/>
      <c r="AJ955"/>
    </row>
    <row r="956" spans="16:36" x14ac:dyDescent="0.25">
      <c r="P956" s="5"/>
      <c r="T956"/>
      <c r="AE956" s="5"/>
      <c r="AF956" s="5"/>
      <c r="AI956"/>
      <c r="AJ956"/>
    </row>
    <row r="957" spans="16:36" x14ac:dyDescent="0.25">
      <c r="P957" s="5"/>
      <c r="T957"/>
      <c r="AE957" s="5"/>
      <c r="AF957" s="5"/>
      <c r="AI957"/>
      <c r="AJ957"/>
    </row>
    <row r="958" spans="16:36" x14ac:dyDescent="0.25">
      <c r="P958" s="5"/>
      <c r="T958"/>
      <c r="AE958" s="5"/>
      <c r="AF958" s="5"/>
      <c r="AI958"/>
      <c r="AJ958"/>
    </row>
    <row r="959" spans="16:36" x14ac:dyDescent="0.25">
      <c r="P959" s="5"/>
      <c r="T959"/>
      <c r="AE959" s="5"/>
      <c r="AF959" s="5"/>
      <c r="AI959"/>
      <c r="AJ959"/>
    </row>
    <row r="960" spans="16:36" x14ac:dyDescent="0.25">
      <c r="P960" s="5"/>
      <c r="T960"/>
      <c r="AE960" s="5"/>
      <c r="AF960" s="5"/>
      <c r="AI960"/>
      <c r="AJ960"/>
    </row>
    <row r="961" spans="16:36" x14ac:dyDescent="0.25">
      <c r="P961" s="5"/>
      <c r="T961"/>
      <c r="AE961" s="5"/>
      <c r="AF961" s="5"/>
      <c r="AI961"/>
      <c r="AJ961"/>
    </row>
    <row r="962" spans="16:36" x14ac:dyDescent="0.25">
      <c r="P962" s="5"/>
      <c r="T962"/>
      <c r="AE962" s="5"/>
      <c r="AF962" s="5"/>
      <c r="AI962"/>
      <c r="AJ962"/>
    </row>
    <row r="963" spans="16:36" x14ac:dyDescent="0.25">
      <c r="P963" s="5"/>
      <c r="T963"/>
      <c r="AE963" s="5"/>
      <c r="AF963" s="5"/>
      <c r="AI963"/>
      <c r="AJ963"/>
    </row>
    <row r="964" spans="16:36" x14ac:dyDescent="0.25">
      <c r="P964" s="5"/>
      <c r="T964"/>
      <c r="AE964" s="5"/>
      <c r="AF964" s="5"/>
      <c r="AI964"/>
      <c r="AJ964"/>
    </row>
    <row r="965" spans="16:36" x14ac:dyDescent="0.25">
      <c r="P965" s="5"/>
      <c r="T965"/>
      <c r="AE965" s="5"/>
      <c r="AF965" s="5"/>
      <c r="AI965"/>
      <c r="AJ965"/>
    </row>
    <row r="966" spans="16:36" x14ac:dyDescent="0.25">
      <c r="P966" s="5"/>
      <c r="T966"/>
      <c r="AE966" s="5"/>
      <c r="AF966" s="5"/>
      <c r="AI966"/>
      <c r="AJ966"/>
    </row>
    <row r="967" spans="16:36" x14ac:dyDescent="0.25">
      <c r="P967" s="5"/>
      <c r="T967"/>
      <c r="AE967" s="5"/>
      <c r="AF967" s="5"/>
      <c r="AI967"/>
      <c r="AJ967"/>
    </row>
    <row r="968" spans="16:36" x14ac:dyDescent="0.25">
      <c r="P968" s="5"/>
      <c r="T968"/>
      <c r="AE968" s="5"/>
      <c r="AF968" s="5"/>
      <c r="AI968"/>
      <c r="AJ968"/>
    </row>
    <row r="969" spans="16:36" x14ac:dyDescent="0.25">
      <c r="P969" s="5"/>
      <c r="T969"/>
      <c r="AE969" s="5"/>
      <c r="AF969" s="5"/>
      <c r="AI969"/>
      <c r="AJ969"/>
    </row>
    <row r="970" spans="16:36" x14ac:dyDescent="0.25">
      <c r="P970" s="5"/>
      <c r="T970"/>
      <c r="AE970" s="5"/>
      <c r="AF970" s="5"/>
      <c r="AI970"/>
      <c r="AJ970"/>
    </row>
    <row r="971" spans="16:36" x14ac:dyDescent="0.25">
      <c r="P971" s="5"/>
      <c r="T971"/>
      <c r="AE971" s="5"/>
      <c r="AF971" s="5"/>
      <c r="AI971"/>
      <c r="AJ971"/>
    </row>
    <row r="972" spans="16:36" x14ac:dyDescent="0.25">
      <c r="P972" s="5"/>
      <c r="T972"/>
      <c r="AE972" s="5"/>
      <c r="AF972" s="5"/>
      <c r="AI972"/>
      <c r="AJ972"/>
    </row>
    <row r="973" spans="16:36" x14ac:dyDescent="0.25">
      <c r="P973" s="5"/>
      <c r="T973"/>
      <c r="AE973" s="5"/>
      <c r="AF973" s="5"/>
      <c r="AI973"/>
      <c r="AJ973"/>
    </row>
    <row r="974" spans="16:36" x14ac:dyDescent="0.25">
      <c r="P974" s="5"/>
      <c r="T974"/>
      <c r="AE974" s="5"/>
      <c r="AF974" s="5"/>
      <c r="AI974"/>
      <c r="AJ974"/>
    </row>
    <row r="975" spans="16:36" x14ac:dyDescent="0.25">
      <c r="P975" s="5"/>
      <c r="T975"/>
      <c r="AE975" s="5"/>
      <c r="AF975" s="5"/>
      <c r="AI975"/>
      <c r="AJ975"/>
    </row>
    <row r="976" spans="16:36" x14ac:dyDescent="0.25">
      <c r="P976" s="5"/>
      <c r="T976"/>
      <c r="AE976" s="5"/>
      <c r="AF976" s="5"/>
      <c r="AI976"/>
      <c r="AJ976"/>
    </row>
    <row r="977" spans="16:36" x14ac:dyDescent="0.25">
      <c r="P977" s="5"/>
      <c r="T977"/>
      <c r="AE977" s="5"/>
      <c r="AF977" s="5"/>
      <c r="AI977"/>
      <c r="AJ977"/>
    </row>
    <row r="978" spans="16:36" x14ac:dyDescent="0.25">
      <c r="P978" s="5"/>
      <c r="T978"/>
      <c r="AE978" s="5"/>
      <c r="AF978" s="5"/>
      <c r="AI978"/>
      <c r="AJ978"/>
    </row>
    <row r="979" spans="16:36" x14ac:dyDescent="0.25">
      <c r="P979" s="5"/>
      <c r="T979"/>
      <c r="AE979" s="5"/>
      <c r="AF979" s="5"/>
      <c r="AI979"/>
      <c r="AJ979"/>
    </row>
    <row r="980" spans="16:36" x14ac:dyDescent="0.25">
      <c r="P980" s="5"/>
      <c r="T980"/>
      <c r="AE980" s="5"/>
      <c r="AF980" s="5"/>
      <c r="AI980"/>
      <c r="AJ980"/>
    </row>
    <row r="981" spans="16:36" x14ac:dyDescent="0.25">
      <c r="P981" s="5"/>
      <c r="T981"/>
      <c r="AE981" s="5"/>
      <c r="AF981" s="5"/>
      <c r="AI981"/>
      <c r="AJ981"/>
    </row>
    <row r="982" spans="16:36" x14ac:dyDescent="0.25">
      <c r="P982" s="5"/>
      <c r="T982"/>
      <c r="AE982" s="5"/>
      <c r="AF982" s="5"/>
      <c r="AI982"/>
      <c r="AJ982"/>
    </row>
    <row r="983" spans="16:36" x14ac:dyDescent="0.25">
      <c r="P983" s="5"/>
      <c r="T983"/>
      <c r="AE983" s="5"/>
      <c r="AF983" s="5"/>
      <c r="AI983"/>
      <c r="AJ983"/>
    </row>
    <row r="984" spans="16:36" x14ac:dyDescent="0.25">
      <c r="P984" s="5"/>
      <c r="T984"/>
      <c r="AE984" s="5"/>
      <c r="AF984" s="5"/>
      <c r="AI984"/>
      <c r="AJ984"/>
    </row>
    <row r="985" spans="16:36" x14ac:dyDescent="0.25">
      <c r="P985" s="5"/>
      <c r="T985"/>
      <c r="AE985" s="5"/>
      <c r="AF985" s="5"/>
      <c r="AI985"/>
      <c r="AJ985"/>
    </row>
    <row r="986" spans="16:36" x14ac:dyDescent="0.25">
      <c r="P986" s="5"/>
      <c r="T986"/>
      <c r="AE986" s="5"/>
      <c r="AF986" s="5"/>
      <c r="AI986"/>
      <c r="AJ986"/>
    </row>
    <row r="987" spans="16:36" x14ac:dyDescent="0.25">
      <c r="P987" s="5"/>
      <c r="T987"/>
      <c r="AE987" s="5"/>
      <c r="AF987" s="5"/>
      <c r="AI987"/>
      <c r="AJ987"/>
    </row>
    <row r="988" spans="16:36" x14ac:dyDescent="0.25">
      <c r="P988" s="5"/>
      <c r="T988"/>
      <c r="AE988" s="5"/>
      <c r="AF988" s="5"/>
      <c r="AI988"/>
      <c r="AJ988"/>
    </row>
    <row r="989" spans="16:36" x14ac:dyDescent="0.25">
      <c r="P989" s="5"/>
      <c r="T989"/>
      <c r="AE989" s="5"/>
      <c r="AF989" s="5"/>
      <c r="AI989"/>
      <c r="AJ989"/>
    </row>
    <row r="990" spans="16:36" x14ac:dyDescent="0.25">
      <c r="P990" s="5"/>
      <c r="T990"/>
      <c r="AE990" s="5"/>
      <c r="AF990" s="5"/>
      <c r="AI990"/>
      <c r="AJ990"/>
    </row>
    <row r="991" spans="16:36" x14ac:dyDescent="0.25">
      <c r="P991" s="5"/>
      <c r="T991"/>
      <c r="AE991" s="5"/>
      <c r="AF991" s="5"/>
      <c r="AI991"/>
      <c r="AJ991"/>
    </row>
    <row r="992" spans="16:36" x14ac:dyDescent="0.25">
      <c r="P992" s="5"/>
      <c r="T992"/>
      <c r="AE992" s="5"/>
      <c r="AF992" s="5"/>
      <c r="AI992"/>
      <c r="AJ992"/>
    </row>
    <row r="993" spans="16:36" x14ac:dyDescent="0.25">
      <c r="P993" s="5"/>
      <c r="T993"/>
      <c r="AE993" s="5"/>
      <c r="AF993" s="5"/>
      <c r="AI993"/>
      <c r="AJ993"/>
    </row>
    <row r="994" spans="16:36" x14ac:dyDescent="0.25">
      <c r="P994" s="5"/>
      <c r="T994"/>
      <c r="AE994" s="5"/>
      <c r="AF994" s="5"/>
      <c r="AI994"/>
      <c r="AJ994"/>
    </row>
    <row r="995" spans="16:36" x14ac:dyDescent="0.25">
      <c r="P995" s="5"/>
      <c r="T995"/>
      <c r="AE995" s="5"/>
      <c r="AF995" s="5"/>
      <c r="AI995"/>
      <c r="AJ995"/>
    </row>
    <row r="996" spans="16:36" x14ac:dyDescent="0.25">
      <c r="P996" s="5"/>
      <c r="T996"/>
      <c r="AE996" s="5"/>
      <c r="AF996" s="5"/>
      <c r="AI996"/>
      <c r="AJ996"/>
    </row>
    <row r="997" spans="16:36" x14ac:dyDescent="0.25">
      <c r="P997" s="5"/>
      <c r="T997"/>
      <c r="AE997" s="5"/>
      <c r="AF997" s="5"/>
      <c r="AI997"/>
      <c r="AJ997"/>
    </row>
    <row r="998" spans="16:36" x14ac:dyDescent="0.25">
      <c r="P998" s="5"/>
      <c r="T998"/>
      <c r="AE998" s="5"/>
      <c r="AF998" s="5"/>
      <c r="AI998"/>
      <c r="AJ998"/>
    </row>
    <row r="999" spans="16:36" x14ac:dyDescent="0.25">
      <c r="P999" s="5"/>
      <c r="T999"/>
      <c r="AE999" s="5"/>
      <c r="AF999" s="5"/>
      <c r="AI999"/>
      <c r="AJ999"/>
    </row>
    <row r="1000" spans="16:36" x14ac:dyDescent="0.25">
      <c r="P1000" s="5"/>
      <c r="T1000"/>
      <c r="AE1000" s="5"/>
      <c r="AF1000" s="5"/>
      <c r="AI1000"/>
      <c r="AJ1000"/>
    </row>
    <row r="1001" spans="16:36" x14ac:dyDescent="0.25">
      <c r="P1001" s="5"/>
      <c r="T1001"/>
      <c r="AE1001" s="5"/>
      <c r="AF1001" s="5"/>
      <c r="AI1001"/>
      <c r="AJ1001"/>
    </row>
    <row r="1002" spans="16:36" x14ac:dyDescent="0.25">
      <c r="P1002" s="5"/>
      <c r="T1002"/>
      <c r="AE1002" s="5"/>
      <c r="AF1002" s="5"/>
      <c r="AI1002"/>
      <c r="AJ1002"/>
    </row>
    <row r="1003" spans="16:36" x14ac:dyDescent="0.25">
      <c r="P1003" s="5"/>
      <c r="T1003"/>
      <c r="AE1003" s="5"/>
      <c r="AF1003" s="5"/>
      <c r="AI1003"/>
      <c r="AJ1003"/>
    </row>
    <row r="1004" spans="16:36" x14ac:dyDescent="0.25">
      <c r="P1004" s="5"/>
      <c r="T1004"/>
      <c r="AE1004" s="5"/>
      <c r="AF1004" s="5"/>
      <c r="AI1004"/>
      <c r="AJ1004"/>
    </row>
    <row r="1005" spans="16:36" x14ac:dyDescent="0.25">
      <c r="P1005" s="5"/>
      <c r="T1005"/>
      <c r="AE1005" s="5"/>
      <c r="AF1005" s="5"/>
      <c r="AI1005"/>
      <c r="AJ1005"/>
    </row>
    <row r="1006" spans="16:36" x14ac:dyDescent="0.25">
      <c r="P1006" s="5"/>
      <c r="T1006"/>
      <c r="AE1006" s="5"/>
      <c r="AF1006" s="5"/>
      <c r="AI1006"/>
      <c r="AJ1006"/>
    </row>
    <row r="1007" spans="16:36" x14ac:dyDescent="0.25">
      <c r="P1007" s="5"/>
      <c r="T1007"/>
      <c r="AE1007" s="5"/>
      <c r="AF1007" s="5"/>
      <c r="AI1007"/>
      <c r="AJ1007"/>
    </row>
    <row r="1008" spans="16:36" x14ac:dyDescent="0.25">
      <c r="P1008" s="5"/>
      <c r="T1008"/>
      <c r="AE1008" s="5"/>
      <c r="AF1008" s="5"/>
      <c r="AI1008"/>
      <c r="AJ1008"/>
    </row>
    <row r="1009" spans="16:36" x14ac:dyDescent="0.25">
      <c r="P1009" s="5"/>
      <c r="T1009"/>
      <c r="AE1009" s="5"/>
      <c r="AF1009" s="5"/>
      <c r="AI1009"/>
      <c r="AJ1009"/>
    </row>
    <row r="1010" spans="16:36" x14ac:dyDescent="0.25">
      <c r="P1010" s="5"/>
      <c r="T1010"/>
      <c r="AE1010" s="5"/>
      <c r="AF1010" s="5"/>
      <c r="AI1010"/>
      <c r="AJ1010"/>
    </row>
    <row r="1011" spans="16:36" x14ac:dyDescent="0.25">
      <c r="P1011" s="5"/>
      <c r="T1011"/>
      <c r="AE1011" s="5"/>
      <c r="AF1011" s="5"/>
      <c r="AI1011"/>
      <c r="AJ1011"/>
    </row>
    <row r="1012" spans="16:36" x14ac:dyDescent="0.25">
      <c r="P1012" s="5"/>
      <c r="T1012"/>
      <c r="AE1012" s="5"/>
      <c r="AF1012" s="5"/>
      <c r="AI1012"/>
      <c r="AJ1012"/>
    </row>
    <row r="1013" spans="16:36" x14ac:dyDescent="0.25">
      <c r="P1013" s="5"/>
      <c r="T1013"/>
      <c r="AE1013" s="5"/>
      <c r="AF1013" s="5"/>
      <c r="AI1013"/>
      <c r="AJ1013"/>
    </row>
    <row r="1014" spans="16:36" x14ac:dyDescent="0.25">
      <c r="P1014" s="5"/>
      <c r="T1014"/>
      <c r="AE1014" s="5"/>
      <c r="AF1014" s="5"/>
      <c r="AI1014"/>
      <c r="AJ1014"/>
    </row>
    <row r="1015" spans="16:36" x14ac:dyDescent="0.25">
      <c r="P1015" s="5"/>
      <c r="T1015"/>
      <c r="AE1015" s="5"/>
      <c r="AF1015" s="5"/>
      <c r="AI1015"/>
      <c r="AJ1015"/>
    </row>
    <row r="1016" spans="16:36" x14ac:dyDescent="0.25">
      <c r="P1016" s="5"/>
      <c r="T1016"/>
      <c r="AE1016" s="5"/>
      <c r="AF1016" s="5"/>
      <c r="AI1016"/>
      <c r="AJ1016"/>
    </row>
    <row r="1017" spans="16:36" x14ac:dyDescent="0.25">
      <c r="P1017" s="5"/>
      <c r="T1017"/>
      <c r="AE1017" s="5"/>
      <c r="AF1017" s="5"/>
      <c r="AI1017"/>
      <c r="AJ1017"/>
    </row>
    <row r="1018" spans="16:36" x14ac:dyDescent="0.25">
      <c r="Q1018" s="5"/>
      <c r="T1018"/>
      <c r="AF1018" s="5"/>
      <c r="AG1018" s="5"/>
      <c r="AI1018"/>
      <c r="AJ1018"/>
    </row>
    <row r="1019" spans="16:36" x14ac:dyDescent="0.25">
      <c r="Q1019" s="5"/>
      <c r="T1019"/>
      <c r="AF1019" s="5"/>
      <c r="AG1019" s="5"/>
      <c r="AI1019"/>
      <c r="AJ1019"/>
    </row>
    <row r="1020" spans="16:36" x14ac:dyDescent="0.25">
      <c r="Q1020" s="5"/>
      <c r="T1020"/>
      <c r="AF1020" s="5"/>
      <c r="AG1020" s="5"/>
      <c r="AI1020"/>
      <c r="AJ1020"/>
    </row>
    <row r="1021" spans="16:36" x14ac:dyDescent="0.25">
      <c r="Q1021" s="5"/>
      <c r="T1021"/>
      <c r="AF1021" s="5"/>
      <c r="AG1021" s="5"/>
      <c r="AI1021"/>
      <c r="AJ1021"/>
    </row>
    <row r="1022" spans="16:36" x14ac:dyDescent="0.25">
      <c r="Q1022" s="5"/>
      <c r="T1022"/>
      <c r="AF1022" s="5"/>
      <c r="AG1022" s="5"/>
      <c r="AI1022"/>
      <c r="AJ1022"/>
    </row>
    <row r="1023" spans="16:36" x14ac:dyDescent="0.25">
      <c r="Q1023" s="5"/>
      <c r="T1023"/>
      <c r="AF1023" s="5"/>
      <c r="AG1023" s="5"/>
      <c r="AI1023"/>
      <c r="AJ1023"/>
    </row>
    <row r="1024" spans="16:36" x14ac:dyDescent="0.25">
      <c r="Q1024" s="5"/>
      <c r="T1024"/>
      <c r="AF1024" s="5"/>
      <c r="AG1024" s="5"/>
      <c r="AI1024"/>
      <c r="AJ1024"/>
    </row>
    <row r="1025" spans="17:36" x14ac:dyDescent="0.25">
      <c r="Q1025" s="5"/>
      <c r="T1025"/>
      <c r="AF1025" s="5"/>
      <c r="AG1025" s="5"/>
      <c r="AI1025"/>
      <c r="AJ1025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63CA-7189-41AF-8477-F94771383696}">
  <dimension ref="A1:B170"/>
  <sheetViews>
    <sheetView topLeftCell="A128" workbookViewId="0">
      <selection activeCell="A3" sqref="A3:A151"/>
    </sheetView>
  </sheetViews>
  <sheetFormatPr defaultRowHeight="15" x14ac:dyDescent="0.25"/>
  <cols>
    <col min="1" max="1" width="41.28515625" bestFit="1" customWidth="1"/>
    <col min="2" max="2" width="42.42578125" bestFit="1" customWidth="1"/>
    <col min="3" max="3" width="15.7109375" bestFit="1" customWidth="1"/>
  </cols>
  <sheetData>
    <row r="1" spans="1:2" x14ac:dyDescent="0.25">
      <c r="A1" s="7" t="s">
        <v>437</v>
      </c>
      <c r="B1" s="7"/>
    </row>
    <row r="2" spans="1:2" x14ac:dyDescent="0.25">
      <c r="A2" t="s">
        <v>581</v>
      </c>
      <c r="B2" s="5" t="e">
        <f>_xlfn.XLOOKUP(A2,'BASE DE NOMES'!A:A,'BASE DE NOMES'!A:A)</f>
        <v>#N/A</v>
      </c>
    </row>
    <row r="3" spans="1:2" x14ac:dyDescent="0.25">
      <c r="A3" t="s">
        <v>367</v>
      </c>
      <c r="B3" s="5" t="e">
        <f>_xlfn.XLOOKUP(A3,'BASE DE NOMES'!A:A,'BASE DE NOMES'!A:A)</f>
        <v>#N/A</v>
      </c>
    </row>
    <row r="4" spans="1:2" x14ac:dyDescent="0.25">
      <c r="A4" t="s">
        <v>207</v>
      </c>
      <c r="B4" s="5" t="str">
        <f>_xlfn.XLOOKUP(A4,'BASE DE NOMES'!A:A,'BASE DE NOMES'!A:A)</f>
        <v>AILTON LUCENA</v>
      </c>
    </row>
    <row r="5" spans="1:2" x14ac:dyDescent="0.25">
      <c r="A5" t="s">
        <v>106</v>
      </c>
      <c r="B5" s="5" t="str">
        <f>_xlfn.XLOOKUP(A5,'BASE DE NOMES'!A:A,'BASE DE NOMES'!A:A)</f>
        <v>ALBERTO DO NASCIMENTO SANTOS</v>
      </c>
    </row>
    <row r="6" spans="1:2" x14ac:dyDescent="0.25">
      <c r="A6" t="s">
        <v>203</v>
      </c>
      <c r="B6" s="5" t="e">
        <f>_xlfn.XLOOKUP(A6,'BASE DE NOMES'!A:A,'BASE DE NOMES'!A:A)</f>
        <v>#N/A</v>
      </c>
    </row>
    <row r="7" spans="1:2" x14ac:dyDescent="0.25">
      <c r="A7" t="s">
        <v>236</v>
      </c>
      <c r="B7" s="5" t="str">
        <f>_xlfn.XLOOKUP(A7,'BASE DE NOMES'!A:A,'BASE DE NOMES'!A:A)</f>
        <v>ALESSANDRO BATISTA DA ROCHA</v>
      </c>
    </row>
    <row r="8" spans="1:2" x14ac:dyDescent="0.25">
      <c r="A8" t="s">
        <v>394</v>
      </c>
      <c r="B8" s="5" t="str">
        <f>_xlfn.XLOOKUP(A8,'BASE DE NOMES'!A:A,'BASE DE NOMES'!A:A)</f>
        <v>ALINE DE SOUZA SANTOS</v>
      </c>
    </row>
    <row r="9" spans="1:2" x14ac:dyDescent="0.25">
      <c r="A9" t="s">
        <v>621</v>
      </c>
      <c r="B9" s="5" t="str">
        <f>_xlfn.XLOOKUP(A9,'BASE DE NOMES'!A:A,'BASE DE NOMES'!A:A)</f>
        <v>ANA PAULA JESUS DOS SANTOS</v>
      </c>
    </row>
    <row r="10" spans="1:2" x14ac:dyDescent="0.25">
      <c r="A10" t="s">
        <v>44</v>
      </c>
      <c r="B10" s="5" t="str">
        <f>_xlfn.XLOOKUP(A10,'BASE DE NOMES'!A:A,'BASE DE NOMES'!A:A)</f>
        <v>ANA PAULA NEVES DA SILVA LEITE</v>
      </c>
    </row>
    <row r="11" spans="1:2" x14ac:dyDescent="0.25">
      <c r="A11" t="s">
        <v>538</v>
      </c>
      <c r="B11" s="5" t="str">
        <f>_xlfn.XLOOKUP(A11,'BASE DE NOMES'!A:A,'BASE DE NOMES'!A:A)</f>
        <v>ANADILZA ALMEIDA SANTOS</v>
      </c>
    </row>
    <row r="12" spans="1:2" x14ac:dyDescent="0.25">
      <c r="A12" t="s">
        <v>161</v>
      </c>
      <c r="B12" s="5" t="str">
        <f>_xlfn.XLOOKUP(A12,'BASE DE NOMES'!A:A,'BASE DE NOMES'!A:A)</f>
        <v>ANALIA GUIMARAES MARQUES</v>
      </c>
    </row>
    <row r="13" spans="1:2" x14ac:dyDescent="0.25">
      <c r="A13" t="s">
        <v>63</v>
      </c>
      <c r="B13" s="5" t="e">
        <f>_xlfn.XLOOKUP(A13,'BASE DE NOMES'!A:A,'BASE DE NOMES'!A:A)</f>
        <v>#N/A</v>
      </c>
    </row>
    <row r="14" spans="1:2" x14ac:dyDescent="0.25">
      <c r="A14" t="s">
        <v>604</v>
      </c>
      <c r="B14" s="5" t="str">
        <f>_xlfn.XLOOKUP(A14,'BASE DE NOMES'!A:A,'BASE DE NOMES'!A:A)</f>
        <v>BEATRIZ DOS SANTOS NUNES</v>
      </c>
    </row>
    <row r="15" spans="1:2" x14ac:dyDescent="0.25">
      <c r="A15" t="s">
        <v>465</v>
      </c>
      <c r="B15" s="5" t="str">
        <f>_xlfn.XLOOKUP(A15,'BASE DE NOMES'!A:A,'BASE DE NOMES'!A:A)</f>
        <v>BRENDA SILVA DE BRITO CARNEIRO</v>
      </c>
    </row>
    <row r="16" spans="1:2" x14ac:dyDescent="0.25">
      <c r="A16" t="s">
        <v>585</v>
      </c>
      <c r="B16" s="5" t="str">
        <f>_xlfn.XLOOKUP(A16,'BASE DE NOMES'!A:A,'BASE DE NOMES'!A:A)</f>
        <v>BRUNA DOS SANTOS MATOS</v>
      </c>
    </row>
    <row r="17" spans="1:2" x14ac:dyDescent="0.25">
      <c r="A17" t="s">
        <v>533</v>
      </c>
      <c r="B17" s="5" t="str">
        <f>_xlfn.XLOOKUP(A17,'BASE DE NOMES'!A:A,'BASE DE NOMES'!A:A)</f>
        <v>CAMILA DOS SANTOS NASCIMENTO</v>
      </c>
    </row>
    <row r="18" spans="1:2" x14ac:dyDescent="0.25">
      <c r="A18" t="s">
        <v>608</v>
      </c>
      <c r="B18" s="5" t="e">
        <f>_xlfn.XLOOKUP(A18,'BASE DE NOMES'!A:A,'BASE DE NOMES'!A:A)</f>
        <v>#N/A</v>
      </c>
    </row>
    <row r="19" spans="1:2" x14ac:dyDescent="0.25">
      <c r="A19" t="s">
        <v>493</v>
      </c>
      <c r="B19" s="5" t="e">
        <f>_xlfn.XLOOKUP(A19,'BASE DE NOMES'!A:A,'BASE DE NOMES'!A:A)</f>
        <v>#N/A</v>
      </c>
    </row>
    <row r="20" spans="1:2" x14ac:dyDescent="0.25">
      <c r="A20" t="s">
        <v>624</v>
      </c>
      <c r="B20" s="5" t="e">
        <f>_xlfn.XLOOKUP(A20,'BASE DE NOMES'!A:A,'BASE DE NOMES'!A:A)</f>
        <v>#N/A</v>
      </c>
    </row>
    <row r="21" spans="1:2" x14ac:dyDescent="0.25">
      <c r="A21" t="s">
        <v>548</v>
      </c>
      <c r="B21" s="5" t="e">
        <f>_xlfn.XLOOKUP(A21,'BASE DE NOMES'!A:A,'BASE DE NOMES'!A:A)</f>
        <v>#N/A</v>
      </c>
    </row>
    <row r="22" spans="1:2" x14ac:dyDescent="0.25">
      <c r="A22" t="s">
        <v>459</v>
      </c>
      <c r="B22" s="5" t="e">
        <f>_xlfn.XLOOKUP(A22,'BASE DE NOMES'!A:A,'BASE DE NOMES'!A:A)</f>
        <v>#N/A</v>
      </c>
    </row>
    <row r="23" spans="1:2" x14ac:dyDescent="0.25">
      <c r="A23" t="s">
        <v>359</v>
      </c>
      <c r="B23" s="5" t="str">
        <f>_xlfn.XLOOKUP(A23,'BASE DE NOMES'!A:A,'BASE DE NOMES'!A:A)</f>
        <v>COSMINHA PEREIRA COELHO</v>
      </c>
    </row>
    <row r="24" spans="1:2" x14ac:dyDescent="0.25">
      <c r="A24" t="s">
        <v>222</v>
      </c>
      <c r="B24" s="5" t="e">
        <f>_xlfn.XLOOKUP(A24,'BASE DE NOMES'!A:A,'BASE DE NOMES'!A:A)</f>
        <v>#N/A</v>
      </c>
    </row>
    <row r="25" spans="1:2" x14ac:dyDescent="0.25">
      <c r="A25" t="s">
        <v>462</v>
      </c>
      <c r="B25" s="5" t="e">
        <f>_xlfn.XLOOKUP(A25,'BASE DE NOMES'!A:A,'BASE DE NOMES'!A:A)</f>
        <v>#N/A</v>
      </c>
    </row>
    <row r="26" spans="1:2" x14ac:dyDescent="0.25">
      <c r="A26" t="s">
        <v>378</v>
      </c>
      <c r="B26" s="5" t="str">
        <f>_xlfn.XLOOKUP(A26,'BASE DE NOMES'!A:A,'BASE DE NOMES'!A:A)</f>
        <v>DANIELLE CUNHA BORGES</v>
      </c>
    </row>
    <row r="27" spans="1:2" x14ac:dyDescent="0.25">
      <c r="A27" t="s">
        <v>382</v>
      </c>
      <c r="B27" s="5" t="str">
        <f>_xlfn.XLOOKUP(A27,'BASE DE NOMES'!A:A,'BASE DE NOMES'!A:A)</f>
        <v>DANILO RIBEIRO SANTANA</v>
      </c>
    </row>
    <row r="28" spans="1:2" x14ac:dyDescent="0.25">
      <c r="A28" t="s">
        <v>594</v>
      </c>
      <c r="B28" s="5" t="str">
        <f>_xlfn.XLOOKUP(A28,'BASE DE NOMES'!A:A,'BASE DE NOMES'!A:A)</f>
        <v>DEBORA TEIXEIRA DOS SANTOS</v>
      </c>
    </row>
    <row r="29" spans="1:2" x14ac:dyDescent="0.25">
      <c r="A29" t="s">
        <v>571</v>
      </c>
      <c r="B29" s="5" t="str">
        <f>_xlfn.XLOOKUP(A29,'BASE DE NOMES'!A:A,'BASE DE NOMES'!A:A)</f>
        <v>DEISIANE OLIVEIRA BISPO</v>
      </c>
    </row>
    <row r="30" spans="1:2" x14ac:dyDescent="0.25">
      <c r="A30" t="s">
        <v>169</v>
      </c>
      <c r="B30" s="5" t="str">
        <f>_xlfn.XLOOKUP(A30,'BASE DE NOMES'!A:A,'BASE DE NOMES'!A:A)</f>
        <v>DENISE DOS SANTOS</v>
      </c>
    </row>
    <row r="31" spans="1:2" x14ac:dyDescent="0.25">
      <c r="A31" t="s">
        <v>155</v>
      </c>
      <c r="B31" s="5" t="str">
        <f>_xlfn.XLOOKUP(A31,'BASE DE NOMES'!A:A,'BASE DE NOMES'!A:A)</f>
        <v>DJENANE DA SILVA SANTANA</v>
      </c>
    </row>
    <row r="32" spans="1:2" x14ac:dyDescent="0.25">
      <c r="A32" t="s">
        <v>589</v>
      </c>
      <c r="B32" s="5" t="str">
        <f>_xlfn.XLOOKUP(A32,'BASE DE NOMES'!A:A,'BASE DE NOMES'!A:A)</f>
        <v>DOMINGOS DE JESUS SANTOS</v>
      </c>
    </row>
    <row r="33" spans="1:2" x14ac:dyDescent="0.25">
      <c r="A33" t="s">
        <v>312</v>
      </c>
      <c r="B33" s="5" t="str">
        <f>_xlfn.XLOOKUP(A33,'BASE DE NOMES'!A:A,'BASE DE NOMES'!A:A)</f>
        <v>DORIVALDO SANTOS ARAUJO</v>
      </c>
    </row>
    <row r="34" spans="1:2" x14ac:dyDescent="0.25">
      <c r="A34" t="s">
        <v>218</v>
      </c>
      <c r="B34" s="5" t="e">
        <f>_xlfn.XLOOKUP(A34,'BASE DE NOMES'!A:A,'BASE DE NOMES'!A:A)</f>
        <v>#N/A</v>
      </c>
    </row>
    <row r="35" spans="1:2" x14ac:dyDescent="0.25">
      <c r="A35" t="s">
        <v>64</v>
      </c>
      <c r="B35" s="5" t="str">
        <f>_xlfn.XLOOKUP(A35,'BASE DE NOMES'!A:A,'BASE DE NOMES'!A:A)</f>
        <v>ELAINE DA SILVA NEVES</v>
      </c>
    </row>
    <row r="36" spans="1:2" x14ac:dyDescent="0.25">
      <c r="A36" t="s">
        <v>178</v>
      </c>
      <c r="B36" s="5" t="str">
        <f>_xlfn.XLOOKUP(A36,'BASE DE NOMES'!A:A,'BASE DE NOMES'!A:A)</f>
        <v>ELIANE DOS SANTOS SILVA</v>
      </c>
    </row>
    <row r="37" spans="1:2" x14ac:dyDescent="0.25">
      <c r="A37" t="s">
        <v>265</v>
      </c>
      <c r="B37" s="5" t="str">
        <f>_xlfn.XLOOKUP(A37,'BASE DE NOMES'!A:A,'BASE DE NOMES'!A:A)</f>
        <v>ELIENE PEREIRA</v>
      </c>
    </row>
    <row r="38" spans="1:2" x14ac:dyDescent="0.25">
      <c r="A38" t="s">
        <v>37</v>
      </c>
      <c r="B38" s="5" t="e">
        <f>_xlfn.XLOOKUP(A38,'BASE DE NOMES'!A:A,'BASE DE NOMES'!A:A)</f>
        <v>#N/A</v>
      </c>
    </row>
    <row r="39" spans="1:2" x14ac:dyDescent="0.25">
      <c r="A39" t="s">
        <v>379</v>
      </c>
      <c r="B39" s="5" t="str">
        <f>_xlfn.XLOOKUP(A39,'BASE DE NOMES'!A:A,'BASE DE NOMES'!A:A)</f>
        <v>ERICA DA SILVA LIMA</v>
      </c>
    </row>
    <row r="40" spans="1:2" x14ac:dyDescent="0.25">
      <c r="A40" t="s">
        <v>457</v>
      </c>
      <c r="B40" s="5" t="str">
        <f>_xlfn.XLOOKUP(A40,'BASE DE NOMES'!A:A,'BASE DE NOMES'!A:A)</f>
        <v>FABRICIO SOUZA DOS SANTOS</v>
      </c>
    </row>
    <row r="41" spans="1:2" x14ac:dyDescent="0.25">
      <c r="A41" t="s">
        <v>239</v>
      </c>
      <c r="B41" s="5" t="str">
        <f>_xlfn.XLOOKUP(A41,'BASE DE NOMES'!A:A,'BASE DE NOMES'!A:A)</f>
        <v>FAGNER OLIVEIRA DOS SANTOS</v>
      </c>
    </row>
    <row r="42" spans="1:2" x14ac:dyDescent="0.25">
      <c r="A42" t="s">
        <v>456</v>
      </c>
      <c r="B42" s="5" t="e">
        <f>_xlfn.XLOOKUP(A42,'BASE DE NOMES'!A:A,'BASE DE NOMES'!A:A)</f>
        <v>#N/A</v>
      </c>
    </row>
    <row r="43" spans="1:2" x14ac:dyDescent="0.25">
      <c r="A43" t="s">
        <v>595</v>
      </c>
      <c r="B43" s="5" t="str">
        <f>_xlfn.XLOOKUP(A43,'BASE DE NOMES'!A:A,'BASE DE NOMES'!A:A)</f>
        <v>FRANCIELE ALMEIDA SANTOS</v>
      </c>
    </row>
    <row r="44" spans="1:2" x14ac:dyDescent="0.25">
      <c r="A44" t="s">
        <v>402</v>
      </c>
      <c r="B44" s="5" t="str">
        <f>_xlfn.XLOOKUP(A44,'BASE DE NOMES'!A:A,'BASE DE NOMES'!A:A)</f>
        <v>FRANCISCA SELMA SANTOS DE SALES</v>
      </c>
    </row>
    <row r="45" spans="1:2" x14ac:dyDescent="0.25">
      <c r="A45" t="s">
        <v>545</v>
      </c>
      <c r="B45" s="5" t="str">
        <f>_xlfn.XLOOKUP(A45,'BASE DE NOMES'!A:A,'BASE DE NOMES'!A:A)</f>
        <v>GABRIEL FONSECA DOS SANTOS</v>
      </c>
    </row>
    <row r="46" spans="1:2" x14ac:dyDescent="0.25">
      <c r="A46" t="s">
        <v>546</v>
      </c>
      <c r="B46" s="5" t="e">
        <f>_xlfn.XLOOKUP(A46,'BASE DE NOMES'!A:A,'BASE DE NOMES'!A:A)</f>
        <v>#N/A</v>
      </c>
    </row>
    <row r="47" spans="1:2" x14ac:dyDescent="0.25">
      <c r="A47" t="s">
        <v>204</v>
      </c>
      <c r="B47" s="5" t="e">
        <f>_xlfn.XLOOKUP(A47,'BASE DE NOMES'!A:A,'BASE DE NOMES'!A:A)</f>
        <v>#N/A</v>
      </c>
    </row>
    <row r="48" spans="1:2" x14ac:dyDescent="0.25">
      <c r="A48" t="s">
        <v>240</v>
      </c>
      <c r="B48" s="5" t="str">
        <f>_xlfn.XLOOKUP(A48,'BASE DE NOMES'!A:A,'BASE DE NOMES'!A:A)</f>
        <v>GEIZA VITORIA DE JESUS</v>
      </c>
    </row>
    <row r="49" spans="1:2" x14ac:dyDescent="0.25">
      <c r="A49" t="s">
        <v>590</v>
      </c>
      <c r="B49" s="5" t="e">
        <f>_xlfn.XLOOKUP(A49,'BASE DE NOMES'!A:A,'BASE DE NOMES'!A:A)</f>
        <v>#N/A</v>
      </c>
    </row>
    <row r="50" spans="1:2" x14ac:dyDescent="0.25">
      <c r="A50" t="s">
        <v>363</v>
      </c>
      <c r="B50" s="5" t="str">
        <f>_xlfn.XLOOKUP(A50,'BASE DE NOMES'!A:A,'BASE DE NOMES'!A:A)</f>
        <v>GESSICA SOARES DOS SANTOS</v>
      </c>
    </row>
    <row r="51" spans="1:2" x14ac:dyDescent="0.25">
      <c r="A51" t="s">
        <v>115</v>
      </c>
      <c r="B51" s="5" t="str">
        <f>_xlfn.XLOOKUP(A51,'BASE DE NOMES'!A:A,'BASE DE NOMES'!A:A)</f>
        <v>GHEOMAR DOS SANTOS NASCIMENTO</v>
      </c>
    </row>
    <row r="52" spans="1:2" x14ac:dyDescent="0.25">
      <c r="A52" t="s">
        <v>165</v>
      </c>
      <c r="B52" s="5" t="str">
        <f>_xlfn.XLOOKUP(A52,'BASE DE NOMES'!A:A,'BASE DE NOMES'!A:A)</f>
        <v>GILBERTO DOS SANTOS</v>
      </c>
    </row>
    <row r="53" spans="1:2" x14ac:dyDescent="0.25">
      <c r="A53" t="s">
        <v>152</v>
      </c>
      <c r="B53" s="5" t="str">
        <f>_xlfn.XLOOKUP(A53,'BASE DE NOMES'!A:A,'BASE DE NOMES'!A:A)</f>
        <v>GILBERTO GALDINO DOS SANTOS</v>
      </c>
    </row>
    <row r="54" spans="1:2" x14ac:dyDescent="0.25">
      <c r="A54" t="s">
        <v>116</v>
      </c>
      <c r="B54" s="5" t="e">
        <f>_xlfn.XLOOKUP(A54,'BASE DE NOMES'!A:A,'BASE DE NOMES'!A:A)</f>
        <v>#N/A</v>
      </c>
    </row>
    <row r="55" spans="1:2" x14ac:dyDescent="0.25">
      <c r="A55" t="s">
        <v>117</v>
      </c>
      <c r="B55" s="5" t="str">
        <f>_xlfn.XLOOKUP(A55,'BASE DE NOMES'!A:A,'BASE DE NOMES'!A:A)</f>
        <v>GILVAN JOSE DOS SANTOS</v>
      </c>
    </row>
    <row r="56" spans="1:2" x14ac:dyDescent="0.25">
      <c r="A56" t="s">
        <v>442</v>
      </c>
      <c r="B56" s="5" t="str">
        <f>_xlfn.XLOOKUP(A56,'BASE DE NOMES'!A:A,'BASE DE NOMES'!A:A)</f>
        <v>GILVANIA LOPES FREITAS</v>
      </c>
    </row>
    <row r="57" spans="1:2" x14ac:dyDescent="0.25">
      <c r="A57" t="s">
        <v>313</v>
      </c>
      <c r="B57" s="5" t="str">
        <f>_xlfn.XLOOKUP(A57,'BASE DE NOMES'!A:A,'BASE DE NOMES'!A:A)</f>
        <v>GINALDO SOARES DOS SANTOS</v>
      </c>
    </row>
    <row r="58" spans="1:2" x14ac:dyDescent="0.25">
      <c r="A58" t="s">
        <v>364</v>
      </c>
      <c r="B58" s="5" t="str">
        <f>_xlfn.XLOOKUP(A58,'BASE DE NOMES'!A:A,'BASE DE NOMES'!A:A)</f>
        <v>GINIELMA MARIA DOS SANTOS</v>
      </c>
    </row>
    <row r="59" spans="1:2" x14ac:dyDescent="0.25">
      <c r="A59" t="s">
        <v>618</v>
      </c>
      <c r="B59" s="5" t="str">
        <f>_xlfn.XLOOKUP(A59,'BASE DE NOMES'!A:A,'BASE DE NOMES'!A:A)</f>
        <v>GIOVANNA DOS SANTOS NASCIMENTO</v>
      </c>
    </row>
    <row r="60" spans="1:2" x14ac:dyDescent="0.25">
      <c r="A60" t="s">
        <v>601</v>
      </c>
      <c r="B60" s="5" t="str">
        <f>_xlfn.XLOOKUP(A60,'BASE DE NOMES'!A:A,'BASE DE NOMES'!A:A)</f>
        <v>GISELLE PEREIRA DOS ANJOS</v>
      </c>
    </row>
    <row r="61" spans="1:2" x14ac:dyDescent="0.25">
      <c r="A61" t="s">
        <v>529</v>
      </c>
      <c r="B61" s="5" t="str">
        <f>_xlfn.XLOOKUP(A61,'BASE DE NOMES'!A:A,'BASE DE NOMES'!A:A)</f>
        <v>GIZELIA LIMA BARBOSA</v>
      </c>
    </row>
    <row r="62" spans="1:2" x14ac:dyDescent="0.25">
      <c r="A62" t="s">
        <v>540</v>
      </c>
      <c r="B62" s="5" t="str">
        <f>_xlfn.XLOOKUP(A62,'BASE DE NOMES'!A:A,'BASE DE NOMES'!A:A)</f>
        <v>GRAZIELLY SOUZA SANTANA</v>
      </c>
    </row>
    <row r="63" spans="1:2" x14ac:dyDescent="0.25">
      <c r="A63" t="s">
        <v>383</v>
      </c>
      <c r="B63" s="5" t="e">
        <f>_xlfn.XLOOKUP(A63,'BASE DE NOMES'!A:A,'BASE DE NOMES'!A:A)</f>
        <v>#N/A</v>
      </c>
    </row>
    <row r="64" spans="1:2" x14ac:dyDescent="0.25">
      <c r="A64" t="s">
        <v>602</v>
      </c>
      <c r="B64" s="5" t="e">
        <f>_xlfn.XLOOKUP(A64,'BASE DE NOMES'!A:A,'BASE DE NOMES'!A:A)</f>
        <v>#N/A</v>
      </c>
    </row>
    <row r="65" spans="1:2" x14ac:dyDescent="0.25">
      <c r="A65" t="s">
        <v>180</v>
      </c>
      <c r="B65" s="5" t="str">
        <f>_xlfn.XLOOKUP(A65,'BASE DE NOMES'!A:A,'BASE DE NOMES'!A:A)</f>
        <v>HEMILENE SOUZA RIBEIRO</v>
      </c>
    </row>
    <row r="66" spans="1:2" x14ac:dyDescent="0.25">
      <c r="A66" t="s">
        <v>443</v>
      </c>
      <c r="B66" s="5" t="str">
        <f>_xlfn.XLOOKUP(A66,'BASE DE NOMES'!A:A,'BASE DE NOMES'!A:A)</f>
        <v>IASMIN LUANY PAULINO DE OLIVEIRA</v>
      </c>
    </row>
    <row r="67" spans="1:2" x14ac:dyDescent="0.25">
      <c r="A67" t="s">
        <v>71</v>
      </c>
      <c r="B67" s="5" t="str">
        <f>_xlfn.XLOOKUP(A67,'BASE DE NOMES'!A:A,'BASE DE NOMES'!A:A)</f>
        <v>IOLANDA LIMA DA SILVA SANTOS</v>
      </c>
    </row>
    <row r="68" spans="1:2" x14ac:dyDescent="0.25">
      <c r="A68" t="s">
        <v>208</v>
      </c>
      <c r="B68" s="5" t="str">
        <f>_xlfn.XLOOKUP(A68,'BASE DE NOMES'!A:A,'BASE DE NOMES'!A:A)</f>
        <v>IRACEMA DE ALMEIDA E SILVA</v>
      </c>
    </row>
    <row r="69" spans="1:2" x14ac:dyDescent="0.25">
      <c r="A69" t="s">
        <v>119</v>
      </c>
      <c r="B69" s="5" t="str">
        <f>_xlfn.XLOOKUP(A69,'BASE DE NOMES'!A:A,'BASE DE NOMES'!A:A)</f>
        <v>IRANILDO SANTOS DO NASCIMENTO</v>
      </c>
    </row>
    <row r="70" spans="1:2" x14ac:dyDescent="0.25">
      <c r="A70" t="s">
        <v>368</v>
      </c>
      <c r="B70" s="5" t="e">
        <f>_xlfn.XLOOKUP(A70,'BASE DE NOMES'!A:A,'BASE DE NOMES'!A:A)</f>
        <v>#N/A</v>
      </c>
    </row>
    <row r="71" spans="1:2" x14ac:dyDescent="0.25">
      <c r="A71" t="s">
        <v>603</v>
      </c>
      <c r="B71" s="5" t="str">
        <f>_xlfn.XLOOKUP(A71,'BASE DE NOMES'!A:A,'BASE DE NOMES'!A:A)</f>
        <v>JADIANE SILVA SANTOS</v>
      </c>
    </row>
    <row r="72" spans="1:2" x14ac:dyDescent="0.25">
      <c r="A72" t="s">
        <v>534</v>
      </c>
      <c r="B72" s="5" t="str">
        <f>_xlfn.XLOOKUP(A72,'BASE DE NOMES'!A:A,'BASE DE NOMES'!A:A)</f>
        <v>JADIEL DE JESUS MIRANDA</v>
      </c>
    </row>
    <row r="73" spans="1:2" x14ac:dyDescent="0.25">
      <c r="A73" t="s">
        <v>120</v>
      </c>
      <c r="B73" s="5" t="str">
        <f>_xlfn.XLOOKUP(A73,'BASE DE NOMES'!A:A,'BASE DE NOMES'!A:A)</f>
        <v>JEFERSON DOS SANTOS COSTA</v>
      </c>
    </row>
    <row r="74" spans="1:2" x14ac:dyDescent="0.25">
      <c r="A74" t="s">
        <v>121</v>
      </c>
      <c r="B74" s="5" t="str">
        <f>_xlfn.XLOOKUP(A74,'BASE DE NOMES'!A:A,'BASE DE NOMES'!A:A)</f>
        <v>JEFFERSON NERY OLIVEIRA</v>
      </c>
    </row>
    <row r="75" spans="1:2" x14ac:dyDescent="0.25">
      <c r="A75" t="s">
        <v>209</v>
      </c>
      <c r="B75" s="5" t="e">
        <f>_xlfn.XLOOKUP(A75,'BASE DE NOMES'!A:A,'BASE DE NOMES'!A:A)</f>
        <v>#N/A</v>
      </c>
    </row>
    <row r="76" spans="1:2" x14ac:dyDescent="0.25">
      <c r="A76" t="s">
        <v>122</v>
      </c>
      <c r="B76" s="5" t="e">
        <f>_xlfn.XLOOKUP(A76,'BASE DE NOMES'!A:A,'BASE DE NOMES'!A:A)</f>
        <v>#N/A</v>
      </c>
    </row>
    <row r="77" spans="1:2" x14ac:dyDescent="0.25">
      <c r="A77" t="s">
        <v>123</v>
      </c>
      <c r="B77" s="5" t="str">
        <f>_xlfn.XLOOKUP(A77,'BASE DE NOMES'!A:A,'BASE DE NOMES'!A:A)</f>
        <v>JILMAN DOS SANTOS</v>
      </c>
    </row>
    <row r="78" spans="1:2" x14ac:dyDescent="0.25">
      <c r="A78" t="s">
        <v>292</v>
      </c>
      <c r="B78" s="5" t="e">
        <f>_xlfn.XLOOKUP(A78,'BASE DE NOMES'!A:A,'BASE DE NOMES'!A:A)</f>
        <v>#N/A</v>
      </c>
    </row>
    <row r="79" spans="1:2" x14ac:dyDescent="0.25">
      <c r="A79" t="s">
        <v>623</v>
      </c>
      <c r="B79" s="5" t="e">
        <f>_xlfn.XLOOKUP(A79,'BASE DE NOMES'!A:A,'BASE DE NOMES'!A:A)</f>
        <v>#N/A</v>
      </c>
    </row>
    <row r="80" spans="1:2" x14ac:dyDescent="0.25">
      <c r="A80" t="s">
        <v>126</v>
      </c>
      <c r="B80" s="5" t="str">
        <f>_xlfn.XLOOKUP(A80,'BASE DE NOMES'!A:A,'BASE DE NOMES'!A:A)</f>
        <v>JORGE DE JESUS NASCIMENTO</v>
      </c>
    </row>
    <row r="81" spans="1:2" x14ac:dyDescent="0.25">
      <c r="A81" t="s">
        <v>562</v>
      </c>
      <c r="B81" s="5" t="e">
        <f>_xlfn.XLOOKUP(A81,'BASE DE NOMES'!A:A,'BASE DE NOMES'!A:A)</f>
        <v>#N/A</v>
      </c>
    </row>
    <row r="82" spans="1:2" x14ac:dyDescent="0.25">
      <c r="A82" t="s">
        <v>281</v>
      </c>
      <c r="B82" s="5" t="str">
        <f>_xlfn.XLOOKUP(A82,'BASE DE NOMES'!A:A,'BASE DE NOMES'!A:A)</f>
        <v>JOSE CARLOS RIBEIRO DE OLIVEIRA</v>
      </c>
    </row>
    <row r="83" spans="1:2" x14ac:dyDescent="0.25">
      <c r="A83" t="s">
        <v>591</v>
      </c>
      <c r="B83" s="5" t="str">
        <f>_xlfn.XLOOKUP(A83,'BASE DE NOMES'!A:A,'BASE DE NOMES'!A:A)</f>
        <v>JOSEANE OLIVEIRA DA SILVA</v>
      </c>
    </row>
    <row r="84" spans="1:2" x14ac:dyDescent="0.25">
      <c r="A84" t="s">
        <v>132</v>
      </c>
      <c r="B84" s="5" t="str">
        <f>_xlfn.XLOOKUP(A84,'BASE DE NOMES'!A:A,'BASE DE NOMES'!A:A)</f>
        <v>JOSEFA TANAELLE DIAS DA SILVA</v>
      </c>
    </row>
    <row r="85" spans="1:2" x14ac:dyDescent="0.25">
      <c r="A85" t="s">
        <v>244</v>
      </c>
      <c r="B85" s="5" t="str">
        <f>_xlfn.XLOOKUP(A85,'BASE DE NOMES'!A:A,'BASE DE NOMES'!A:A)</f>
        <v>JOSIELMA DE SANTANA NEVES</v>
      </c>
    </row>
    <row r="86" spans="1:2" x14ac:dyDescent="0.25">
      <c r="A86" t="s">
        <v>133</v>
      </c>
      <c r="B86" s="5" t="str">
        <f>_xlfn.XLOOKUP(A86,'BASE DE NOMES'!A:A,'BASE DE NOMES'!A:A)</f>
        <v>JOSIMA BATISTA DE ALMEIDA</v>
      </c>
    </row>
    <row r="87" spans="1:2" x14ac:dyDescent="0.25">
      <c r="A87" t="s">
        <v>245</v>
      </c>
      <c r="B87" s="5" t="str">
        <f>_xlfn.XLOOKUP(A87,'BASE DE NOMES'!A:A,'BASE DE NOMES'!A:A)</f>
        <v>JULIANA SANTANA SANTOS</v>
      </c>
    </row>
    <row r="88" spans="1:2" x14ac:dyDescent="0.25">
      <c r="A88" t="s">
        <v>166</v>
      </c>
      <c r="B88" s="5" t="str">
        <f>_xlfn.XLOOKUP(A88,'BASE DE NOMES'!A:A,'BASE DE NOMES'!A:A)</f>
        <v>KESSIA DA COSTA SILVA</v>
      </c>
    </row>
    <row r="89" spans="1:2" x14ac:dyDescent="0.25">
      <c r="A89" t="s">
        <v>66</v>
      </c>
      <c r="B89" s="5" t="str">
        <f>_xlfn.XLOOKUP(A89,'BASE DE NOMES'!A:A,'BASE DE NOMES'!A:A)</f>
        <v>LEILANA FELICIANO SANTANA</v>
      </c>
    </row>
    <row r="90" spans="1:2" x14ac:dyDescent="0.25">
      <c r="A90" t="s">
        <v>314</v>
      </c>
      <c r="B90" s="5" t="str">
        <f>_xlfn.XLOOKUP(A90,'BASE DE NOMES'!A:A,'BASE DE NOMES'!A:A)</f>
        <v>LINCOLN ALVES DOS SANTOS</v>
      </c>
    </row>
    <row r="91" spans="1:2" x14ac:dyDescent="0.25">
      <c r="A91" t="s">
        <v>406</v>
      </c>
      <c r="B91" s="5" t="str">
        <f>_xlfn.XLOOKUP(A91,'BASE DE NOMES'!A:A,'BASE DE NOMES'!A:A)</f>
        <v>LUCAS RAMOS CATARINO</v>
      </c>
    </row>
    <row r="92" spans="1:2" x14ac:dyDescent="0.25">
      <c r="A92" t="s">
        <v>173</v>
      </c>
      <c r="B92" s="5" t="str">
        <f>_xlfn.XLOOKUP(A92,'BASE DE NOMES'!A:A,'BASE DE NOMES'!A:A)</f>
        <v>LUCIANA SILVA DE SOUZA</v>
      </c>
    </row>
    <row r="93" spans="1:2" x14ac:dyDescent="0.25">
      <c r="A93" t="s">
        <v>174</v>
      </c>
      <c r="B93" s="5" t="str">
        <f>_xlfn.XLOOKUP(A93,'BASE DE NOMES'!A:A,'BASE DE NOMES'!A:A)</f>
        <v>LUCIANA VIANA COSTA</v>
      </c>
    </row>
    <row r="94" spans="1:2" x14ac:dyDescent="0.25">
      <c r="A94" t="s">
        <v>463</v>
      </c>
      <c r="B94" s="5" t="str">
        <f>_xlfn.XLOOKUP(A94,'BASE DE NOMES'!A:A,'BASE DE NOMES'!A:A)</f>
        <v>LUCIENE ORNELAS DE SANTANA</v>
      </c>
    </row>
    <row r="95" spans="1:2" x14ac:dyDescent="0.25">
      <c r="A95" t="s">
        <v>597</v>
      </c>
      <c r="B95" s="5" t="str">
        <f>_xlfn.XLOOKUP(A95,'BASE DE NOMES'!A:A,'BASE DE NOMES'!A:A)</f>
        <v>LUCILA VITORIA NASCIMENTO</v>
      </c>
    </row>
    <row r="96" spans="1:2" x14ac:dyDescent="0.25">
      <c r="A96" t="s">
        <v>464</v>
      </c>
      <c r="B96" s="5" t="str">
        <f>_xlfn.XLOOKUP(A96,'BASE DE NOMES'!A:A,'BASE DE NOMES'!A:A)</f>
        <v>LUCILEIDE LOPES</v>
      </c>
    </row>
    <row r="97" spans="1:2" x14ac:dyDescent="0.25">
      <c r="A97" t="s">
        <v>246</v>
      </c>
      <c r="B97" s="5" t="str">
        <f>_xlfn.XLOOKUP(A97,'BASE DE NOMES'!A:A,'BASE DE NOMES'!A:A)</f>
        <v>LUIDINEIDE RIBEIRO SANTANA SOARES</v>
      </c>
    </row>
    <row r="98" spans="1:2" x14ac:dyDescent="0.25">
      <c r="A98" t="s">
        <v>98</v>
      </c>
      <c r="B98" s="5" t="e">
        <f>_xlfn.XLOOKUP(A98,'BASE DE NOMES'!A:A,'BASE DE NOMES'!A:A)</f>
        <v>#N/A</v>
      </c>
    </row>
    <row r="99" spans="1:2" x14ac:dyDescent="0.25">
      <c r="A99" t="s">
        <v>61</v>
      </c>
      <c r="B99" s="5" t="e">
        <f>_xlfn.XLOOKUP(A99,'BASE DE NOMES'!A:A,'BASE DE NOMES'!A:A)</f>
        <v>#N/A</v>
      </c>
    </row>
    <row r="100" spans="1:2" x14ac:dyDescent="0.25">
      <c r="A100" t="s">
        <v>247</v>
      </c>
      <c r="B100" s="5" t="str">
        <f>_xlfn.XLOOKUP(A100,'BASE DE NOMES'!A:A,'BASE DE NOMES'!A:A)</f>
        <v>MARCIA DOS SANTOS COSTA</v>
      </c>
    </row>
    <row r="101" spans="1:2" x14ac:dyDescent="0.25">
      <c r="A101" t="s">
        <v>272</v>
      </c>
      <c r="B101" s="5" t="e">
        <f>_xlfn.XLOOKUP(A101,'BASE DE NOMES'!A:A,'BASE DE NOMES'!A:A)</f>
        <v>#N/A</v>
      </c>
    </row>
    <row r="102" spans="1:2" x14ac:dyDescent="0.25">
      <c r="A102" t="s">
        <v>575</v>
      </c>
      <c r="B102" s="5" t="str">
        <f>_xlfn.XLOOKUP(A102,'BASE DE NOMES'!A:A,'BASE DE NOMES'!A:A)</f>
        <v>MARCOS VINICIOS COSTA SOUZA</v>
      </c>
    </row>
    <row r="103" spans="1:2" x14ac:dyDescent="0.25">
      <c r="A103" t="s">
        <v>592</v>
      </c>
      <c r="B103" s="5" t="e">
        <f>_xlfn.XLOOKUP(A103,'BASE DE NOMES'!A:A,'BASE DE NOMES'!A:A)</f>
        <v>#N/A</v>
      </c>
    </row>
    <row r="104" spans="1:2" x14ac:dyDescent="0.25">
      <c r="A104" t="s">
        <v>181</v>
      </c>
      <c r="B104" s="5" t="str">
        <f>_xlfn.XLOOKUP(A104,'BASE DE NOMES'!A:A,'BASE DE NOMES'!A:A)</f>
        <v>MARIA JOSE CONI FONSECA</v>
      </c>
    </row>
    <row r="105" spans="1:2" x14ac:dyDescent="0.25">
      <c r="A105" t="s">
        <v>248</v>
      </c>
      <c r="B105" s="5" t="e">
        <f>_xlfn.XLOOKUP(A105,'BASE DE NOMES'!A:A,'BASE DE NOMES'!A:A)</f>
        <v>#N/A</v>
      </c>
    </row>
    <row r="106" spans="1:2" x14ac:dyDescent="0.25">
      <c r="A106" t="s">
        <v>541</v>
      </c>
      <c r="B106" s="5" t="str">
        <f>_xlfn.XLOOKUP(A106,'BASE DE NOMES'!A:A,'BASE DE NOMES'!A:A)</f>
        <v>MARIA RAQUEL DOS SANTOS</v>
      </c>
    </row>
    <row r="107" spans="1:2" x14ac:dyDescent="0.25">
      <c r="A107" t="s">
        <v>479</v>
      </c>
      <c r="B107" s="5" t="e">
        <f>_xlfn.XLOOKUP(A107,'BASE DE NOMES'!A:A,'BASE DE NOMES'!A:A)</f>
        <v>#N/A</v>
      </c>
    </row>
    <row r="108" spans="1:2" x14ac:dyDescent="0.25">
      <c r="A108" t="s">
        <v>535</v>
      </c>
      <c r="B108" s="5" t="str">
        <f>_xlfn.XLOOKUP(A108,'BASE DE NOMES'!A:A,'BASE DE NOMES'!A:A)</f>
        <v>MARIA VALERIA NASCIMENTO DE JESUS</v>
      </c>
    </row>
    <row r="109" spans="1:2" x14ac:dyDescent="0.25">
      <c r="A109" t="s">
        <v>304</v>
      </c>
      <c r="B109" s="5" t="str">
        <f>_xlfn.XLOOKUP(A109,'BASE DE NOMES'!A:A,'BASE DE NOMES'!A:A)</f>
        <v>MARIANA BATISTA DA CRUZ</v>
      </c>
    </row>
    <row r="110" spans="1:2" x14ac:dyDescent="0.25">
      <c r="A110" t="s">
        <v>547</v>
      </c>
      <c r="B110" s="5" t="e">
        <f>_xlfn.XLOOKUP(A110,'BASE DE NOMES'!A:A,'BASE DE NOMES'!A:A)</f>
        <v>#N/A</v>
      </c>
    </row>
    <row r="111" spans="1:2" x14ac:dyDescent="0.25">
      <c r="A111" t="s">
        <v>220</v>
      </c>
      <c r="B111" s="5" t="e">
        <f>_xlfn.XLOOKUP(A111,'BASE DE NOMES'!A:A,'BASE DE NOMES'!A:A)</f>
        <v>#N/A</v>
      </c>
    </row>
    <row r="112" spans="1:2" x14ac:dyDescent="0.25">
      <c r="A112" t="s">
        <v>536</v>
      </c>
      <c r="B112" s="5" t="str">
        <f>_xlfn.XLOOKUP(A112,'BASE DE NOMES'!A:A,'BASE DE NOMES'!A:A)</f>
        <v>MARINALVA ALVES DE JESUS</v>
      </c>
    </row>
    <row r="113" spans="1:2" x14ac:dyDescent="0.25">
      <c r="A113" t="s">
        <v>446</v>
      </c>
      <c r="B113" s="5" t="str">
        <f>_xlfn.XLOOKUP(A113,'BASE DE NOMES'!A:A,'BASE DE NOMES'!A:A)</f>
        <v>MARIVALDA DE LIMA SALES</v>
      </c>
    </row>
    <row r="114" spans="1:2" x14ac:dyDescent="0.25">
      <c r="A114" t="s">
        <v>553</v>
      </c>
      <c r="B114" s="5" t="str">
        <f>_xlfn.XLOOKUP(A114,'BASE DE NOMES'!A:A,'BASE DE NOMES'!A:A)</f>
        <v>MARTA DE SOUZA AMADO</v>
      </c>
    </row>
    <row r="115" spans="1:2" x14ac:dyDescent="0.25">
      <c r="A115" t="s">
        <v>609</v>
      </c>
      <c r="B115" s="5" t="e">
        <f>_xlfn.XLOOKUP(A115,'BASE DE NOMES'!A:A,'BASE DE NOMES'!A:A)</f>
        <v>#N/A</v>
      </c>
    </row>
    <row r="116" spans="1:2" x14ac:dyDescent="0.25">
      <c r="A116" t="s">
        <v>136</v>
      </c>
      <c r="B116" s="5" t="str">
        <f>_xlfn.XLOOKUP(A116,'BASE DE NOMES'!A:A,'BASE DE NOMES'!A:A)</f>
        <v>MAURI SANTOS SANTANA</v>
      </c>
    </row>
    <row r="117" spans="1:2" x14ac:dyDescent="0.25">
      <c r="A117" t="s">
        <v>366</v>
      </c>
      <c r="B117" s="5" t="e">
        <f>_xlfn.XLOOKUP(A117,'BASE DE NOMES'!A:A,'BASE DE NOMES'!A:A)</f>
        <v>#N/A</v>
      </c>
    </row>
    <row r="118" spans="1:2" x14ac:dyDescent="0.25">
      <c r="A118" t="s">
        <v>440</v>
      </c>
      <c r="B118" s="5" t="str">
        <f>_xlfn.XLOOKUP(A118,'BASE DE NOMES'!A:A,'BASE DE NOMES'!A:A)</f>
        <v>MIGUEL NASCIMENTO DE JESUS FILHO</v>
      </c>
    </row>
    <row r="119" spans="1:2" x14ac:dyDescent="0.25">
      <c r="A119" t="s">
        <v>138</v>
      </c>
      <c r="B119" s="5" t="str">
        <f>_xlfn.XLOOKUP(A119,'BASE DE NOMES'!A:A,'BASE DE NOMES'!A:A)</f>
        <v>MILLENE NASCIMENTO PEREIRA SANTOS</v>
      </c>
    </row>
    <row r="120" spans="1:2" x14ac:dyDescent="0.25">
      <c r="A120" t="s">
        <v>598</v>
      </c>
      <c r="B120" s="5" t="str">
        <f>_xlfn.XLOOKUP(A120,'BASE DE NOMES'!A:A,'BASE DE NOMES'!A:A)</f>
        <v>MIRELLA MOTA DOS SANTOS</v>
      </c>
    </row>
    <row r="121" spans="1:2" x14ac:dyDescent="0.25">
      <c r="A121" t="s">
        <v>88</v>
      </c>
      <c r="B121" s="5" t="str">
        <f>_xlfn.XLOOKUP(A121,'BASE DE NOMES'!A:A,'BASE DE NOMES'!A:A)</f>
        <v>NATERCIO PEREIRA SANTANA</v>
      </c>
    </row>
    <row r="122" spans="1:2" x14ac:dyDescent="0.25">
      <c r="A122" t="s">
        <v>159</v>
      </c>
      <c r="B122" s="5" t="str">
        <f>_xlfn.XLOOKUP(A122,'BASE DE NOMES'!A:A,'BASE DE NOMES'!A:A)</f>
        <v>NATIELE DE ALMEIDA BASTOS</v>
      </c>
    </row>
    <row r="123" spans="1:2" x14ac:dyDescent="0.25">
      <c r="A123" t="s">
        <v>205</v>
      </c>
      <c r="B123" s="5" t="str">
        <f>_xlfn.XLOOKUP(A123,'BASE DE NOMES'!A:A,'BASE DE NOMES'!A:A)</f>
        <v>NORMA NEIDE SOUZA DE JESUS</v>
      </c>
    </row>
    <row r="124" spans="1:2" x14ac:dyDescent="0.25">
      <c r="A124" t="s">
        <v>175</v>
      </c>
      <c r="B124" s="5" t="str">
        <f>_xlfn.XLOOKUP(A124,'BASE DE NOMES'!A:A,'BASE DE NOMES'!A:A)</f>
        <v>OSMAR CORDEIRO ESTRELA</v>
      </c>
    </row>
    <row r="125" spans="1:2" x14ac:dyDescent="0.25">
      <c r="A125" t="s">
        <v>139</v>
      </c>
      <c r="B125" s="5" t="str">
        <f>_xlfn.XLOOKUP(A125,'BASE DE NOMES'!A:A,'BASE DE NOMES'!A:A)</f>
        <v>PATRICIA DOS SANTOS</v>
      </c>
    </row>
    <row r="126" spans="1:2" x14ac:dyDescent="0.25">
      <c r="A126" t="s">
        <v>444</v>
      </c>
      <c r="B126" s="5" t="str">
        <f>_xlfn.XLOOKUP(A126,'BASE DE NOMES'!A:A,'BASE DE NOMES'!A:A)</f>
        <v>PAULO CESAR SILVA COSTA</v>
      </c>
    </row>
    <row r="127" spans="1:2" x14ac:dyDescent="0.25">
      <c r="A127" t="s">
        <v>439</v>
      </c>
      <c r="B127" s="5" t="e">
        <f>_xlfn.XLOOKUP(A127,'BASE DE NOMES'!A:A,'BASE DE NOMES'!A:A)</f>
        <v>#N/A</v>
      </c>
    </row>
    <row r="128" spans="1:2" x14ac:dyDescent="0.25">
      <c r="A128" t="s">
        <v>576</v>
      </c>
      <c r="B128" s="5" t="str">
        <f>_xlfn.XLOOKUP(A128,'BASE DE NOMES'!A:A,'BASE DE NOMES'!A:A)</f>
        <v>RAYANE MONTEIRO REIS</v>
      </c>
    </row>
    <row r="129" spans="1:2" x14ac:dyDescent="0.25">
      <c r="A129" t="s">
        <v>95</v>
      </c>
      <c r="B129" s="5" t="str">
        <f>_xlfn.XLOOKUP(A129,'BASE DE NOMES'!A:A,'BASE DE NOMES'!A:A)</f>
        <v>ROBERTO SALES NEVES</v>
      </c>
    </row>
    <row r="130" spans="1:2" x14ac:dyDescent="0.25">
      <c r="A130" t="s">
        <v>537</v>
      </c>
      <c r="B130" s="5" t="e">
        <f>_xlfn.XLOOKUP(A130,'BASE DE NOMES'!A:A,'BASE DE NOMES'!A:A)</f>
        <v>#N/A</v>
      </c>
    </row>
    <row r="131" spans="1:2" x14ac:dyDescent="0.25">
      <c r="A131" t="s">
        <v>577</v>
      </c>
      <c r="B131" s="5" t="str">
        <f>_xlfn.XLOOKUP(A131,'BASE DE NOMES'!A:A,'BASE DE NOMES'!A:A)</f>
        <v>SABRINA DE ARAUJO DOREA</v>
      </c>
    </row>
    <row r="132" spans="1:2" x14ac:dyDescent="0.25">
      <c r="A132" t="s">
        <v>160</v>
      </c>
      <c r="B132" s="5" t="str">
        <f>_xlfn.XLOOKUP(A132,'BASE DE NOMES'!A:A,'BASE DE NOMES'!A:A)</f>
        <v>SANDRA PEREIRA SALES</v>
      </c>
    </row>
    <row r="133" spans="1:2" x14ac:dyDescent="0.25">
      <c r="A133" t="s">
        <v>206</v>
      </c>
      <c r="B133" s="5" t="str">
        <f>_xlfn.XLOOKUP(A133,'BASE DE NOMES'!A:A,'BASE DE NOMES'!A:A)</f>
        <v>SIDNEA SOARES PINTO</v>
      </c>
    </row>
    <row r="134" spans="1:2" x14ac:dyDescent="0.25">
      <c r="A134" t="s">
        <v>374</v>
      </c>
      <c r="B134" s="5" t="e">
        <f>_xlfn.XLOOKUP(A134,'BASE DE NOMES'!A:A,'BASE DE NOMES'!A:A)</f>
        <v>#N/A</v>
      </c>
    </row>
    <row r="135" spans="1:2" x14ac:dyDescent="0.25">
      <c r="A135" t="s">
        <v>96</v>
      </c>
      <c r="B135" s="5" t="str">
        <f>_xlfn.XLOOKUP(A135,'BASE DE NOMES'!A:A,'BASE DE NOMES'!A:A)</f>
        <v>SUELLEN LIMA SANTOS</v>
      </c>
    </row>
    <row r="136" spans="1:2" x14ac:dyDescent="0.25">
      <c r="A136" t="s">
        <v>176</v>
      </c>
      <c r="B136" s="5" t="e">
        <f>_xlfn.XLOOKUP(A136,'BASE DE NOMES'!A:A,'BASE DE NOMES'!A:A)</f>
        <v>#N/A</v>
      </c>
    </row>
    <row r="137" spans="1:2" x14ac:dyDescent="0.25">
      <c r="A137" t="s">
        <v>625</v>
      </c>
      <c r="B137" s="5" t="str">
        <f>_xlfn.XLOOKUP(A137,'BASE DE NOMES'!A:A,'BASE DE NOMES'!A:A)</f>
        <v>TAINA SANTANA DE JESUS</v>
      </c>
    </row>
    <row r="138" spans="1:2" x14ac:dyDescent="0.25">
      <c r="A138" t="s">
        <v>365</v>
      </c>
      <c r="B138" s="5" t="str">
        <f>_xlfn.XLOOKUP(A138,'BASE DE NOMES'!A:A,'BASE DE NOMES'!A:A)</f>
        <v>TAINARA BARBOSA DOS SANTOS</v>
      </c>
    </row>
    <row r="139" spans="1:2" x14ac:dyDescent="0.25">
      <c r="A139" t="s">
        <v>384</v>
      </c>
      <c r="B139" s="5" t="e">
        <f>_xlfn.XLOOKUP(A139,'BASE DE NOMES'!A:A,'BASE DE NOMES'!A:A)</f>
        <v>#N/A</v>
      </c>
    </row>
    <row r="140" spans="1:2" x14ac:dyDescent="0.25">
      <c r="A140" t="s">
        <v>183</v>
      </c>
      <c r="B140" s="5" t="str">
        <f>_xlfn.XLOOKUP(A140,'BASE DE NOMES'!A:A,'BASE DE NOMES'!A:A)</f>
        <v>UELITON DA SILVA DE JESUS</v>
      </c>
    </row>
    <row r="141" spans="1:2" x14ac:dyDescent="0.25">
      <c r="A141" t="s">
        <v>100</v>
      </c>
      <c r="B141" s="5" t="str">
        <f>_xlfn.XLOOKUP(A141,'BASE DE NOMES'!A:A,'BASE DE NOMES'!A:A)</f>
        <v>VALDICK SANTOS LEAO</v>
      </c>
    </row>
    <row r="142" spans="1:2" x14ac:dyDescent="0.25">
      <c r="A142" t="s">
        <v>143</v>
      </c>
      <c r="B142" s="5" t="e">
        <f>_xlfn.XLOOKUP(A142,'BASE DE NOMES'!A:A,'BASE DE NOMES'!A:A)</f>
        <v>#N/A</v>
      </c>
    </row>
    <row r="143" spans="1:2" x14ac:dyDescent="0.25">
      <c r="A143" t="s">
        <v>573</v>
      </c>
      <c r="B143" s="5" t="e">
        <f>_xlfn.XLOOKUP(A143,'BASE DE NOMES'!A:A,'BASE DE NOMES'!A:A)</f>
        <v>#N/A</v>
      </c>
    </row>
    <row r="144" spans="1:2" x14ac:dyDescent="0.25">
      <c r="A144" t="s">
        <v>554</v>
      </c>
      <c r="B144" s="5" t="str">
        <f>_xlfn.XLOOKUP(A144,'BASE DE NOMES'!A:A,'BASE DE NOMES'!A:A)</f>
        <v>VERONICA JESUS DOS SANTOS</v>
      </c>
    </row>
    <row r="145" spans="1:2" x14ac:dyDescent="0.25">
      <c r="A145" t="s">
        <v>506</v>
      </c>
      <c r="B145" s="5" t="e">
        <f>_xlfn.XLOOKUP(A145,'BASE DE NOMES'!A:A,'BASE DE NOMES'!A:A)</f>
        <v>#N/A</v>
      </c>
    </row>
    <row r="146" spans="1:2" x14ac:dyDescent="0.25">
      <c r="A146" t="s">
        <v>148</v>
      </c>
      <c r="B146" s="5" t="str">
        <f>_xlfn.XLOOKUP(A146,'BASE DE NOMES'!A:A,'BASE DE NOMES'!A:A)</f>
        <v>WESLEY SOUZA GAMA</v>
      </c>
    </row>
    <row r="147" spans="1:2" x14ac:dyDescent="0.25">
      <c r="A147" t="s">
        <v>149</v>
      </c>
      <c r="B147" s="5" t="str">
        <f>_xlfn.XLOOKUP(A147,'BASE DE NOMES'!A:A,'BASE DE NOMES'!A:A)</f>
        <v>WILLAS MATOS DOS SANTOS</v>
      </c>
    </row>
    <row r="148" spans="1:2" x14ac:dyDescent="0.25">
      <c r="A148" t="s">
        <v>150</v>
      </c>
      <c r="B148" s="5" t="str">
        <f>_xlfn.XLOOKUP(A148,'BASE DE NOMES'!A:A,'BASE DE NOMES'!A:A)</f>
        <v>WILLIAM NASCIMENTO DOS SANTOS</v>
      </c>
    </row>
    <row r="149" spans="1:2" x14ac:dyDescent="0.25">
      <c r="A149" t="s">
        <v>458</v>
      </c>
      <c r="B149" s="5" t="e">
        <f>_xlfn.XLOOKUP(A149,'BASE DE NOMES'!A:A,'BASE DE NOMES'!A:A)</f>
        <v>#N/A</v>
      </c>
    </row>
    <row r="150" spans="1:2" x14ac:dyDescent="0.25">
      <c r="A150" t="s">
        <v>151</v>
      </c>
      <c r="B150" s="5" t="str">
        <f>_xlfn.XLOOKUP(A150,'BASE DE NOMES'!A:A,'BASE DE NOMES'!A:A)</f>
        <v>WILTON RIBEIRO DOS SANTOS</v>
      </c>
    </row>
    <row r="151" spans="1:2" x14ac:dyDescent="0.25">
      <c r="A151" t="s">
        <v>74</v>
      </c>
      <c r="B151" s="5" t="e">
        <f>_xlfn.XLOOKUP(A151,'BASE DE NOMES'!A:A,'BASE DE NOMES'!A:A)</f>
        <v>#N/A</v>
      </c>
    </row>
    <row r="170" spans="2:2" x14ac:dyDescent="0.25">
      <c r="B170" s="5"/>
    </row>
  </sheetData>
  <autoFilter ref="A1:B170" xr:uid="{D20F63CA-7189-41AF-8477-F94771383696}">
    <sortState xmlns:xlrd2="http://schemas.microsoft.com/office/spreadsheetml/2017/richdata2" ref="A2:B170">
      <sortCondition ref="A1:A170"/>
    </sortState>
  </autoFilter>
  <conditionalFormatting sqref="A1:A16 A1138:A1048576 A108:A151">
    <cfRule type="duplicateValues" dxfId="6" priority="2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Props1.xml><?xml version="1.0" encoding="utf-8"?>
<ds:datastoreItem xmlns:ds="http://schemas.openxmlformats.org/officeDocument/2006/customXml" ds:itemID="{BACE1D6F-9EE0-48AE-AE2B-0BCA5285E133}">
  <ds:schemaRefs/>
</ds:datastoreItem>
</file>

<file path=customXml/itemProps2.xml><?xml version="1.0" encoding="utf-8"?>
<ds:datastoreItem xmlns:ds="http://schemas.openxmlformats.org/officeDocument/2006/customXml" ds:itemID="{EC99D300-40AE-483A-A36B-39BAC8F66ECE}">
  <ds:schemaRefs/>
</ds:datastoreItem>
</file>

<file path=customXml/itemProps3.xml><?xml version="1.0" encoding="utf-8"?>
<ds:datastoreItem xmlns:ds="http://schemas.openxmlformats.org/officeDocument/2006/customXml" ds:itemID="{E1BDBD81-9069-4C6D-BE75-693526E78502}">
  <ds:schemaRefs/>
</ds:datastoreItem>
</file>

<file path=customXml/itemProps4.xml><?xml version="1.0" encoding="utf-8"?>
<ds:datastoreItem xmlns:ds="http://schemas.openxmlformats.org/officeDocument/2006/customXml" ds:itemID="{A052FE38-266D-469F-AA69-ACE5C6295111}">
  <ds:schemaRefs/>
</ds:datastoreItem>
</file>

<file path=customXml/itemProps5.xml><?xml version="1.0" encoding="utf-8"?>
<ds:datastoreItem xmlns:ds="http://schemas.openxmlformats.org/officeDocument/2006/customXml" ds:itemID="{D4484434-4213-4F9C-ADCA-59822DA1EE21}">
  <ds:schemaRefs/>
</ds:datastoreItem>
</file>

<file path=customXml/itemProps6.xml><?xml version="1.0" encoding="utf-8"?>
<ds:datastoreItem xmlns:ds="http://schemas.openxmlformats.org/officeDocument/2006/customXml" ds:itemID="{180E1F2C-E17A-4343-AC10-A6CD962A1805}">
  <ds:schemaRefs/>
</ds:datastoreItem>
</file>

<file path=customXml/itemProps7.xml><?xml version="1.0" encoding="utf-8"?>
<ds:datastoreItem xmlns:ds="http://schemas.openxmlformats.org/officeDocument/2006/customXml" ds:itemID="{F70994B8-9467-4F70-B89C-06D91FFE9D8D}">
  <ds:schemaRefs/>
</ds:datastoreItem>
</file>

<file path=customXml/itemProps8.xml><?xml version="1.0" encoding="utf-8"?>
<ds:datastoreItem xmlns:ds="http://schemas.openxmlformats.org/officeDocument/2006/customXml" ds:itemID="{21BFA5A9-45AC-4E15-84E5-89081A117B3C}">
  <ds:schemaRefs/>
</ds:datastoreItem>
</file>

<file path=customXml/itemProps9.xml><?xml version="1.0" encoding="utf-8"?>
<ds:datastoreItem xmlns:ds="http://schemas.openxmlformats.org/officeDocument/2006/customXml" ds:itemID="{62529F3E-7D30-4C5F-AEAA-997D78B26C5E}">
  <ds:schemaRefs/>
</ds:datastoreItem>
</file>

<file path=customXml/itemProps10.xml><?xml version="1.0" encoding="utf-8"?>
<ds:datastoreItem xmlns:ds="http://schemas.openxmlformats.org/officeDocument/2006/customXml" ds:itemID="{F1CD9790-9E38-4E44-99AF-4964F1F3773C}">
  <ds:schemaRefs/>
</ds:datastoreItem>
</file>

<file path=customXml/itemProps11.xml><?xml version="1.0" encoding="utf-8"?>
<ds:datastoreItem xmlns:ds="http://schemas.openxmlformats.org/officeDocument/2006/customXml" ds:itemID="{0F856FD4-3ED6-4488-9D62-E5E6D8C30F53}">
  <ds:schemaRefs/>
</ds:datastoreItem>
</file>

<file path=customXml/itemProps12.xml><?xml version="1.0" encoding="utf-8"?>
<ds:datastoreItem xmlns:ds="http://schemas.openxmlformats.org/officeDocument/2006/customXml" ds:itemID="{901F8555-8D03-4A6F-AAB6-E17D72213CFC}">
  <ds:schemaRefs/>
</ds:datastoreItem>
</file>

<file path=customXml/itemProps13.xml><?xml version="1.0" encoding="utf-8"?>
<ds:datastoreItem xmlns:ds="http://schemas.openxmlformats.org/officeDocument/2006/customXml" ds:itemID="{8AAF9375-F28B-4D06-9DD0-D09848515AB0}">
  <ds:schemaRefs/>
</ds:datastoreItem>
</file>

<file path=customXml/itemProps14.xml><?xml version="1.0" encoding="utf-8"?>
<ds:datastoreItem xmlns:ds="http://schemas.openxmlformats.org/officeDocument/2006/customXml" ds:itemID="{B04EC87E-A807-442F-A498-ECC8C34E252E}">
  <ds:schemaRefs/>
</ds:datastoreItem>
</file>

<file path=customXml/itemProps15.xml><?xml version="1.0" encoding="utf-8"?>
<ds:datastoreItem xmlns:ds="http://schemas.openxmlformats.org/officeDocument/2006/customXml" ds:itemID="{0C121548-21BD-4A9A-B54D-D44C0AD1FB04}">
  <ds:schemaRefs/>
</ds:datastoreItem>
</file>

<file path=customXml/itemProps16.xml><?xml version="1.0" encoding="utf-8"?>
<ds:datastoreItem xmlns:ds="http://schemas.openxmlformats.org/officeDocument/2006/customXml" ds:itemID="{0F6DFD52-A607-4DAD-8580-4069A5B5430D}">
  <ds:schemaRefs/>
</ds:datastoreItem>
</file>

<file path=customXml/itemProps17.xml><?xml version="1.0" encoding="utf-8"?>
<ds:datastoreItem xmlns:ds="http://schemas.openxmlformats.org/officeDocument/2006/customXml" ds:itemID="{A92DFC1F-315A-435D-98B1-6EE8033D8ADA}">
  <ds:schemaRefs/>
</ds:datastoreItem>
</file>

<file path=customXml/itemProps18.xml><?xml version="1.0" encoding="utf-8"?>
<ds:datastoreItem xmlns:ds="http://schemas.openxmlformats.org/officeDocument/2006/customXml" ds:itemID="{19EAFDC2-0BB1-4181-9B0B-338168440FAD}">
  <ds:schemaRefs/>
</ds:datastoreItem>
</file>

<file path=customXml/itemProps19.xml><?xml version="1.0" encoding="utf-8"?>
<ds:datastoreItem xmlns:ds="http://schemas.openxmlformats.org/officeDocument/2006/customXml" ds:itemID="{2E8EC901-08B7-4C58-86D7-7114EC04244F}">
  <ds:schemaRefs/>
</ds:datastoreItem>
</file>

<file path=customXml/itemProps20.xml><?xml version="1.0" encoding="utf-8"?>
<ds:datastoreItem xmlns:ds="http://schemas.openxmlformats.org/officeDocument/2006/customXml" ds:itemID="{530D5A6B-B0B0-488F-A48C-9CF324493C49}">
  <ds:schemaRefs/>
</ds:datastoreItem>
</file>

<file path=customXml/itemProps21.xml><?xml version="1.0" encoding="utf-8"?>
<ds:datastoreItem xmlns:ds="http://schemas.openxmlformats.org/officeDocument/2006/customXml" ds:itemID="{CF58E184-B805-4FD1-AF6F-D86635CF0784}">
  <ds:schemaRefs/>
</ds:datastoreItem>
</file>

<file path=customXml/itemProps22.xml><?xml version="1.0" encoding="utf-8"?>
<ds:datastoreItem xmlns:ds="http://schemas.openxmlformats.org/officeDocument/2006/customXml" ds:itemID="{80375727-8627-4EF4-ABC9-BAEF001FCAD0}">
  <ds:schemaRefs/>
</ds:datastoreItem>
</file>

<file path=customXml/itemProps23.xml><?xml version="1.0" encoding="utf-8"?>
<ds:datastoreItem xmlns:ds="http://schemas.openxmlformats.org/officeDocument/2006/customXml" ds:itemID="{00EF0D23-FF9F-40E2-B8F1-DB3BB1B6716F}">
  <ds:schemaRefs/>
</ds:datastoreItem>
</file>

<file path=customXml/itemProps24.xml><?xml version="1.0" encoding="utf-8"?>
<ds:datastoreItem xmlns:ds="http://schemas.openxmlformats.org/officeDocument/2006/customXml" ds:itemID="{635D7D3E-8722-44D3-B7A4-694B387CFD18}">
  <ds:schemaRefs/>
</ds:datastoreItem>
</file>

<file path=customXml/itemProps25.xml><?xml version="1.0" encoding="utf-8"?>
<ds:datastoreItem xmlns:ds="http://schemas.openxmlformats.org/officeDocument/2006/customXml" ds:itemID="{3FB5C147-4CF6-44BC-B9E0-0B3C1A6F8EAE}">
  <ds:schemaRefs/>
</ds:datastoreItem>
</file>

<file path=customXml/itemProps26.xml><?xml version="1.0" encoding="utf-8"?>
<ds:datastoreItem xmlns:ds="http://schemas.openxmlformats.org/officeDocument/2006/customXml" ds:itemID="{5AD979AE-10B9-4899-91CE-2E015E315898}">
  <ds:schemaRefs/>
</ds:datastoreItem>
</file>

<file path=customXml/itemProps27.xml><?xml version="1.0" encoding="utf-8"?>
<ds:datastoreItem xmlns:ds="http://schemas.openxmlformats.org/officeDocument/2006/customXml" ds:itemID="{1D60F8B1-4847-4007-A1C8-78CFD7F5226D}">
  <ds:schemaRefs/>
</ds:datastoreItem>
</file>

<file path=customXml/itemProps28.xml><?xml version="1.0" encoding="utf-8"?>
<ds:datastoreItem xmlns:ds="http://schemas.openxmlformats.org/officeDocument/2006/customXml" ds:itemID="{1944B483-29F5-430A-A4F6-B2662B5BE8A3}">
  <ds:schemaRefs/>
</ds:datastoreItem>
</file>

<file path=customXml/itemProps29.xml><?xml version="1.0" encoding="utf-8"?>
<ds:datastoreItem xmlns:ds="http://schemas.openxmlformats.org/officeDocument/2006/customXml" ds:itemID="{04E92A1B-17F9-4C6F-B0E9-F0FBB1D22785}">
  <ds:schemaRefs/>
</ds:datastoreItem>
</file>

<file path=customXml/itemProps30.xml><?xml version="1.0" encoding="utf-8"?>
<ds:datastoreItem xmlns:ds="http://schemas.openxmlformats.org/officeDocument/2006/customXml" ds:itemID="{6CE13AF7-87DA-41B2-A5EC-97919D690814}">
  <ds:schemaRefs/>
</ds:datastoreItem>
</file>

<file path=customXml/itemProps31.xml><?xml version="1.0" encoding="utf-8"?>
<ds:datastoreItem xmlns:ds="http://schemas.openxmlformats.org/officeDocument/2006/customXml" ds:itemID="{1A4430A1-AB3F-40C8-BE07-985666925E1E}">
  <ds:schemaRefs/>
</ds:datastoreItem>
</file>

<file path=customXml/itemProps32.xml><?xml version="1.0" encoding="utf-8"?>
<ds:datastoreItem xmlns:ds="http://schemas.openxmlformats.org/officeDocument/2006/customXml" ds:itemID="{A0ACD407-FB54-4A27-8344-EC97BFA130F5}">
  <ds:schemaRefs/>
</ds:datastoreItem>
</file>

<file path=customXml/itemProps33.xml><?xml version="1.0" encoding="utf-8"?>
<ds:datastoreItem xmlns:ds="http://schemas.openxmlformats.org/officeDocument/2006/customXml" ds:itemID="{E34279B9-8967-4F82-B078-CEFEE3AE3443}">
  <ds:schemaRefs/>
</ds:datastoreItem>
</file>

<file path=customXml/itemProps34.xml><?xml version="1.0" encoding="utf-8"?>
<ds:datastoreItem xmlns:ds="http://schemas.openxmlformats.org/officeDocument/2006/customXml" ds:itemID="{595913A9-433E-4112-B15D-AB53EF9318F7}">
  <ds:schemaRefs/>
</ds:datastoreItem>
</file>

<file path=customXml/itemProps35.xml><?xml version="1.0" encoding="utf-8"?>
<ds:datastoreItem xmlns:ds="http://schemas.openxmlformats.org/officeDocument/2006/customXml" ds:itemID="{C3172542-8F3F-4468-AF96-1D4E52609D9A}">
  <ds:schemaRefs/>
</ds:datastoreItem>
</file>

<file path=customXml/itemProps36.xml><?xml version="1.0" encoding="utf-8"?>
<ds:datastoreItem xmlns:ds="http://schemas.openxmlformats.org/officeDocument/2006/customXml" ds:itemID="{E1112109-D178-4393-BFB0-EF4618D1A83D}">
  <ds:schemaRefs/>
</ds:datastoreItem>
</file>

<file path=customXml/itemProps37.xml><?xml version="1.0" encoding="utf-8"?>
<ds:datastoreItem xmlns:ds="http://schemas.openxmlformats.org/officeDocument/2006/customXml" ds:itemID="{AB786C48-6C92-4891-B648-F860ABC014FD}">
  <ds:schemaRefs/>
</ds:datastoreItem>
</file>

<file path=customXml/itemProps38.xml><?xml version="1.0" encoding="utf-8"?>
<ds:datastoreItem xmlns:ds="http://schemas.openxmlformats.org/officeDocument/2006/customXml" ds:itemID="{DDC01D06-A743-4F4B-B13D-8888601FD97A}">
  <ds:schemaRefs/>
</ds:datastoreItem>
</file>

<file path=customXml/itemProps39.xml><?xml version="1.0" encoding="utf-8"?>
<ds:datastoreItem xmlns:ds="http://schemas.openxmlformats.org/officeDocument/2006/customXml" ds:itemID="{26853CB1-6845-4EE9-B6EA-021D3BFA593C}">
  <ds:schemaRefs/>
</ds:datastoreItem>
</file>

<file path=customXml/itemProps40.xml><?xml version="1.0" encoding="utf-8"?>
<ds:datastoreItem xmlns:ds="http://schemas.openxmlformats.org/officeDocument/2006/customXml" ds:itemID="{63D3FEBA-FEB0-4ABF-AEF8-755B77000B95}">
  <ds:schemaRefs/>
</ds:datastoreItem>
</file>

<file path=customXml/itemProps41.xml><?xml version="1.0" encoding="utf-8"?>
<ds:datastoreItem xmlns:ds="http://schemas.openxmlformats.org/officeDocument/2006/customXml" ds:itemID="{A91F9C61-0300-4D0E-8BAE-8C482C60E5E0}">
  <ds:schemaRefs/>
</ds:datastoreItem>
</file>

<file path=customXml/itemProps42.xml><?xml version="1.0" encoding="utf-8"?>
<ds:datastoreItem xmlns:ds="http://schemas.openxmlformats.org/officeDocument/2006/customXml" ds:itemID="{A7983CCE-0FD2-4604-B95D-3C9F39D81E3C}">
  <ds:schemaRefs/>
</ds:datastoreItem>
</file>

<file path=customXml/itemProps43.xml><?xml version="1.0" encoding="utf-8"?>
<ds:datastoreItem xmlns:ds="http://schemas.openxmlformats.org/officeDocument/2006/customXml" ds:itemID="{4BA9189B-887D-43E3-88AB-248026F7B8E1}">
  <ds:schemaRefs/>
</ds:datastoreItem>
</file>

<file path=customXml/itemProps44.xml><?xml version="1.0" encoding="utf-8"?>
<ds:datastoreItem xmlns:ds="http://schemas.openxmlformats.org/officeDocument/2006/customXml" ds:itemID="{BB08BF32-EC28-4105-A135-40CC573E3C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Extrato Mensal Jan</vt:lpstr>
      <vt:lpstr>Resumo</vt:lpstr>
      <vt:lpstr>GRATIFICAÇÃO</vt:lpstr>
      <vt:lpstr>Salários Resumo (3)</vt:lpstr>
      <vt:lpstr>PG</vt:lpstr>
      <vt:lpstr>Demitidos</vt:lpstr>
      <vt:lpstr>BASE DE NOMES</vt:lpstr>
      <vt:lpstr>Planilha1</vt:lpstr>
      <vt:lpstr>BASE DE NOMES (2)</vt:lpstr>
      <vt:lpstr>Folha Rainha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ALVES DO SACRAMENTO</dc:creator>
  <cp:lastModifiedBy>Bruno</cp:lastModifiedBy>
  <cp:lastPrinted>2025-06-20T23:46:59Z</cp:lastPrinted>
  <dcterms:created xsi:type="dcterms:W3CDTF">2022-01-27T14:27:33Z</dcterms:created>
  <dcterms:modified xsi:type="dcterms:W3CDTF">2025-06-21T14:10:32Z</dcterms:modified>
</cp:coreProperties>
</file>