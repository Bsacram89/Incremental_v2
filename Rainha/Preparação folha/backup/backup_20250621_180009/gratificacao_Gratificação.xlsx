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ose Rodrigues\Desktop\Anadilza - DP\Folha de Pagamento 2025\Maio2025\INCREMENTAL BRUNO\"/>
    </mc:Choice>
  </mc:AlternateContent>
  <xr:revisionPtr revIDLastSave="0" documentId="13_ncr:1_{47051CA7-C331-409C-8F97-3D0CE26865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SA" sheetId="4" r:id="rId1"/>
    <sheet name="Fabrica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5" l="1"/>
  <c r="I12" i="4"/>
</calcChain>
</file>

<file path=xl/sharedStrings.xml><?xml version="1.0" encoding="utf-8"?>
<sst xmlns="http://schemas.openxmlformats.org/spreadsheetml/2006/main" count="197" uniqueCount="82">
  <si>
    <t>Nº</t>
  </si>
  <si>
    <t>Razão Social</t>
  </si>
  <si>
    <t>Alocação</t>
  </si>
  <si>
    <t>Função</t>
  </si>
  <si>
    <t>Origem</t>
  </si>
  <si>
    <t>REIS FÁBRICA</t>
  </si>
  <si>
    <t>EMBALADOR</t>
  </si>
  <si>
    <t>CORTADOR</t>
  </si>
  <si>
    <t>COSTUREIRO</t>
  </si>
  <si>
    <t>GILVAN JOSE DOS SANTOS</t>
  </si>
  <si>
    <t xml:space="preserve">JORGE DE J. NASCIMENTO </t>
  </si>
  <si>
    <t>RODRIGO MACEDO DE SANTANA</t>
  </si>
  <si>
    <t>AUXILIAR CORTE</t>
  </si>
  <si>
    <t>WILLIAM NASCIMENTO DOS SANTOS</t>
  </si>
  <si>
    <t>GRATIFICAÇÃO</t>
  </si>
  <si>
    <t>JOSIMA BATISTA DE ALMEIDA</t>
  </si>
  <si>
    <t>VALE XEL</t>
  </si>
  <si>
    <t xml:space="preserve">JEFERSON DOS SANTOS COSTA                              </t>
  </si>
  <si>
    <t>COORDENADOR</t>
  </si>
  <si>
    <t>FAGNER OLIVEIRA DOS SANTOS</t>
  </si>
  <si>
    <t xml:space="preserve">JOSEFA TANAELLE DIAS DA SILVA                                  </t>
  </si>
  <si>
    <t xml:space="preserve">WILLAS MATOS DOS SANTOS                                </t>
  </si>
  <si>
    <t>Gratificação</t>
  </si>
  <si>
    <t>Obs Origem</t>
  </si>
  <si>
    <t xml:space="preserve">POR PRODUTIVIDADE </t>
  </si>
  <si>
    <t>ALESSANDRO BATISTA DA ROCHA</t>
  </si>
  <si>
    <t>TOTAL</t>
  </si>
  <si>
    <t>01</t>
  </si>
  <si>
    <t>02</t>
  </si>
  <si>
    <t>03</t>
  </si>
  <si>
    <t>04</t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</si>
  <si>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</si>
  <si>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</si>
  <si>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</si>
  <si>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</si>
  <si>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</si>
  <si>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</si>
  <si>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</si>
  <si>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</si>
  <si>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</si>
  <si>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16</t>
  </si>
  <si>
    <t>WESLEY SOUZA GAMA</t>
  </si>
  <si>
    <t>Salário                                     Bruto</t>
  </si>
  <si>
    <t>EDISLEY DA CONCEICAO</t>
  </si>
  <si>
    <t>FISCAL DE LOJA</t>
  </si>
  <si>
    <t>REIS MATRIZ</t>
  </si>
  <si>
    <t>ATIVIDADES EXTRAS</t>
  </si>
  <si>
    <t>SERVIÇOS GERAIS</t>
  </si>
  <si>
    <t xml:space="preserve">HEMILENE SOUZA RIBEIRO                                                 </t>
  </si>
  <si>
    <t>ESCRITÓRIO</t>
  </si>
  <si>
    <t>DANILO RIBEIRO SANTANA</t>
  </si>
  <si>
    <t>SERV.GERAIS</t>
  </si>
  <si>
    <t>UELITON DA SILVA DE JESUS</t>
  </si>
  <si>
    <t>SERVICOS GERAIS</t>
  </si>
  <si>
    <t>ASSIST FINAN</t>
  </si>
  <si>
    <t>ALBERTO DO NASCIMENTO SANTOS</t>
  </si>
  <si>
    <t>JEFFERSON NERY OLIVEIRA</t>
  </si>
  <si>
    <t>15</t>
  </si>
  <si>
    <t>GENESIS</t>
  </si>
  <si>
    <t>09</t>
  </si>
  <si>
    <t>30K</t>
  </si>
  <si>
    <t>COMPL DE SALARIO</t>
  </si>
  <si>
    <t>JOSE CARLOS RIBEIRO DE OLIVEIRA</t>
  </si>
  <si>
    <t>DORIVALDO SANTOS ARAUJO</t>
  </si>
  <si>
    <t>CONFERENTE</t>
  </si>
  <si>
    <t>RAINHA HOME</t>
  </si>
  <si>
    <t>LEILANA FELICIANO SANTANA</t>
  </si>
  <si>
    <t>GERENTE</t>
  </si>
  <si>
    <t>GRAND CANYON</t>
  </si>
  <si>
    <t>NATERCIO PEREIRA SANTANA</t>
  </si>
  <si>
    <t>MOTORISTA</t>
  </si>
  <si>
    <t>REIS FABRICA</t>
  </si>
  <si>
    <t>COLABORADOR</t>
  </si>
  <si>
    <t>JOÃO VICTOR DE SOUZA</t>
  </si>
  <si>
    <t>GILBERTO GALDINO DOS SANTOS</t>
  </si>
  <si>
    <t>10K</t>
  </si>
  <si>
    <t>RAINHA MAISON</t>
  </si>
  <si>
    <t xml:space="preserve">GHEOMAR DOS SANTOS </t>
  </si>
  <si>
    <t>WILTON RIBEIRO DOS SANTOS</t>
  </si>
  <si>
    <t>FOLHA GRATIFICAÇÃO MENSAL MAIO 2025</t>
  </si>
  <si>
    <t>05K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</si>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</sst>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</numFmts>
  <fonts count="22" x14ac:knownFonts="1">
    <font>
      <sz val="10"/>
      <name val="Arial"/>
      <family val="2"/>
    </font>
    <font>
      <sz val="10"/>
      <name val="Arial"/>
      <family val="2"/>
    </font>
    <font>
      <sz val="10"/>
      <name val="Calibri Light"/>
      <family val="2"/>
      <scheme val="major"/>
    </font>
    <font>
      <b/>
      <sz val="2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5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b/>
      <sz val="14"/>
      <name val="Calibri Light"/>
      <family val="2"/>
      <scheme val="major"/>
    </font>
    <font>
      <sz val="8"/>
      <name val="Arial"/>
      <family val="2"/>
    </font>
    <font>
      <b/>
      <sz val="14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C00000"/>
      <name val="Aptos Narrow"/>
      <family val="2"/>
    </font>
    <font>
      <b/>
      <sz val="26"/>
      <name val="Calibri Light"/>
      <family val="2"/>
      <scheme val="major"/>
    </font>
    <font>
      <sz val="11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56">
    <xf numFmtId="0" fontId="0" fillId="0" borderId="0" xfId="0"/>
    <xf numFmtId="44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49" fontId="5" fillId="4" borderId="3" xfId="0" applyNumberFormat="1" applyFont="1" applyFill="1" applyBorder="1" applyAlignment="1" applyProtection="1">
      <alignment horizontal="center" vertical="center" wrapText="1"/>
      <protection locked="0"/>
    </xf>
    <xf numFmtId="43" fontId="9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4" fontId="3" fillId="0" borderId="0" xfId="1" applyFont="1" applyFill="1" applyAlignment="1">
      <alignment horizontal="center" vertical="center"/>
    </xf>
    <xf numFmtId="44" fontId="7" fillId="0" borderId="0" xfId="1" applyFont="1" applyFill="1" applyAlignment="1">
      <alignment horizontal="center" vertical="center"/>
    </xf>
    <xf numFmtId="44" fontId="2" fillId="0" borderId="0" xfId="1" applyFont="1" applyFill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13" fillId="2" borderId="7" xfId="2" applyFont="1" applyFill="1" applyBorder="1" applyAlignment="1" applyProtection="1">
      <alignment horizontal="center" vertical="center" wrapText="1"/>
      <protection locked="0"/>
    </xf>
    <xf numFmtId="0" fontId="13" fillId="2" borderId="7" xfId="0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43" fontId="13" fillId="2" borderId="7" xfId="1" applyNumberFormat="1" applyFont="1" applyFill="1" applyBorder="1" applyAlignment="1" applyProtection="1">
      <alignment horizontal="left" vertical="center"/>
      <protection locked="0"/>
    </xf>
    <xf numFmtId="0" fontId="13" fillId="2" borderId="7" xfId="2" applyFont="1" applyFill="1" applyBorder="1" applyAlignment="1" applyProtection="1">
      <alignment horizontal="center" vertical="center"/>
      <protection locked="0"/>
    </xf>
    <xf numFmtId="164" fontId="13" fillId="2" borderId="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/>
    </xf>
    <xf numFmtId="0" fontId="6" fillId="0" borderId="0" xfId="0" applyFont="1" applyAlignment="1">
      <alignment vertical="center"/>
    </xf>
    <xf numFmtId="49" fontId="14" fillId="4" borderId="3" xfId="0" applyNumberFormat="1" applyFont="1" applyFill="1" applyBorder="1" applyAlignment="1" applyProtection="1">
      <alignment horizontal="center" vertical="center" wrapText="1"/>
      <protection locked="0"/>
    </xf>
    <xf numFmtId="43" fontId="16" fillId="0" borderId="0" xfId="1" applyNumberFormat="1" applyFont="1" applyFill="1" applyBorder="1" applyAlignment="1">
      <alignment horizontal="center" vertical="center"/>
    </xf>
    <xf numFmtId="43" fontId="15" fillId="5" borderId="7" xfId="1" applyNumberFormat="1" applyFont="1" applyFill="1" applyBorder="1" applyAlignment="1">
      <alignment horizontal="center" vertical="center"/>
    </xf>
    <xf numFmtId="43" fontId="15" fillId="5" borderId="7" xfId="1" applyNumberFormat="1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17" fillId="3" borderId="7" xfId="0" applyNumberFormat="1" applyFont="1" applyFill="1" applyBorder="1" applyAlignment="1">
      <alignment horizontal="center" vertical="center"/>
    </xf>
    <xf numFmtId="0" fontId="17" fillId="2" borderId="7" xfId="2" applyFont="1" applyFill="1" applyBorder="1" applyAlignment="1" applyProtection="1">
      <alignment horizontal="center" vertical="center" wrapText="1"/>
      <protection locked="0"/>
    </xf>
    <xf numFmtId="0" fontId="17" fillId="0" borderId="7" xfId="2" applyFont="1" applyBorder="1" applyAlignment="1" applyProtection="1">
      <alignment horizontal="center" vertical="center" wrapText="1"/>
      <protection locked="0"/>
    </xf>
    <xf numFmtId="164" fontId="17" fillId="0" borderId="7" xfId="0" applyNumberFormat="1" applyFont="1" applyBorder="1" applyAlignment="1">
      <alignment horizontal="center" vertical="center" wrapText="1"/>
    </xf>
    <xf numFmtId="0" fontId="1" fillId="2" borderId="7" xfId="2" applyFill="1" applyBorder="1" applyAlignment="1" applyProtection="1">
      <alignment horizontal="center" vertical="center" wrapText="1"/>
      <protection locked="0"/>
    </xf>
    <xf numFmtId="164" fontId="21" fillId="2" borderId="7" xfId="0" applyNumberFormat="1" applyFont="1" applyFill="1" applyBorder="1" applyAlignment="1">
      <alignment horizontal="center" vertical="center" wrapText="1"/>
    </xf>
    <xf numFmtId="164" fontId="17" fillId="2" borderId="7" xfId="0" applyNumberFormat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/>
    </xf>
    <xf numFmtId="43" fontId="17" fillId="0" borderId="7" xfId="1" applyNumberFormat="1" applyFont="1" applyFill="1" applyBorder="1" applyAlignment="1" applyProtection="1">
      <alignment horizontal="center" vertical="center"/>
      <protection locked="0"/>
    </xf>
    <xf numFmtId="43" fontId="17" fillId="0" borderId="7" xfId="1" applyNumberFormat="1" applyFont="1" applyFill="1" applyBorder="1" applyAlignment="1">
      <alignment horizontal="center" vertical="center"/>
    </xf>
    <xf numFmtId="43" fontId="17" fillId="2" borderId="7" xfId="1" applyNumberFormat="1" applyFont="1" applyFill="1" applyBorder="1" applyAlignment="1">
      <alignment horizontal="center" vertical="center"/>
    </xf>
    <xf numFmtId="43" fontId="18" fillId="4" borderId="7" xfId="1" applyNumberFormat="1" applyFont="1" applyFill="1" applyBorder="1" applyAlignment="1">
      <alignment horizontal="center" vertical="center"/>
    </xf>
    <xf numFmtId="43" fontId="18" fillId="4" borderId="6" xfId="1" applyNumberFormat="1" applyFont="1" applyFill="1" applyBorder="1" applyAlignment="1">
      <alignment horizontal="center" vertical="center"/>
    </xf>
    <xf numFmtId="0" fontId="19" fillId="2" borderId="7" xfId="2" applyFont="1" applyFill="1" applyBorder="1" applyAlignment="1" applyProtection="1">
      <alignment horizontal="center" vertical="center" wrapText="1"/>
      <protection locked="0"/>
    </xf>
    <xf numFmtId="0" fontId="20" fillId="2" borderId="7" xfId="2" applyFont="1" applyFill="1" applyBorder="1" applyAlignment="1" applyProtection="1">
      <alignment horizontal="center" vertical="center" wrapText="1"/>
      <protection locked="0"/>
    </xf>
    <xf numFmtId="43" fontId="10" fillId="2" borderId="0" xfId="0" applyNumberFormat="1" applyFont="1" applyFill="1" applyAlignment="1">
      <alignment horizontal="left" vertical="center"/>
    </xf>
    <xf numFmtId="49" fontId="12" fillId="4" borderId="1" xfId="0" applyNumberFormat="1" applyFont="1" applyFill="1" applyBorder="1" applyAlignment="1" applyProtection="1">
      <alignment horizontal="center" vertical="center"/>
      <protection locked="0"/>
    </xf>
    <xf numFmtId="49" fontId="12" fillId="4" borderId="2" xfId="0" applyNumberFormat="1" applyFont="1" applyFill="1" applyBorder="1" applyAlignment="1" applyProtection="1">
      <alignment horizontal="center" vertical="center"/>
      <protection locked="0"/>
    </xf>
    <xf numFmtId="0" fontId="18" fillId="4" borderId="4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49" fontId="12" fillId="4" borderId="4" xfId="0" applyNumberFormat="1" applyFont="1" applyFill="1" applyBorder="1" applyAlignment="1" applyProtection="1">
      <alignment horizontal="center" vertical="center"/>
      <protection locked="0"/>
    </xf>
    <xf numFmtId="49" fontId="12" fillId="4" borderId="5" xfId="0" applyNumberFormat="1" applyFont="1" applyFill="1" applyBorder="1" applyAlignment="1" applyProtection="1">
      <alignment horizontal="center" vertical="center"/>
      <protection locked="0"/>
    </xf>
    <xf numFmtId="49" fontId="12" fillId="4" borderId="6" xfId="0" applyNumberFormat="1" applyFont="1" applyFill="1" applyBorder="1" applyAlignment="1" applyProtection="1">
      <alignment horizontal="center" vertical="center"/>
      <protection locked="0"/>
    </xf>
  </cellXfs>
  <cellStyles count="4">
    <cellStyle name="Moeda" xfId="1" builtinId="4"/>
    <cellStyle name="Mo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FFFFFF"/>
      <color rgb="FFCCECFF"/>
      <color rgb="FFCCCCFF"/>
      <color rgb="FF666699"/>
      <color rgb="FFFFCC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502A-E982-470C-868F-2135275C0F67}">
  <sheetPr>
    <pageSetUpPr fitToPage="1"/>
  </sheetPr>
  <dimension ref="A1:J15"/>
  <sheetViews>
    <sheetView tabSelected="1" workbookViewId="0">
      <selection activeCell="E13" sqref="E13"/>
    </sheetView>
  </sheetViews>
  <sheetFormatPr defaultRowHeight="12.75" x14ac:dyDescent="0.2"/>
  <cols>
    <col min="1" max="1" width="5.42578125" style="2" customWidth="1"/>
    <col min="2" max="2" width="33.85546875" style="4" customWidth="1"/>
    <col min="3" max="3" width="18.85546875" style="4" customWidth="1"/>
    <col min="4" max="5" width="18" style="4" bestFit="1" customWidth="1"/>
    <col min="6" max="6" width="16.42578125" style="7" bestFit="1" customWidth="1"/>
    <col min="7" max="7" width="26.85546875" style="7" customWidth="1"/>
    <col min="8" max="8" width="13" style="2" hidden="1" customWidth="1"/>
    <col min="9" max="9" width="21.85546875" style="1" customWidth="1"/>
    <col min="10" max="16384" width="9.140625" style="2"/>
  </cols>
  <sheetData>
    <row r="1" spans="1:10" s="3" customFormat="1" ht="35.25" thickTop="1" thickBot="1" x14ac:dyDescent="0.25">
      <c r="A1" s="49" t="s">
        <v>79</v>
      </c>
      <c r="B1" s="50"/>
      <c r="C1" s="50"/>
      <c r="D1" s="50"/>
      <c r="E1" s="50"/>
      <c r="F1" s="50"/>
      <c r="G1" s="50"/>
      <c r="H1" s="50"/>
      <c r="I1" s="50"/>
    </row>
    <row r="2" spans="1:10" s="6" customFormat="1" ht="39.75" thickTop="1" x14ac:dyDescent="0.2">
      <c r="A2" s="11" t="s">
        <v>0</v>
      </c>
      <c r="B2" s="11" t="s">
        <v>72</v>
      </c>
      <c r="C2" s="11" t="s">
        <v>3</v>
      </c>
      <c r="D2" s="11" t="s">
        <v>1</v>
      </c>
      <c r="E2" s="11" t="s">
        <v>2</v>
      </c>
      <c r="F2" s="11" t="s">
        <v>4</v>
      </c>
      <c r="G2" s="11" t="s">
        <v>23</v>
      </c>
      <c r="H2" s="11" t="s">
        <v>42</v>
      </c>
      <c r="I2" s="28" t="s">
        <v>22</v>
      </c>
    </row>
    <row r="3" spans="1:10" s="9" customFormat="1" ht="23.1" customHeight="1" x14ac:dyDescent="0.2">
      <c r="A3" s="19" t="s">
        <v>27</v>
      </c>
      <c r="B3" s="20" t="s">
        <v>43</v>
      </c>
      <c r="C3" s="20" t="s">
        <v>44</v>
      </c>
      <c r="D3" s="21" t="s">
        <v>80</v>
      </c>
      <c r="E3" s="22" t="s">
        <v>45</v>
      </c>
      <c r="F3" s="22" t="s">
        <v>14</v>
      </c>
      <c r="G3" s="22" t="s">
        <v>46</v>
      </c>
      <c r="H3" s="23">
        <v>1660</v>
      </c>
      <c r="I3" s="30">
        <v>300</v>
      </c>
    </row>
    <row r="4" spans="1:10" s="10" customFormat="1" ht="23.1" customHeight="1" x14ac:dyDescent="0.2">
      <c r="A4" s="19" t="s">
        <v>28</v>
      </c>
      <c r="B4" s="20" t="s">
        <v>50</v>
      </c>
      <c r="C4" s="20" t="s">
        <v>51</v>
      </c>
      <c r="D4" s="20" t="s">
        <v>45</v>
      </c>
      <c r="E4" s="20" t="s">
        <v>58</v>
      </c>
      <c r="F4" s="25" t="s">
        <v>14</v>
      </c>
      <c r="G4" s="25" t="s">
        <v>46</v>
      </c>
      <c r="H4" s="23">
        <v>1660</v>
      </c>
      <c r="I4" s="31">
        <v>200</v>
      </c>
    </row>
    <row r="5" spans="1:10" s="10" customFormat="1" ht="23.1" customHeight="1" x14ac:dyDescent="0.2">
      <c r="A5" s="19" t="s">
        <v>29</v>
      </c>
      <c r="B5" s="26" t="s">
        <v>63</v>
      </c>
      <c r="C5" s="20" t="s">
        <v>64</v>
      </c>
      <c r="D5" s="24" t="s">
        <v>65</v>
      </c>
      <c r="E5" s="20" t="s">
        <v>65</v>
      </c>
      <c r="F5" s="22" t="s">
        <v>14</v>
      </c>
      <c r="G5" s="25" t="s">
        <v>46</v>
      </c>
      <c r="H5" s="23">
        <v>1819.55</v>
      </c>
      <c r="I5" s="31">
        <v>275.31</v>
      </c>
    </row>
    <row r="6" spans="1:10" s="10" customFormat="1" ht="23.1" customHeight="1" x14ac:dyDescent="0.2">
      <c r="A6" s="19" t="s">
        <v>30</v>
      </c>
      <c r="B6" s="20" t="s">
        <v>74</v>
      </c>
      <c r="C6" s="20" t="s">
        <v>47</v>
      </c>
      <c r="D6" s="20" t="s">
        <v>75</v>
      </c>
      <c r="E6" s="20" t="s">
        <v>75</v>
      </c>
      <c r="F6" s="25" t="s">
        <v>14</v>
      </c>
      <c r="G6" s="22" t="s">
        <v>46</v>
      </c>
      <c r="H6" s="23">
        <v>1518</v>
      </c>
      <c r="I6" s="31">
        <v>100</v>
      </c>
    </row>
    <row r="7" spans="1:10" s="10" customFormat="1" ht="23.1" customHeight="1" x14ac:dyDescent="0.2">
      <c r="A7" s="19" t="s">
        <v>31</v>
      </c>
      <c r="B7" s="20" t="s">
        <v>48</v>
      </c>
      <c r="C7" s="20" t="s">
        <v>54</v>
      </c>
      <c r="D7" s="20" t="s">
        <v>45</v>
      </c>
      <c r="E7" s="20" t="s">
        <v>49</v>
      </c>
      <c r="F7" s="25" t="s">
        <v>14</v>
      </c>
      <c r="G7" s="22" t="s">
        <v>14</v>
      </c>
      <c r="H7" s="23">
        <v>1983.14</v>
      </c>
      <c r="I7" s="31">
        <v>300</v>
      </c>
    </row>
    <row r="8" spans="1:10" s="10" customFormat="1" ht="23.1" customHeight="1" x14ac:dyDescent="0.2">
      <c r="A8" s="19" t="s">
        <v>32</v>
      </c>
      <c r="B8" s="20" t="s">
        <v>73</v>
      </c>
      <c r="C8" s="20" t="s">
        <v>47</v>
      </c>
      <c r="D8" s="24" t="s">
        <v>80</v>
      </c>
      <c r="E8" s="20" t="s">
        <v>76</v>
      </c>
      <c r="F8" s="22" t="s">
        <v>14</v>
      </c>
      <c r="G8" s="22" t="s">
        <v>46</v>
      </c>
      <c r="H8" s="23">
        <v>1660</v>
      </c>
      <c r="I8" s="31">
        <v>150</v>
      </c>
    </row>
    <row r="9" spans="1:10" s="10" customFormat="1" ht="23.1" customHeight="1" x14ac:dyDescent="0.2">
      <c r="A9" s="19" t="s">
        <v>33</v>
      </c>
      <c r="B9" s="20" t="s">
        <v>66</v>
      </c>
      <c r="C9" s="20" t="s">
        <v>67</v>
      </c>
      <c r="D9" s="24" t="s">
        <v>68</v>
      </c>
      <c r="E9" s="20" t="s">
        <v>68</v>
      </c>
      <c r="F9" s="22" t="s">
        <v>14</v>
      </c>
      <c r="G9" s="22" t="s">
        <v>14</v>
      </c>
      <c r="H9" s="23">
        <v>2667.41</v>
      </c>
      <c r="I9" s="31">
        <v>500</v>
      </c>
    </row>
    <row r="10" spans="1:10" s="10" customFormat="1" ht="23.1" customHeight="1" x14ac:dyDescent="0.2">
      <c r="A10" s="19" t="s">
        <v>34</v>
      </c>
      <c r="B10" s="20" t="s">
        <v>69</v>
      </c>
      <c r="C10" s="20" t="s">
        <v>70</v>
      </c>
      <c r="D10" s="24" t="s">
        <v>71</v>
      </c>
      <c r="E10" s="20" t="s">
        <v>71</v>
      </c>
      <c r="F10" s="22" t="s">
        <v>14</v>
      </c>
      <c r="G10" s="22" t="s">
        <v>14</v>
      </c>
      <c r="H10" s="23">
        <v>2596.36</v>
      </c>
      <c r="I10" s="31">
        <v>539</v>
      </c>
    </row>
    <row r="11" spans="1:10" s="10" customFormat="1" ht="23.1" customHeight="1" x14ac:dyDescent="0.2">
      <c r="A11" s="19" t="s">
        <v>59</v>
      </c>
      <c r="B11" s="20" t="s">
        <v>52</v>
      </c>
      <c r="C11" s="20" t="s">
        <v>53</v>
      </c>
      <c r="D11" s="24" t="s">
        <v>45</v>
      </c>
      <c r="E11" s="20" t="s">
        <v>45</v>
      </c>
      <c r="F11" s="22" t="s">
        <v>14</v>
      </c>
      <c r="G11" s="22" t="s">
        <v>46</v>
      </c>
      <c r="H11" s="23">
        <v>1660</v>
      </c>
      <c r="I11" s="31">
        <v>300</v>
      </c>
    </row>
    <row r="12" spans="1:10" s="5" customFormat="1" ht="26.25" x14ac:dyDescent="0.2">
      <c r="A12" s="27"/>
      <c r="B12" s="27" t="s">
        <v>81</v>
      </c>
      <c r="C12" s="27"/>
      <c r="D12" s="27"/>
      <c r="E12" s="27"/>
      <c r="F12" s="27"/>
      <c r="G12" s="27"/>
      <c r="H12" s="12"/>
      <c r="I12" s="29">
        <f>SUM(I3:I11)</f>
        <v>2664.31</v>
      </c>
      <c r="J12" s="13"/>
    </row>
    <row r="13" spans="1:10" s="5" customFormat="1" ht="26.25" x14ac:dyDescent="0.2">
      <c r="A13" s="14"/>
      <c r="B13" s="14"/>
      <c r="C13" s="14"/>
      <c r="D13" s="15"/>
      <c r="E13" s="15"/>
      <c r="F13" s="14"/>
      <c r="G13" s="14"/>
      <c r="H13" s="14"/>
      <c r="I13" s="16"/>
      <c r="J13" s="13"/>
    </row>
    <row r="14" spans="1:10" s="5" customFormat="1" ht="26.25" x14ac:dyDescent="0.2">
      <c r="A14" s="14"/>
      <c r="B14" s="14"/>
      <c r="C14" s="14"/>
      <c r="D14" s="15"/>
      <c r="E14" s="15"/>
      <c r="F14" s="14"/>
      <c r="G14" s="14"/>
      <c r="H14" s="14"/>
      <c r="I14" s="17"/>
      <c r="J14" s="13"/>
    </row>
    <row r="15" spans="1:10" x14ac:dyDescent="0.2">
      <c r="E15" s="8"/>
      <c r="I15" s="18"/>
    </row>
  </sheetData>
  <sortState xmlns:xlrd2="http://schemas.microsoft.com/office/spreadsheetml/2017/richdata2" ref="B4:J11">
    <sortCondition ref="B3:B11"/>
  </sortState>
  <mergeCells count="1">
    <mergeCell ref="A1:I1"/>
  </mergeCells>
  <phoneticPr fontId="8" type="noConversion"/>
  <pageMargins left="0.511811024" right="0.511811024" top="0.78740157499999996" bottom="0.78740157499999996" header="0.31496062000000002" footer="0.31496062000000002"/>
  <pageSetup paperSize="9" scale="8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B801-AA38-4636-92D0-E034050E5057}">
  <sheetPr>
    <pageSetUpPr fitToPage="1"/>
  </sheetPr>
  <dimension ref="A1:J19"/>
  <sheetViews>
    <sheetView topLeftCell="A4" workbookViewId="0">
      <selection activeCell="G24" sqref="G24"/>
    </sheetView>
  </sheetViews>
  <sheetFormatPr defaultRowHeight="12.75" x14ac:dyDescent="0.2"/>
  <cols>
    <col min="1" max="1" width="5.42578125" style="2" customWidth="1"/>
    <col min="2" max="2" width="35.7109375" style="4" bestFit="1" customWidth="1"/>
    <col min="3" max="3" width="16" style="4" bestFit="1" customWidth="1"/>
    <col min="4" max="4" width="17" style="4" bestFit="1" customWidth="1"/>
    <col min="5" max="5" width="14" style="4" bestFit="1" customWidth="1"/>
    <col min="6" max="6" width="16.42578125" style="7" bestFit="1" customWidth="1"/>
    <col min="7" max="7" width="26.85546875" style="7" customWidth="1"/>
    <col min="8" max="8" width="12.85546875" style="2" hidden="1" customWidth="1"/>
    <col min="9" max="9" width="13.140625" style="1" customWidth="1"/>
    <col min="10" max="10" width="9.5703125" style="2" bestFit="1" customWidth="1"/>
    <col min="11" max="16384" width="9.140625" style="2"/>
  </cols>
  <sheetData>
    <row r="1" spans="1:10" s="3" customFormat="1" ht="33.75" x14ac:dyDescent="0.2">
      <c r="A1" s="53" t="s">
        <v>79</v>
      </c>
      <c r="B1" s="54"/>
      <c r="C1" s="54"/>
      <c r="D1" s="54"/>
      <c r="E1" s="54"/>
      <c r="F1" s="54"/>
      <c r="G1" s="54"/>
      <c r="H1" s="54"/>
      <c r="I1" s="55"/>
    </row>
    <row r="2" spans="1:10" s="6" customFormat="1" ht="39" x14ac:dyDescent="0.2">
      <c r="A2" s="32" t="s">
        <v>0</v>
      </c>
      <c r="B2" s="32" t="s">
        <v>72</v>
      </c>
      <c r="C2" s="32" t="s">
        <v>3</v>
      </c>
      <c r="D2" s="32" t="s">
        <v>1</v>
      </c>
      <c r="E2" s="32" t="s">
        <v>2</v>
      </c>
      <c r="F2" s="32" t="s">
        <v>4</v>
      </c>
      <c r="G2" s="32" t="s">
        <v>23</v>
      </c>
      <c r="H2" s="32" t="s">
        <v>42</v>
      </c>
      <c r="I2" s="32" t="s">
        <v>22</v>
      </c>
    </row>
    <row r="3" spans="1:10" s="9" customFormat="1" ht="17.45" customHeight="1" x14ac:dyDescent="0.2">
      <c r="A3" s="33" t="s">
        <v>27</v>
      </c>
      <c r="B3" s="46" t="s">
        <v>25</v>
      </c>
      <c r="C3" s="35" t="s">
        <v>6</v>
      </c>
      <c r="D3" s="35" t="s">
        <v>5</v>
      </c>
      <c r="E3" s="35" t="s">
        <v>5</v>
      </c>
      <c r="F3" s="36" t="s">
        <v>14</v>
      </c>
      <c r="G3" s="36" t="s">
        <v>24</v>
      </c>
      <c r="H3" s="41">
        <v>1518</v>
      </c>
      <c r="I3" s="42">
        <v>200</v>
      </c>
    </row>
    <row r="4" spans="1:10" s="10" customFormat="1" ht="17.45" customHeight="1" x14ac:dyDescent="0.2">
      <c r="A4" s="33" t="s">
        <v>28</v>
      </c>
      <c r="B4" s="46" t="s">
        <v>55</v>
      </c>
      <c r="C4" s="35" t="s">
        <v>6</v>
      </c>
      <c r="D4" s="35" t="s">
        <v>5</v>
      </c>
      <c r="E4" s="35" t="s">
        <v>5</v>
      </c>
      <c r="F4" s="36" t="s">
        <v>14</v>
      </c>
      <c r="G4" s="36" t="s">
        <v>24</v>
      </c>
      <c r="H4" s="41">
        <v>1518</v>
      </c>
      <c r="I4" s="43">
        <v>100</v>
      </c>
    </row>
    <row r="5" spans="1:10" s="10" customFormat="1" ht="17.45" customHeight="1" x14ac:dyDescent="0.2">
      <c r="A5" s="33" t="s">
        <v>29</v>
      </c>
      <c r="B5" s="47" t="s">
        <v>19</v>
      </c>
      <c r="C5" s="37" t="s">
        <v>18</v>
      </c>
      <c r="D5" s="37" t="s">
        <v>16</v>
      </c>
      <c r="E5" s="37" t="s">
        <v>16</v>
      </c>
      <c r="F5" s="38" t="s">
        <v>14</v>
      </c>
      <c r="G5" s="36" t="s">
        <v>61</v>
      </c>
      <c r="H5" s="41">
        <v>1518</v>
      </c>
      <c r="I5" s="43">
        <v>700</v>
      </c>
    </row>
    <row r="6" spans="1:10" s="10" customFormat="1" ht="17.45" customHeight="1" x14ac:dyDescent="0.2">
      <c r="A6" s="33" t="s">
        <v>30</v>
      </c>
      <c r="B6" s="46" t="s">
        <v>77</v>
      </c>
      <c r="C6" s="35" t="s">
        <v>8</v>
      </c>
      <c r="D6" s="35" t="s">
        <v>5</v>
      </c>
      <c r="E6" s="35" t="s">
        <v>5</v>
      </c>
      <c r="F6" s="36" t="s">
        <v>14</v>
      </c>
      <c r="G6" s="36" t="s">
        <v>61</v>
      </c>
      <c r="H6" s="41">
        <v>1518</v>
      </c>
      <c r="I6" s="43">
        <v>700</v>
      </c>
    </row>
    <row r="7" spans="1:10" s="10" customFormat="1" ht="17.45" customHeight="1" x14ac:dyDescent="0.2">
      <c r="A7" s="33" t="s">
        <v>31</v>
      </c>
      <c r="B7" s="46" t="s">
        <v>9</v>
      </c>
      <c r="C7" s="35" t="s">
        <v>6</v>
      </c>
      <c r="D7" s="35" t="s">
        <v>5</v>
      </c>
      <c r="E7" s="35" t="s">
        <v>5</v>
      </c>
      <c r="F7" s="36" t="s">
        <v>14</v>
      </c>
      <c r="G7" s="36" t="s">
        <v>24</v>
      </c>
      <c r="H7" s="41">
        <v>1518</v>
      </c>
      <c r="I7" s="43">
        <v>400</v>
      </c>
    </row>
    <row r="8" spans="1:10" s="10" customFormat="1" ht="17.45" customHeight="1" x14ac:dyDescent="0.2">
      <c r="A8" s="33" t="s">
        <v>32</v>
      </c>
      <c r="B8" s="46" t="s">
        <v>17</v>
      </c>
      <c r="C8" s="35" t="s">
        <v>7</v>
      </c>
      <c r="D8" s="35" t="s">
        <v>5</v>
      </c>
      <c r="E8" s="35" t="s">
        <v>5</v>
      </c>
      <c r="F8" s="36" t="s">
        <v>14</v>
      </c>
      <c r="G8" s="36" t="s">
        <v>24</v>
      </c>
      <c r="H8" s="41">
        <v>1518</v>
      </c>
      <c r="I8" s="43">
        <v>200</v>
      </c>
    </row>
    <row r="9" spans="1:10" s="10" customFormat="1" ht="17.45" customHeight="1" x14ac:dyDescent="0.2">
      <c r="A9" s="33" t="s">
        <v>33</v>
      </c>
      <c r="B9" s="46" t="s">
        <v>56</v>
      </c>
      <c r="C9" s="35" t="s">
        <v>6</v>
      </c>
      <c r="D9" s="35" t="s">
        <v>5</v>
      </c>
      <c r="E9" s="35" t="s">
        <v>5</v>
      </c>
      <c r="F9" s="36" t="s">
        <v>14</v>
      </c>
      <c r="G9" s="36" t="s">
        <v>24</v>
      </c>
      <c r="H9" s="41">
        <v>1518</v>
      </c>
      <c r="I9" s="43">
        <v>100</v>
      </c>
    </row>
    <row r="10" spans="1:10" s="10" customFormat="1" ht="17.45" customHeight="1" x14ac:dyDescent="0.2">
      <c r="A10" s="33" t="s">
        <v>34</v>
      </c>
      <c r="B10" s="46" t="s">
        <v>10</v>
      </c>
      <c r="C10" s="35" t="s">
        <v>6</v>
      </c>
      <c r="D10" s="35" t="s">
        <v>5</v>
      </c>
      <c r="E10" s="35" t="s">
        <v>5</v>
      </c>
      <c r="F10" s="36" t="s">
        <v>14</v>
      </c>
      <c r="G10" s="36" t="s">
        <v>24</v>
      </c>
      <c r="H10" s="41">
        <v>1518</v>
      </c>
      <c r="I10" s="43">
        <v>200</v>
      </c>
    </row>
    <row r="11" spans="1:10" s="10" customFormat="1" ht="17.45" customHeight="1" x14ac:dyDescent="0.2">
      <c r="A11" s="33" t="s">
        <v>59</v>
      </c>
      <c r="B11" s="46" t="s">
        <v>62</v>
      </c>
      <c r="C11" s="35" t="s">
        <v>6</v>
      </c>
      <c r="D11" s="35" t="s">
        <v>16</v>
      </c>
      <c r="E11" s="35" t="s">
        <v>60</v>
      </c>
      <c r="F11" s="36" t="s">
        <v>14</v>
      </c>
      <c r="G11" s="36" t="s">
        <v>61</v>
      </c>
      <c r="H11" s="41">
        <v>1518</v>
      </c>
      <c r="I11" s="43">
        <v>530.85</v>
      </c>
      <c r="J11" s="48"/>
    </row>
    <row r="12" spans="1:10" s="5" customFormat="1" ht="17.45" customHeight="1" x14ac:dyDescent="0.2">
      <c r="A12" s="33" t="s">
        <v>35</v>
      </c>
      <c r="B12" s="46" t="s">
        <v>20</v>
      </c>
      <c r="C12" s="35" t="s">
        <v>8</v>
      </c>
      <c r="D12" s="35" t="s">
        <v>5</v>
      </c>
      <c r="E12" s="35" t="s">
        <v>5</v>
      </c>
      <c r="F12" s="39" t="s">
        <v>14</v>
      </c>
      <c r="G12" s="36" t="s">
        <v>24</v>
      </c>
      <c r="H12" s="41">
        <v>1518</v>
      </c>
      <c r="I12" s="42">
        <v>200</v>
      </c>
      <c r="J12" s="13"/>
    </row>
    <row r="13" spans="1:10" s="5" customFormat="1" ht="17.45" customHeight="1" x14ac:dyDescent="0.2">
      <c r="A13" s="33" t="s">
        <v>36</v>
      </c>
      <c r="B13" s="46" t="s">
        <v>15</v>
      </c>
      <c r="C13" s="35" t="s">
        <v>6</v>
      </c>
      <c r="D13" s="35" t="s">
        <v>5</v>
      </c>
      <c r="E13" s="35" t="s">
        <v>5</v>
      </c>
      <c r="F13" s="36" t="s">
        <v>14</v>
      </c>
      <c r="G13" s="36" t="s">
        <v>24</v>
      </c>
      <c r="H13" s="41">
        <v>1518</v>
      </c>
      <c r="I13" s="42">
        <v>100</v>
      </c>
      <c r="J13" s="13"/>
    </row>
    <row r="14" spans="1:10" s="5" customFormat="1" ht="17.45" customHeight="1" x14ac:dyDescent="0.2">
      <c r="A14" s="33" t="s">
        <v>37</v>
      </c>
      <c r="B14" s="46" t="s">
        <v>11</v>
      </c>
      <c r="C14" s="35" t="s">
        <v>6</v>
      </c>
      <c r="D14" s="35" t="s">
        <v>5</v>
      </c>
      <c r="E14" s="35" t="s">
        <v>5</v>
      </c>
      <c r="F14" s="36" t="s">
        <v>14</v>
      </c>
      <c r="G14" s="36" t="s">
        <v>24</v>
      </c>
      <c r="H14" s="41">
        <v>1518</v>
      </c>
      <c r="I14" s="43">
        <v>300</v>
      </c>
      <c r="J14" s="13"/>
    </row>
    <row r="15" spans="1:10" ht="17.45" customHeight="1" x14ac:dyDescent="0.2">
      <c r="A15" s="33" t="s">
        <v>38</v>
      </c>
      <c r="B15" s="46" t="s">
        <v>78</v>
      </c>
      <c r="C15" s="35" t="s">
        <v>6</v>
      </c>
      <c r="D15" s="35" t="s">
        <v>5</v>
      </c>
      <c r="E15" s="35" t="s">
        <v>5</v>
      </c>
      <c r="F15" s="36" t="s">
        <v>14</v>
      </c>
      <c r="G15" s="36" t="s">
        <v>24</v>
      </c>
      <c r="H15" s="41">
        <v>1518</v>
      </c>
      <c r="I15" s="43">
        <v>300</v>
      </c>
    </row>
    <row r="16" spans="1:10" ht="17.45" customHeight="1" x14ac:dyDescent="0.2">
      <c r="A16" s="33" t="s">
        <v>39</v>
      </c>
      <c r="B16" s="46" t="s">
        <v>41</v>
      </c>
      <c r="C16" s="35" t="s">
        <v>6</v>
      </c>
      <c r="D16" s="35" t="s">
        <v>5</v>
      </c>
      <c r="E16" s="35" t="s">
        <v>5</v>
      </c>
      <c r="F16" s="36" t="s">
        <v>14</v>
      </c>
      <c r="G16" s="36" t="s">
        <v>24</v>
      </c>
      <c r="H16" s="41">
        <v>1518</v>
      </c>
      <c r="I16" s="42">
        <v>100</v>
      </c>
    </row>
    <row r="17" spans="1:9" ht="17.45" customHeight="1" x14ac:dyDescent="0.2">
      <c r="A17" s="33" t="s">
        <v>57</v>
      </c>
      <c r="B17" s="46" t="s">
        <v>21</v>
      </c>
      <c r="C17" s="34" t="s">
        <v>12</v>
      </c>
      <c r="D17" s="34" t="s">
        <v>5</v>
      </c>
      <c r="E17" s="34" t="s">
        <v>5</v>
      </c>
      <c r="F17" s="36" t="s">
        <v>14</v>
      </c>
      <c r="G17" s="36" t="s">
        <v>24</v>
      </c>
      <c r="H17" s="41">
        <v>1518</v>
      </c>
      <c r="I17" s="42">
        <v>200</v>
      </c>
    </row>
    <row r="18" spans="1:9" ht="17.45" customHeight="1" x14ac:dyDescent="0.2">
      <c r="A18" s="33" t="s">
        <v>40</v>
      </c>
      <c r="B18" s="46" t="s">
        <v>13</v>
      </c>
      <c r="C18" s="34" t="s">
        <v>8</v>
      </c>
      <c r="D18" s="34" t="s">
        <v>5</v>
      </c>
      <c r="E18" s="34" t="s">
        <v>5</v>
      </c>
      <c r="F18" s="39" t="s">
        <v>14</v>
      </c>
      <c r="G18" s="36" t="s">
        <v>24</v>
      </c>
      <c r="H18" s="41">
        <v>1518</v>
      </c>
      <c r="I18" s="43">
        <v>200</v>
      </c>
    </row>
    <row r="19" spans="1:9" ht="17.45" customHeight="1" x14ac:dyDescent="0.2">
      <c r="A19" s="51" t="s">
        <v>26</v>
      </c>
      <c r="B19" s="52"/>
      <c r="C19" s="52"/>
      <c r="D19" s="40"/>
      <c r="E19" s="40"/>
      <c r="F19" s="40"/>
      <c r="G19" s="40"/>
      <c r="H19" s="44">
        <v>24288</v>
      </c>
      <c r="I19" s="45">
        <f>SUM(I3:I18)</f>
        <v>4530.8500000000004</v>
      </c>
    </row>
  </sheetData>
  <sortState xmlns:xlrd2="http://schemas.microsoft.com/office/spreadsheetml/2017/richdata2" ref="B16:I18">
    <sortCondition ref="B15:B18"/>
  </sortState>
  <mergeCells count="2">
    <mergeCell ref="A19:C19"/>
    <mergeCell ref="A1:I1"/>
  </mergeCells>
  <pageMargins left="0.511811024" right="0.511811024" top="0.78740157499999996" bottom="0.78740157499999996" header="0.31496062000000002" footer="0.31496062000000002"/>
  <pageSetup paperSize="9" scale="8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FSA</vt:lpstr>
      <vt:lpstr>Fabrica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Rodrigues</dc:creator>
  <cp:lastModifiedBy>Gente Gestão</cp:lastModifiedBy>
  <cp:lastPrinted>2025-05-29T19:29:15Z</cp:lastPrinted>
  <dcterms:created xsi:type="dcterms:W3CDTF">2022-01-20T13:16:08Z</dcterms:created>
  <dcterms:modified xsi:type="dcterms:W3CDTF">2025-06-02T16:58:35Z</dcterms:modified>
</cp:coreProperties>
</file>